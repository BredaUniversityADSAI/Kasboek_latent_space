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bFKEKYI2R5pLkXXfbAwDwwiiHbEKVt1OZixyKbqX8M="/>
    </ext>
  </extLst>
</workbook>
</file>

<file path=xl/sharedStrings.xml><?xml version="1.0" encoding="utf-8"?>
<sst xmlns="http://schemas.openxmlformats.org/spreadsheetml/2006/main" count="10004" uniqueCount="58">
  <si>
    <t>Category Dutch</t>
  </si>
  <si>
    <t>Interpretation Dutch</t>
  </si>
  <si>
    <t>Category ENG</t>
  </si>
  <si>
    <t>Interpretation ENG</t>
  </si>
  <si>
    <t>Architectural and Structural Associations</t>
  </si>
  <si>
    <t>A cathedral shaped from mist</t>
  </si>
  <si>
    <t>An endless labyrinth</t>
  </si>
  <si>
    <t>Human Figures and Physicality</t>
  </si>
  <si>
    <t>Two figures mirroring each other</t>
  </si>
  <si>
    <t>Psychological and Emotional Interpretations</t>
  </si>
  <si>
    <t>A face transforming in light</t>
  </si>
  <si>
    <t>An emotion captured in abstraction</t>
  </si>
  <si>
    <t>Natuur en Elementen</t>
  </si>
  <si>
    <t>Een blikseminslag in slow-motion</t>
  </si>
  <si>
    <t>Een onduidelijke omhelzing</t>
  </si>
  <si>
    <t>Dieren en Organische Vormen</t>
  </si>
  <si>
    <t>Een vlinder in transformatie</t>
  </si>
  <si>
    <t>Een figuur die lijkt te smelten</t>
  </si>
  <si>
    <t>Een boom met eindeloze vertakkingen</t>
  </si>
  <si>
    <t>Een bergketen die lijkt te ademen</t>
  </si>
  <si>
    <t>Een toren die uit zichzelf groeit</t>
  </si>
  <si>
    <t>Een brug die nergens naartoe leidt</t>
  </si>
  <si>
    <t>Een vogel die opstijgt</t>
  </si>
  <si>
    <t>Een stormwolk die in tweeën splijt</t>
  </si>
  <si>
    <t>Kosmische en Abstraherende Patronen</t>
  </si>
  <si>
    <t>Een meteorenzwerm die in elkaar oplost</t>
  </si>
  <si>
    <t>Een kikker die zich voorbereidt op een sprong</t>
  </si>
  <si>
    <t>Een zwarte gatenpaar in dans</t>
  </si>
  <si>
    <t>Een dansend silhouet</t>
  </si>
  <si>
    <t>Een sterrenstelsel dat zich ontvouwt</t>
  </si>
  <si>
    <t>Golven die in fractale patronen breken</t>
  </si>
  <si>
    <t>Een planeet met ongewone ringen</t>
  </si>
  <si>
    <t>Een tijdlus gevangen in beeld</t>
  </si>
  <si>
    <t>Een oog dat zich in eindeloze patronen herhaalt</t>
  </si>
  <si>
    <t>Handen die elkaar bijna raken</t>
  </si>
  <si>
    <t>Een zwevend gebouw zonder basis</t>
  </si>
  <si>
    <t>Een rivierdelta in vogelperspectief</t>
  </si>
  <si>
    <t>Een figuur die door zichzelf heen kijkt</t>
  </si>
  <si>
    <t>Een leeuw met een geopende bek</t>
  </si>
  <si>
    <t>Een torso zonder hoofd</t>
  </si>
  <si>
    <t>Een figuur die in zichzelf gekeerd is</t>
  </si>
  <si>
    <t>Een gelaat dat vervaagt in abstractie</t>
  </si>
  <si>
    <t>Een masker dat langzaam verdwijnt</t>
  </si>
  <si>
    <t>Een netwerk van tunnels en gangen</t>
  </si>
  <si>
    <t>Een structuur die in golven pulseert</t>
  </si>
  <si>
    <t>Een slang die zichzelf in de staart bijt</t>
  </si>
  <si>
    <t>Een zwerm vissen die zich als één geheel beweegt</t>
  </si>
  <si>
    <t>Een woestijnlandschap dat langzaam verandert</t>
  </si>
  <si>
    <t>Een fractal die zich steeds herhaalt</t>
  </si>
  <si>
    <t>Een spiraal die zich naar binnen keert</t>
  </si>
  <si>
    <t>Een inktvis met uitgestrekte tentakels</t>
  </si>
  <si>
    <t>Een verdampende waterplas</t>
  </si>
  <si>
    <t>Een masker gevormd uit bladeren</t>
  </si>
  <si>
    <t>Een gezicht dat zowel lacht als huilt</t>
  </si>
  <si>
    <t>Een kwantumdeeltje in superpositie</t>
  </si>
  <si>
    <t>Een prisma dat licht in kleuren splitst</t>
  </si>
  <si>
    <t>Een schaduw die lijkt te bewegen</t>
  </si>
  <si>
    <t>Een explosie van kleuren en gevoelens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</si>
</sst>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2" fontId="1" numFmtId="0" xfId="0" applyAlignment="1" applyBorder="1" applyFill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64.57"/>
    <col customWidth="1" min="3" max="3" width="8.71"/>
    <col customWidth="1" min="4" max="4" width="48.29"/>
    <col customWidth="1" min="5" max="5" width="41.0"/>
    <col customWidth="1" min="6" max="6" width="8.71"/>
  </cols>
  <sheetData>
    <row r="1">
      <c r="A1" s="1" t="s">
        <v>0</v>
      </c>
      <c r="B1" s="1" t="s">
        <v>1</v>
      </c>
      <c r="D1" s="2" t="s">
        <v>2</v>
      </c>
      <c r="E1" s="2" t="s">
        <v>3</v>
      </c>
    </row>
    <row r="2">
      <c r="A2" s="3" t="s">
        <v>4</v>
      </c>
      <c r="B2" s="3" t="s">
        <v>5</v>
      </c>
      <c r="D2" s="3" t="str">
        <f>IFERROR(__xludf.DUMMYFUNCTION("GOOGLETRANSLATE(A2, ""nl"", ""en"")"),"Architectural and Structural Associations")</f>
        <v>Architectural and Structural Associations</v>
      </c>
      <c r="E2" s="3" t="str">
        <f>IFERROR(__xludf.DUMMYFUNCTION("GOOGLETRANSLATE(B2, ""nl"", ""en"")"),"A cathedral shaped from mist")</f>
        <v>A cathedral shaped from mist</v>
      </c>
    </row>
    <row r="3">
      <c r="A3" s="3" t="s">
        <v>4</v>
      </c>
      <c r="B3" s="3" t="s">
        <v>6</v>
      </c>
      <c r="D3" s="3" t="str">
        <f>IFERROR(__xludf.DUMMYFUNCTION("GOOGLETRANSLATE(A3, ""nl"", ""en"")"),"Architectural and Structural Associations")</f>
        <v>Architectural and Structural Associations</v>
      </c>
      <c r="E3" s="3" t="str">
        <f>IFERROR(__xludf.DUMMYFUNCTION("GOOGLETRANSLATE(B3, ""nl"", ""en"")"),"An endless labyrinth")</f>
        <v>An endless labyrinth</v>
      </c>
    </row>
    <row r="4">
      <c r="A4" s="3" t="s">
        <v>7</v>
      </c>
      <c r="B4" s="3" t="s">
        <v>8</v>
      </c>
      <c r="D4" s="3" t="str">
        <f>IFERROR(__xludf.DUMMYFUNCTION("GOOGLETRANSLATE(A4, ""nl"", ""en"")"),"Human Figures and Physicality")</f>
        <v>Human Figures and Physicality</v>
      </c>
      <c r="E4" s="3" t="str">
        <f>IFERROR(__xludf.DUMMYFUNCTION("GOOGLETRANSLATE(B4, ""nl"", ""en"")"),"Two figures mirroring each other")</f>
        <v>Two figures mirroring each other</v>
      </c>
    </row>
    <row r="5">
      <c r="A5" s="3" t="s">
        <v>9</v>
      </c>
      <c r="B5" s="3" t="s">
        <v>10</v>
      </c>
      <c r="D5" s="3" t="str">
        <f>IFERROR(__xludf.DUMMYFUNCTION("GOOGLETRANSLATE(A5, ""nl"", ""en"")"),"Psychological and Emotional Interpretations")</f>
        <v>Psychological and Emotional Interpretations</v>
      </c>
      <c r="E5" s="3" t="str">
        <f>IFERROR(__xludf.DUMMYFUNCTION("GOOGLETRANSLATE(B5, ""nl"", ""en"")"),"A face transforming in light")</f>
        <v>A face transforming in light</v>
      </c>
    </row>
    <row r="6">
      <c r="A6" s="3" t="s">
        <v>9</v>
      </c>
      <c r="B6" s="3" t="s">
        <v>11</v>
      </c>
      <c r="D6" s="3" t="str">
        <f>IFERROR(__xludf.DUMMYFUNCTION("GOOGLETRANSLATE(A6, ""nl"", ""en"")"),"Psychological and Emotional Interpretations")</f>
        <v>Psychological and Emotional Interpretations</v>
      </c>
      <c r="E6" s="3" t="str">
        <f>IFERROR(__xludf.DUMMYFUNCTION("GOOGLETRANSLATE(B6, ""nl"", ""en"")"),"An emotion captured in abstraction")</f>
        <v>An emotion captured in abstraction</v>
      </c>
    </row>
    <row r="7">
      <c r="A7" s="3" t="s">
        <v>12</v>
      </c>
      <c r="B7" s="3" t="s">
        <v>13</v>
      </c>
      <c r="D7" s="3" t="str">
        <f>IFERROR(__xludf.DUMMYFUNCTION("GOOGLETRANSLATE(A7, ""nl"", ""en"")"),"Nature and Elements")</f>
        <v>Nature and Elements</v>
      </c>
      <c r="E7" s="3" t="str">
        <f>IFERROR(__xludf.DUMMYFUNCTION("GOOGLETRANSLATE(B7, ""nl"", ""en"")"),"A lightning strike in slow motion")</f>
        <v>A lightning strike in slow motion</v>
      </c>
    </row>
    <row r="8">
      <c r="A8" s="3" t="s">
        <v>9</v>
      </c>
      <c r="B8" s="3" t="s">
        <v>14</v>
      </c>
      <c r="D8" s="3" t="str">
        <f>IFERROR(__xludf.DUMMYFUNCTION("GOOGLETRANSLATE(A8, ""nl"", ""en"")"),"Psychological and Emotional Interpretations")</f>
        <v>Psychological and Emotional Interpretations</v>
      </c>
      <c r="E8" s="3" t="str">
        <f>IFERROR(__xludf.DUMMYFUNCTION("GOOGLETRANSLATE(B8, ""nl"", ""en"")"),"An unclear hug")</f>
        <v>An unclear hug</v>
      </c>
    </row>
    <row r="9">
      <c r="A9" s="3" t="s">
        <v>15</v>
      </c>
      <c r="B9" s="3" t="s">
        <v>16</v>
      </c>
      <c r="D9" s="3" t="str">
        <f>IFERROR(__xludf.DUMMYFUNCTION("GOOGLETRANSLATE(A9, ""nl"", ""en"")"),"Animals and Organic Forms")</f>
        <v>Animals and Organic Forms</v>
      </c>
      <c r="E9" s="3" t="str">
        <f>IFERROR(__xludf.DUMMYFUNCTION("GOOGLETRANSLATE(B9, ""nl"", ""en"")"),"A butterfly in transformation")</f>
        <v>A butterfly in transformation</v>
      </c>
    </row>
    <row r="10">
      <c r="A10" s="3" t="s">
        <v>9</v>
      </c>
      <c r="B10" s="3" t="s">
        <v>17</v>
      </c>
      <c r="D10" s="3" t="str">
        <f>IFERROR(__xludf.DUMMYFUNCTION("GOOGLETRANSLATE(A10, ""nl"", ""en"")"),"Psychological and Emotional Interpretations")</f>
        <v>Psychological and Emotional Interpretations</v>
      </c>
      <c r="E10" s="3" t="str">
        <f>IFERROR(__xludf.DUMMYFUNCTION("GOOGLETRANSLATE(B10, ""nl"", ""en"")"),"A figure that seems to melt")</f>
        <v>A figure that seems to melt</v>
      </c>
    </row>
    <row r="11">
      <c r="A11" s="3" t="s">
        <v>12</v>
      </c>
      <c r="B11" s="3" t="s">
        <v>18</v>
      </c>
      <c r="D11" s="3" t="str">
        <f>IFERROR(__xludf.DUMMYFUNCTION("GOOGLETRANSLATE(A11, ""nl"", ""en"")"),"Nature and Elements")</f>
        <v>Nature and Elements</v>
      </c>
      <c r="E11" s="3" t="str">
        <f>IFERROR(__xludf.DUMMYFUNCTION("GOOGLETRANSLATE(B11, ""nl"", ""en"")"),"A tree with endless branches")</f>
        <v>A tree with endless branches</v>
      </c>
    </row>
    <row r="12">
      <c r="A12" s="3" t="s">
        <v>12</v>
      </c>
      <c r="B12" s="3" t="s">
        <v>19</v>
      </c>
      <c r="D12" s="3" t="str">
        <f>IFERROR(__xludf.DUMMYFUNCTION("GOOGLETRANSLATE(A12, ""nl"", ""en"")"),"Nature and Elements")</f>
        <v>Nature and Elements</v>
      </c>
      <c r="E12" s="3" t="str">
        <f>IFERROR(__xludf.DUMMYFUNCTION("GOOGLETRANSLATE(B12, ""nl"", ""en"")"),"A mountain range that seems to breathe")</f>
        <v>A mountain range that seems to breathe</v>
      </c>
    </row>
    <row r="13">
      <c r="A13" s="3" t="s">
        <v>4</v>
      </c>
      <c r="B13" s="3" t="s">
        <v>20</v>
      </c>
      <c r="D13" s="3" t="str">
        <f>IFERROR(__xludf.DUMMYFUNCTION("GOOGLETRANSLATE(A13, ""nl"", ""en"")"),"Architectural and Structural Associations")</f>
        <v>Architectural and Structural Associations</v>
      </c>
      <c r="E13" s="3" t="str">
        <f>IFERROR(__xludf.DUMMYFUNCTION("GOOGLETRANSLATE(B13, ""nl"", ""en"")"),"A tower that grows by itself")</f>
        <v>A tower that grows by itself</v>
      </c>
    </row>
    <row r="14">
      <c r="A14" s="3" t="s">
        <v>4</v>
      </c>
      <c r="B14" s="3" t="s">
        <v>21</v>
      </c>
      <c r="D14" s="3" t="str">
        <f>IFERROR(__xludf.DUMMYFUNCTION("GOOGLETRANSLATE(A14, ""nl"", ""en"")"),"Architectural and Structural Associations")</f>
        <v>Architectural and Structural Associations</v>
      </c>
      <c r="E14" s="3" t="str">
        <f>IFERROR(__xludf.DUMMYFUNCTION("GOOGLETRANSLATE(B14, ""nl"", ""en"")"),"A bridge that leads nowhere")</f>
        <v>A bridge that leads nowhere</v>
      </c>
    </row>
    <row r="15">
      <c r="A15" s="3" t="s">
        <v>15</v>
      </c>
      <c r="B15" s="3" t="s">
        <v>22</v>
      </c>
      <c r="D15" s="3" t="str">
        <f>IFERROR(__xludf.DUMMYFUNCTION("GOOGLETRANSLATE(A15, ""nl"", ""en"")"),"Animals and Organic Forms")</f>
        <v>Animals and Organic Forms</v>
      </c>
      <c r="E15" s="3" t="str">
        <f>IFERROR(__xludf.DUMMYFUNCTION("GOOGLETRANSLATE(B15, ""nl"", ""en"")"),"A bird taking off")</f>
        <v>A bird taking off</v>
      </c>
    </row>
    <row r="16">
      <c r="A16" s="3" t="s">
        <v>12</v>
      </c>
      <c r="B16" s="3" t="s">
        <v>23</v>
      </c>
      <c r="D16" s="3" t="str">
        <f>IFERROR(__xludf.DUMMYFUNCTION("GOOGLETRANSLATE(A16, ""nl"", ""en"")"),"Nature and Elements")</f>
        <v>Nature and Elements</v>
      </c>
      <c r="E16" s="3" t="str">
        <f>IFERROR(__xludf.DUMMYFUNCTION("GOOGLETRANSLATE(B16, ""nl"", ""en"")"),"A storm cloud splitting in two")</f>
        <v>A storm cloud splitting in two</v>
      </c>
    </row>
    <row r="17">
      <c r="A17" s="3" t="s">
        <v>24</v>
      </c>
      <c r="B17" s="3" t="s">
        <v>25</v>
      </c>
      <c r="D17" s="3" t="str">
        <f>IFERROR(__xludf.DUMMYFUNCTION("GOOGLETRANSLATE(A17, ""nl"", ""en"")"),"Cosmic and Abstract Patterns")</f>
        <v>Cosmic and Abstract Patterns</v>
      </c>
      <c r="E17" s="3" t="str">
        <f>IFERROR(__xludf.DUMMYFUNCTION("GOOGLETRANSLATE(B17, ""nl"", ""en"")"),"A meteor shower dissolving into each other")</f>
        <v>A meteor shower dissolving into each other</v>
      </c>
    </row>
    <row r="18">
      <c r="A18" s="3" t="s">
        <v>9</v>
      </c>
      <c r="B18" s="3" t="s">
        <v>14</v>
      </c>
      <c r="D18" s="3" t="str">
        <f>IFERROR(__xludf.DUMMYFUNCTION("GOOGLETRANSLATE(A18, ""nl"", ""en"")"),"Psychological and Emotional Interpretations")</f>
        <v>Psychological and Emotional Interpretations</v>
      </c>
      <c r="E18" s="3" t="str">
        <f>IFERROR(__xludf.DUMMYFUNCTION("GOOGLETRANSLATE(B18, ""nl"", ""en"")"),"An unclear hug")</f>
        <v>An unclear hug</v>
      </c>
    </row>
    <row r="19">
      <c r="A19" s="3" t="s">
        <v>15</v>
      </c>
      <c r="B19" s="3" t="s">
        <v>26</v>
      </c>
      <c r="D19" s="3" t="str">
        <f>IFERROR(__xludf.DUMMYFUNCTION("GOOGLETRANSLATE(A19, ""nl"", ""en"")"),"Animals and Organic Forms")</f>
        <v>Animals and Organic Forms</v>
      </c>
      <c r="E19" s="3" t="str">
        <f>IFERROR(__xludf.DUMMYFUNCTION("GOOGLETRANSLATE(B19, ""nl"", ""en"")"),"A frog preparing to jump")</f>
        <v>A frog preparing to jump</v>
      </c>
    </row>
    <row r="20">
      <c r="A20" s="3" t="s">
        <v>24</v>
      </c>
      <c r="B20" s="3" t="s">
        <v>27</v>
      </c>
      <c r="D20" s="3" t="str">
        <f>IFERROR(__xludf.DUMMYFUNCTION("GOOGLETRANSLATE(A20, ""nl"", ""en"")"),"Cosmic and Abstract Patterns")</f>
        <v>Cosmic and Abstract Patterns</v>
      </c>
      <c r="E20" s="3" t="str">
        <f>IFERROR(__xludf.DUMMYFUNCTION("GOOGLETRANSLATE(B20, ""nl"", ""en"")"),"A pair of black holes in dance")</f>
        <v>A pair of black holes in dance</v>
      </c>
    </row>
    <row r="21" ht="15.75" customHeight="1">
      <c r="A21" s="3" t="s">
        <v>7</v>
      </c>
      <c r="B21" s="3" t="s">
        <v>28</v>
      </c>
      <c r="D21" s="3" t="str">
        <f>IFERROR(__xludf.DUMMYFUNCTION("GOOGLETRANSLATE(A21, ""nl"", ""en"")"),"Human Figures and Physicality")</f>
        <v>Human Figures and Physicality</v>
      </c>
      <c r="E21" s="3" t="str">
        <f>IFERROR(__xludf.DUMMYFUNCTION("GOOGLETRANSLATE(B21, ""nl"", ""en"")"),"A dancing silhouette")</f>
        <v>A dancing silhouette</v>
      </c>
    </row>
    <row r="22" ht="15.75" customHeight="1">
      <c r="A22" s="3" t="s">
        <v>15</v>
      </c>
      <c r="B22" s="3" t="s">
        <v>26</v>
      </c>
      <c r="D22" s="3" t="str">
        <f>IFERROR(__xludf.DUMMYFUNCTION("GOOGLETRANSLATE(A22, ""nl"", ""en"")"),"Animals and Organic Forms")</f>
        <v>Animals and Organic Forms</v>
      </c>
      <c r="E22" s="3" t="str">
        <f>IFERROR(__xludf.DUMMYFUNCTION("GOOGLETRANSLATE(B22, ""nl"", ""en"")"),"A frog preparing to jump")</f>
        <v>A frog preparing to jump</v>
      </c>
    </row>
    <row r="23" ht="15.75" customHeight="1">
      <c r="A23" s="3" t="s">
        <v>24</v>
      </c>
      <c r="B23" s="3" t="s">
        <v>29</v>
      </c>
      <c r="D23" s="3" t="str">
        <f>IFERROR(__xludf.DUMMYFUNCTION("GOOGLETRANSLATE(A23, ""nl"", ""en"")"),"Cosmic and Abstract Patterns")</f>
        <v>Cosmic and Abstract Patterns</v>
      </c>
      <c r="E23" s="3" t="str">
        <f>IFERROR(__xludf.DUMMYFUNCTION("GOOGLETRANSLATE(B23, ""nl"", ""en"")"),"A galaxy unfolding")</f>
        <v>A galaxy unfolding</v>
      </c>
    </row>
    <row r="24" ht="15.75" customHeight="1">
      <c r="A24" s="3" t="s">
        <v>12</v>
      </c>
      <c r="B24" s="3" t="s">
        <v>30</v>
      </c>
      <c r="D24" s="3" t="str">
        <f>IFERROR(__xludf.DUMMYFUNCTION("GOOGLETRANSLATE(A24, ""nl"", ""en"")"),"Nature and Elements")</f>
        <v>Nature and Elements</v>
      </c>
      <c r="E24" s="3" t="str">
        <f>IFERROR(__xludf.DUMMYFUNCTION("GOOGLETRANSLATE(B24, ""nl"", ""en"")"),"Waves breaking in fractal patterns")</f>
        <v>Waves breaking in fractal patterns</v>
      </c>
    </row>
    <row r="25" ht="15.75" customHeight="1">
      <c r="A25" s="3" t="s">
        <v>7</v>
      </c>
      <c r="B25" s="3" t="s">
        <v>28</v>
      </c>
      <c r="D25" s="3" t="str">
        <f>IFERROR(__xludf.DUMMYFUNCTION("GOOGLETRANSLATE(A25, ""nl"", ""en"")"),"Human Figures and Physicality")</f>
        <v>Human Figures and Physicality</v>
      </c>
      <c r="E25" s="3" t="str">
        <f>IFERROR(__xludf.DUMMYFUNCTION("GOOGLETRANSLATE(B25, ""nl"", ""en"")"),"A dancing silhouette")</f>
        <v>A dancing silhouette</v>
      </c>
    </row>
    <row r="26" ht="15.75" customHeight="1">
      <c r="A26" s="3" t="s">
        <v>9</v>
      </c>
      <c r="B26" s="3" t="s">
        <v>14</v>
      </c>
      <c r="D26" s="3" t="str">
        <f>IFERROR(__xludf.DUMMYFUNCTION("GOOGLETRANSLATE(A26, ""nl"", ""en"")"),"Psychological and Emotional Interpretations")</f>
        <v>Psychological and Emotional Interpretations</v>
      </c>
      <c r="E26" s="3" t="str">
        <f>IFERROR(__xludf.DUMMYFUNCTION("GOOGLETRANSLATE(B26, ""nl"", ""en"")"),"An unclear hug")</f>
        <v>An unclear hug</v>
      </c>
    </row>
    <row r="27" ht="15.75" customHeight="1">
      <c r="A27" s="3" t="s">
        <v>24</v>
      </c>
      <c r="B27" s="3" t="s">
        <v>31</v>
      </c>
      <c r="D27" s="3" t="str">
        <f>IFERROR(__xludf.DUMMYFUNCTION("GOOGLETRANSLATE(A27, ""nl"", ""en"")"),"Cosmic and Abstract Patterns")</f>
        <v>Cosmic and Abstract Patterns</v>
      </c>
      <c r="E27" s="3" t="str">
        <f>IFERROR(__xludf.DUMMYFUNCTION("GOOGLETRANSLATE(B27, ""nl"", ""en"")"),"A planet with unusual rings")</f>
        <v>A planet with unusual rings</v>
      </c>
    </row>
    <row r="28" ht="15.75" customHeight="1">
      <c r="A28" s="3" t="s">
        <v>24</v>
      </c>
      <c r="B28" s="3" t="s">
        <v>32</v>
      </c>
      <c r="D28" s="3" t="str">
        <f>IFERROR(__xludf.DUMMYFUNCTION("GOOGLETRANSLATE(A28, ""nl"", ""en"")"),"Cosmic and Abstract Patterns")</f>
        <v>Cosmic and Abstract Patterns</v>
      </c>
      <c r="E28" s="3" t="str">
        <f>IFERROR(__xludf.DUMMYFUNCTION("GOOGLETRANSLATE(B28, ""nl"", ""en"")"),"A time loop captured in image")</f>
        <v>A time loop captured in image</v>
      </c>
    </row>
    <row r="29" ht="15.75" customHeight="1">
      <c r="A29" s="3" t="s">
        <v>24</v>
      </c>
      <c r="B29" s="3" t="s">
        <v>33</v>
      </c>
      <c r="D29" s="3" t="str">
        <f>IFERROR(__xludf.DUMMYFUNCTION("GOOGLETRANSLATE(A29, ""nl"", ""en"")"),"Cosmic and Abstract Patterns")</f>
        <v>Cosmic and Abstract Patterns</v>
      </c>
      <c r="E29" s="3" t="str">
        <f>IFERROR(__xludf.DUMMYFUNCTION("GOOGLETRANSLATE(B29, ""nl"", ""en"")"),"An eye that repeats itself in endless patterns")</f>
        <v>An eye that repeats itself in endless patterns</v>
      </c>
    </row>
    <row r="30" ht="15.75" customHeight="1">
      <c r="A30" s="3" t="s">
        <v>24</v>
      </c>
      <c r="B30" s="3" t="s">
        <v>32</v>
      </c>
      <c r="D30" s="3" t="str">
        <f>IFERROR(__xludf.DUMMYFUNCTION("GOOGLETRANSLATE(A30, ""nl"", ""en"")"),"Cosmic and Abstract Patterns")</f>
        <v>Cosmic and Abstract Patterns</v>
      </c>
      <c r="E30" s="3" t="str">
        <f>IFERROR(__xludf.DUMMYFUNCTION("GOOGLETRANSLATE(B30, ""nl"", ""en"")"),"A time loop captured in image")</f>
        <v>A time loop captured in image</v>
      </c>
    </row>
    <row r="31" ht="15.75" customHeight="1">
      <c r="A31" s="3" t="s">
        <v>12</v>
      </c>
      <c r="B31" s="3" t="s">
        <v>18</v>
      </c>
      <c r="D31" s="3" t="str">
        <f>IFERROR(__xludf.DUMMYFUNCTION("GOOGLETRANSLATE(A31, ""nl"", ""en"")"),"Nature and Elements")</f>
        <v>Nature and Elements</v>
      </c>
      <c r="E31" s="3" t="str">
        <f>IFERROR(__xludf.DUMMYFUNCTION("GOOGLETRANSLATE(B31, ""nl"", ""en"")"),"A tree with endless branches")</f>
        <v>A tree with endless branches</v>
      </c>
    </row>
    <row r="32" ht="15.75" customHeight="1">
      <c r="A32" s="3" t="s">
        <v>7</v>
      </c>
      <c r="B32" s="3" t="s">
        <v>28</v>
      </c>
      <c r="D32" s="3" t="str">
        <f>IFERROR(__xludf.DUMMYFUNCTION("GOOGLETRANSLATE(A32, ""nl"", ""en"")"),"Human Figures and Physicality")</f>
        <v>Human Figures and Physicality</v>
      </c>
      <c r="E32" s="3" t="str">
        <f>IFERROR(__xludf.DUMMYFUNCTION("GOOGLETRANSLATE(B32, ""nl"", ""en"")"),"A dancing silhouette")</f>
        <v>A dancing silhouette</v>
      </c>
    </row>
    <row r="33" ht="15.75" customHeight="1">
      <c r="A33" s="3" t="s">
        <v>12</v>
      </c>
      <c r="B33" s="3" t="s">
        <v>13</v>
      </c>
      <c r="D33" s="3" t="str">
        <f>IFERROR(__xludf.DUMMYFUNCTION("GOOGLETRANSLATE(A33, ""nl"", ""en"")"),"Nature and Elements")</f>
        <v>Nature and Elements</v>
      </c>
      <c r="E33" s="3" t="str">
        <f>IFERROR(__xludf.DUMMYFUNCTION("GOOGLETRANSLATE(B33, ""nl"", ""en"")"),"A lightning strike in slow motion")</f>
        <v>A lightning strike in slow motion</v>
      </c>
    </row>
    <row r="34" ht="15.75" customHeight="1">
      <c r="A34" s="3" t="s">
        <v>7</v>
      </c>
      <c r="B34" s="3" t="s">
        <v>34</v>
      </c>
      <c r="D34" s="3" t="str">
        <f>IFERROR(__xludf.DUMMYFUNCTION("GOOGLETRANSLATE(A34, ""nl"", ""en"")"),"Human Figures and Physicality")</f>
        <v>Human Figures and Physicality</v>
      </c>
      <c r="E34" s="3" t="str">
        <f>IFERROR(__xludf.DUMMYFUNCTION("GOOGLETRANSLATE(B34, ""nl"", ""en"")"),"Hands almost touching")</f>
        <v>Hands almost touching</v>
      </c>
    </row>
    <row r="35" ht="15.75" customHeight="1">
      <c r="A35" s="3" t="s">
        <v>4</v>
      </c>
      <c r="B35" s="3" t="s">
        <v>35</v>
      </c>
      <c r="D35" s="3" t="str">
        <f>IFERROR(__xludf.DUMMYFUNCTION("GOOGLETRANSLATE(A35, ""nl"", ""en"")"),"Architectural and Structural Associations")</f>
        <v>Architectural and Structural Associations</v>
      </c>
      <c r="E35" s="3" t="str">
        <f>IFERROR(__xludf.DUMMYFUNCTION("GOOGLETRANSLATE(B35, ""nl"", ""en"")"),"A floating building without a base")</f>
        <v>A floating building without a base</v>
      </c>
    </row>
    <row r="36" ht="15.75" customHeight="1">
      <c r="A36" s="3" t="s">
        <v>9</v>
      </c>
      <c r="B36" s="3" t="s">
        <v>10</v>
      </c>
      <c r="D36" s="3" t="str">
        <f>IFERROR(__xludf.DUMMYFUNCTION("GOOGLETRANSLATE(A36, ""nl"", ""en"")"),"Psychological and Emotional Interpretations")</f>
        <v>Psychological and Emotional Interpretations</v>
      </c>
      <c r="E36" s="3" t="str">
        <f>IFERROR(__xludf.DUMMYFUNCTION("GOOGLETRANSLATE(B36, ""nl"", ""en"")"),"A face transforming in light")</f>
        <v>A face transforming in light</v>
      </c>
    </row>
    <row r="37" ht="15.75" customHeight="1">
      <c r="A37" s="3" t="s">
        <v>12</v>
      </c>
      <c r="B37" s="3" t="s">
        <v>36</v>
      </c>
      <c r="D37" s="3" t="str">
        <f>IFERROR(__xludf.DUMMYFUNCTION("GOOGLETRANSLATE(A37, ""nl"", ""en"")"),"Nature and Elements")</f>
        <v>Nature and Elements</v>
      </c>
      <c r="E37" s="3" t="str">
        <f>IFERROR(__xludf.DUMMYFUNCTION("GOOGLETRANSLATE(B37, ""nl"", ""en"")"),"A river delta from a bird's-eye view")</f>
        <v>A river delta from a bird's-eye view</v>
      </c>
    </row>
    <row r="38" ht="15.75" customHeight="1">
      <c r="A38" s="3" t="s">
        <v>4</v>
      </c>
      <c r="B38" s="3" t="s">
        <v>21</v>
      </c>
      <c r="D38" s="3" t="str">
        <f>IFERROR(__xludf.DUMMYFUNCTION("GOOGLETRANSLATE(A38, ""nl"", ""en"")"),"Architectural and Structural Associations")</f>
        <v>Architectural and Structural Associations</v>
      </c>
      <c r="E38" s="3" t="str">
        <f>IFERROR(__xludf.DUMMYFUNCTION("GOOGLETRANSLATE(B38, ""nl"", ""en"")"),"A bridge that leads nowhere")</f>
        <v>A bridge that leads nowhere</v>
      </c>
    </row>
    <row r="39" ht="15.75" customHeight="1">
      <c r="A39" s="3" t="s">
        <v>12</v>
      </c>
      <c r="B39" s="3" t="s">
        <v>13</v>
      </c>
      <c r="D39" s="3" t="str">
        <f>IFERROR(__xludf.DUMMYFUNCTION("GOOGLETRANSLATE(A39, ""nl"", ""en"")"),"Nature and Elements")</f>
        <v>Nature and Elements</v>
      </c>
      <c r="E39" s="3" t="str">
        <f>IFERROR(__xludf.DUMMYFUNCTION("GOOGLETRANSLATE(B39, ""nl"", ""en"")"),"A lightning strike in slow motion")</f>
        <v>A lightning strike in slow motion</v>
      </c>
    </row>
    <row r="40" ht="15.75" customHeight="1">
      <c r="A40" s="3" t="s">
        <v>12</v>
      </c>
      <c r="B40" s="3" t="s">
        <v>23</v>
      </c>
      <c r="D40" s="3" t="str">
        <f>IFERROR(__xludf.DUMMYFUNCTION("GOOGLETRANSLATE(A40, ""nl"", ""en"")"),"Nature and Elements")</f>
        <v>Nature and Elements</v>
      </c>
      <c r="E40" s="3" t="str">
        <f>IFERROR(__xludf.DUMMYFUNCTION("GOOGLETRANSLATE(B40, ""nl"", ""en"")"),"A storm cloud splitting in two")</f>
        <v>A storm cloud splitting in two</v>
      </c>
    </row>
    <row r="41" ht="15.75" customHeight="1">
      <c r="A41" s="3" t="s">
        <v>7</v>
      </c>
      <c r="B41" s="3" t="s">
        <v>34</v>
      </c>
      <c r="D41" s="3" t="str">
        <f>IFERROR(__xludf.DUMMYFUNCTION("GOOGLETRANSLATE(A41, ""nl"", ""en"")"),"Human Figures and Physicality")</f>
        <v>Human Figures and Physicality</v>
      </c>
      <c r="E41" s="3" t="str">
        <f>IFERROR(__xludf.DUMMYFUNCTION("GOOGLETRANSLATE(B41, ""nl"", ""en"")"),"Hands almost touching")</f>
        <v>Hands almost touching</v>
      </c>
    </row>
    <row r="42" ht="15.75" customHeight="1">
      <c r="A42" s="3" t="s">
        <v>24</v>
      </c>
      <c r="B42" s="3" t="s">
        <v>27</v>
      </c>
      <c r="D42" s="3" t="str">
        <f>IFERROR(__xludf.DUMMYFUNCTION("GOOGLETRANSLATE(A42, ""nl"", ""en"")"),"Cosmic and Abstract Patterns")</f>
        <v>Cosmic and Abstract Patterns</v>
      </c>
      <c r="E42" s="3" t="str">
        <f>IFERROR(__xludf.DUMMYFUNCTION("GOOGLETRANSLATE(B42, ""nl"", ""en"")"),"A pair of black holes in dance")</f>
        <v>A pair of black holes in dance</v>
      </c>
    </row>
    <row r="43" ht="15.75" customHeight="1">
      <c r="A43" s="3" t="s">
        <v>9</v>
      </c>
      <c r="B43" s="3" t="s">
        <v>37</v>
      </c>
      <c r="D43" s="3" t="str">
        <f>IFERROR(__xludf.DUMMYFUNCTION("GOOGLETRANSLATE(A43, ""nl"", ""en"")"),"Psychological and Emotional Interpretations")</f>
        <v>Psychological and Emotional Interpretations</v>
      </c>
      <c r="E43" s="3" t="str">
        <f>IFERROR(__xludf.DUMMYFUNCTION("GOOGLETRANSLATE(B43, ""nl"", ""en"")"),"A figure looking through itself")</f>
        <v>A figure looking through itself</v>
      </c>
    </row>
    <row r="44" ht="15.75" customHeight="1">
      <c r="A44" s="3" t="s">
        <v>12</v>
      </c>
      <c r="B44" s="3" t="s">
        <v>19</v>
      </c>
      <c r="D44" s="3" t="str">
        <f>IFERROR(__xludf.DUMMYFUNCTION("GOOGLETRANSLATE(A44, ""nl"", ""en"")"),"Nature and Elements")</f>
        <v>Nature and Elements</v>
      </c>
      <c r="E44" s="3" t="str">
        <f>IFERROR(__xludf.DUMMYFUNCTION("GOOGLETRANSLATE(B44, ""nl"", ""en"")"),"A mountain range that seems to breathe")</f>
        <v>A mountain range that seems to breathe</v>
      </c>
    </row>
    <row r="45" ht="15.75" customHeight="1">
      <c r="A45" s="3" t="s">
        <v>4</v>
      </c>
      <c r="B45" s="3" t="s">
        <v>35</v>
      </c>
      <c r="D45" s="3" t="str">
        <f>IFERROR(__xludf.DUMMYFUNCTION("GOOGLETRANSLATE(A45, ""nl"", ""en"")"),"Architectural and Structural Associations")</f>
        <v>Architectural and Structural Associations</v>
      </c>
      <c r="E45" s="3" t="str">
        <f>IFERROR(__xludf.DUMMYFUNCTION("GOOGLETRANSLATE(B45, ""nl"", ""en"")"),"A floating building without a base")</f>
        <v>A floating building without a base</v>
      </c>
    </row>
    <row r="46" ht="15.75" customHeight="1">
      <c r="A46" s="3" t="s">
        <v>15</v>
      </c>
      <c r="B46" s="3" t="s">
        <v>16</v>
      </c>
      <c r="D46" s="3" t="str">
        <f>IFERROR(__xludf.DUMMYFUNCTION("GOOGLETRANSLATE(A46, ""nl"", ""en"")"),"Animals and Organic Forms")</f>
        <v>Animals and Organic Forms</v>
      </c>
      <c r="E46" s="3" t="str">
        <f>IFERROR(__xludf.DUMMYFUNCTION("GOOGLETRANSLATE(B46, ""nl"", ""en"")"),"A butterfly in transformation")</f>
        <v>A butterfly in transformation</v>
      </c>
    </row>
    <row r="47" ht="15.75" customHeight="1">
      <c r="A47" s="3" t="s">
        <v>15</v>
      </c>
      <c r="B47" s="3" t="s">
        <v>38</v>
      </c>
      <c r="D47" s="3" t="str">
        <f>IFERROR(__xludf.DUMMYFUNCTION("GOOGLETRANSLATE(A47, ""nl"", ""en"")"),"Animals and Organic Forms")</f>
        <v>Animals and Organic Forms</v>
      </c>
      <c r="E47" s="3" t="str">
        <f>IFERROR(__xludf.DUMMYFUNCTION("GOOGLETRANSLATE(B47, ""nl"", ""en"")"),"A lion with an open mouth")</f>
        <v>A lion with an open mouth</v>
      </c>
    </row>
    <row r="48" ht="15.75" customHeight="1">
      <c r="A48" s="3" t="s">
        <v>7</v>
      </c>
      <c r="B48" s="3" t="s">
        <v>39</v>
      </c>
      <c r="D48" s="3" t="str">
        <f>IFERROR(__xludf.DUMMYFUNCTION("GOOGLETRANSLATE(A48, ""nl"", ""en"")"),"Human Figures and Physicality")</f>
        <v>Human Figures and Physicality</v>
      </c>
      <c r="E48" s="3" t="str">
        <f>IFERROR(__xludf.DUMMYFUNCTION("GOOGLETRANSLATE(B48, ""nl"", ""en"")"),"A torso without a head")</f>
        <v>A torso without a head</v>
      </c>
    </row>
    <row r="49" ht="15.75" customHeight="1">
      <c r="A49" s="3" t="s">
        <v>7</v>
      </c>
      <c r="B49" s="3" t="s">
        <v>8</v>
      </c>
      <c r="D49" s="3" t="str">
        <f>IFERROR(__xludf.DUMMYFUNCTION("GOOGLETRANSLATE(A49, ""nl"", ""en"")"),"Human Figures and Physicality")</f>
        <v>Human Figures and Physicality</v>
      </c>
      <c r="E49" s="3" t="str">
        <f>IFERROR(__xludf.DUMMYFUNCTION("GOOGLETRANSLATE(B49, ""nl"", ""en"")"),"Two figures mirroring each other")</f>
        <v>Two figures mirroring each other</v>
      </c>
    </row>
    <row r="50" ht="15.75" customHeight="1">
      <c r="A50" s="3" t="s">
        <v>4</v>
      </c>
      <c r="B50" s="3" t="s">
        <v>6</v>
      </c>
      <c r="D50" s="3" t="str">
        <f>IFERROR(__xludf.DUMMYFUNCTION("GOOGLETRANSLATE(A50, ""nl"", ""en"")"),"Architectural and Structural Associations")</f>
        <v>Architectural and Structural Associations</v>
      </c>
      <c r="E50" s="3" t="str">
        <f>IFERROR(__xludf.DUMMYFUNCTION("GOOGLETRANSLATE(B50, ""nl"", ""en"")"),"An endless labyrinth")</f>
        <v>An endless labyrinth</v>
      </c>
    </row>
    <row r="51" ht="15.75" customHeight="1">
      <c r="A51" s="3" t="s">
        <v>12</v>
      </c>
      <c r="B51" s="3" t="s">
        <v>30</v>
      </c>
      <c r="D51" s="3" t="str">
        <f>IFERROR(__xludf.DUMMYFUNCTION("GOOGLETRANSLATE(A51, ""nl"", ""en"")"),"Nature and Elements")</f>
        <v>Nature and Elements</v>
      </c>
      <c r="E51" s="3" t="str">
        <f>IFERROR(__xludf.DUMMYFUNCTION("GOOGLETRANSLATE(B51, ""nl"", ""en"")"),"Waves breaking in fractal patterns")</f>
        <v>Waves breaking in fractal patterns</v>
      </c>
    </row>
    <row r="52" ht="15.75" customHeight="1">
      <c r="A52" s="3" t="s">
        <v>7</v>
      </c>
      <c r="B52" s="3" t="s">
        <v>40</v>
      </c>
      <c r="D52" s="3" t="str">
        <f>IFERROR(__xludf.DUMMYFUNCTION("GOOGLETRANSLATE(A52, ""nl"", ""en"")"),"Human Figures and Physicality")</f>
        <v>Human Figures and Physicality</v>
      </c>
      <c r="E52" s="3" t="str">
        <f>IFERROR(__xludf.DUMMYFUNCTION("GOOGLETRANSLATE(B52, ""nl"", ""en"")"),"A figure who is withdrawn into himself")</f>
        <v>A figure who is withdrawn into himself</v>
      </c>
    </row>
    <row r="53" ht="15.75" customHeight="1">
      <c r="A53" s="3" t="s">
        <v>4</v>
      </c>
      <c r="B53" s="3" t="s">
        <v>35</v>
      </c>
      <c r="D53" s="3" t="str">
        <f>IFERROR(__xludf.DUMMYFUNCTION("GOOGLETRANSLATE(A53, ""nl"", ""en"")"),"Architectural and Structural Associations")</f>
        <v>Architectural and Structural Associations</v>
      </c>
      <c r="E53" s="3" t="str">
        <f>IFERROR(__xludf.DUMMYFUNCTION("GOOGLETRANSLATE(B53, ""nl"", ""en"")"),"A floating building without a base")</f>
        <v>A floating building without a base</v>
      </c>
    </row>
    <row r="54" ht="15.75" customHeight="1">
      <c r="A54" s="3" t="s">
        <v>7</v>
      </c>
      <c r="B54" s="3" t="s">
        <v>41</v>
      </c>
      <c r="D54" s="3" t="str">
        <f>IFERROR(__xludf.DUMMYFUNCTION("GOOGLETRANSLATE(A54, ""nl"", ""en"")"),"Human Figures and Physicality")</f>
        <v>Human Figures and Physicality</v>
      </c>
      <c r="E54" s="3" t="str">
        <f>IFERROR(__xludf.DUMMYFUNCTION("GOOGLETRANSLATE(B54, ""nl"", ""en"")"),"A face that fades into abstraction")</f>
        <v>A face that fades into abstraction</v>
      </c>
    </row>
    <row r="55" ht="15.75" customHeight="1">
      <c r="A55" s="3" t="s">
        <v>12</v>
      </c>
      <c r="B55" s="3" t="s">
        <v>18</v>
      </c>
      <c r="D55" s="3" t="str">
        <f>IFERROR(__xludf.DUMMYFUNCTION("GOOGLETRANSLATE(A55, ""nl"", ""en"")"),"Nature and Elements")</f>
        <v>Nature and Elements</v>
      </c>
      <c r="E55" s="3" t="str">
        <f>IFERROR(__xludf.DUMMYFUNCTION("GOOGLETRANSLATE(B55, ""nl"", ""en"")"),"A tree with endless branches")</f>
        <v>A tree with endless branches</v>
      </c>
    </row>
    <row r="56" ht="15.75" customHeight="1">
      <c r="A56" s="3" t="s">
        <v>24</v>
      </c>
      <c r="B56" s="3" t="s">
        <v>29</v>
      </c>
      <c r="D56" s="3" t="str">
        <f>IFERROR(__xludf.DUMMYFUNCTION("GOOGLETRANSLATE(A56, ""nl"", ""en"")"),"Cosmic and Abstract Patterns")</f>
        <v>Cosmic and Abstract Patterns</v>
      </c>
      <c r="E56" s="3" t="str">
        <f>IFERROR(__xludf.DUMMYFUNCTION("GOOGLETRANSLATE(B56, ""nl"", ""en"")"),"A galaxy unfolding")</f>
        <v>A galaxy unfolding</v>
      </c>
    </row>
    <row r="57" ht="15.75" customHeight="1">
      <c r="A57" s="3" t="s">
        <v>12</v>
      </c>
      <c r="B57" s="3" t="s">
        <v>18</v>
      </c>
      <c r="D57" s="3" t="str">
        <f>IFERROR(__xludf.DUMMYFUNCTION("GOOGLETRANSLATE(A57, ""nl"", ""en"")"),"Nature and Elements")</f>
        <v>Nature and Elements</v>
      </c>
      <c r="E57" s="3" t="str">
        <f>IFERROR(__xludf.DUMMYFUNCTION("GOOGLETRANSLATE(B57, ""nl"", ""en"")"),"A tree with endless branches")</f>
        <v>A tree with endless branches</v>
      </c>
    </row>
    <row r="58" ht="15.75" customHeight="1">
      <c r="A58" s="3" t="s">
        <v>9</v>
      </c>
      <c r="B58" s="3" t="s">
        <v>42</v>
      </c>
      <c r="D58" s="3" t="str">
        <f>IFERROR(__xludf.DUMMYFUNCTION("GOOGLETRANSLATE(A58, ""nl"", ""en"")"),"Psychological and Emotional Interpretations")</f>
        <v>Psychological and Emotional Interpretations</v>
      </c>
      <c r="E58" s="3" t="str">
        <f>IFERROR(__xludf.DUMMYFUNCTION("GOOGLETRANSLATE(B58, ""nl"", ""en"")"),"A mask that slowly disappears")</f>
        <v>A mask that slowly disappears</v>
      </c>
    </row>
    <row r="59" ht="15.75" customHeight="1">
      <c r="A59" s="3" t="s">
        <v>24</v>
      </c>
      <c r="B59" s="3" t="s">
        <v>27</v>
      </c>
      <c r="D59" s="3" t="str">
        <f>IFERROR(__xludf.DUMMYFUNCTION("GOOGLETRANSLATE(A59, ""nl"", ""en"")"),"Cosmic and Abstract Patterns")</f>
        <v>Cosmic and Abstract Patterns</v>
      </c>
      <c r="E59" s="3" t="str">
        <f>IFERROR(__xludf.DUMMYFUNCTION("GOOGLETRANSLATE(B59, ""nl"", ""en"")"),"A pair of black holes in dance")</f>
        <v>A pair of black holes in dance</v>
      </c>
    </row>
    <row r="60" ht="15.75" customHeight="1">
      <c r="A60" s="3" t="s">
        <v>9</v>
      </c>
      <c r="B60" s="3" t="s">
        <v>11</v>
      </c>
      <c r="D60" s="3" t="str">
        <f>IFERROR(__xludf.DUMMYFUNCTION("GOOGLETRANSLATE(A60, ""nl"", ""en"")"),"Psychological and Emotional Interpretations")</f>
        <v>Psychological and Emotional Interpretations</v>
      </c>
      <c r="E60" s="3" t="str">
        <f>IFERROR(__xludf.DUMMYFUNCTION("GOOGLETRANSLATE(B60, ""nl"", ""en"")"),"An emotion captured in abstraction")</f>
        <v>An emotion captured in abstraction</v>
      </c>
    </row>
    <row r="61" ht="15.75" customHeight="1">
      <c r="A61" s="3" t="s">
        <v>4</v>
      </c>
      <c r="B61" s="3" t="s">
        <v>6</v>
      </c>
      <c r="D61" s="3" t="str">
        <f>IFERROR(__xludf.DUMMYFUNCTION("GOOGLETRANSLATE(A61, ""nl"", ""en"")"),"Architectural and Structural Associations")</f>
        <v>Architectural and Structural Associations</v>
      </c>
      <c r="E61" s="3" t="str">
        <f>IFERROR(__xludf.DUMMYFUNCTION("GOOGLETRANSLATE(B61, ""nl"", ""en"")"),"An endless labyrinth")</f>
        <v>An endless labyrinth</v>
      </c>
    </row>
    <row r="62" ht="15.75" customHeight="1">
      <c r="A62" s="3" t="s">
        <v>4</v>
      </c>
      <c r="B62" s="3" t="s">
        <v>43</v>
      </c>
      <c r="D62" s="3" t="str">
        <f>IFERROR(__xludf.DUMMYFUNCTION("GOOGLETRANSLATE(A62, ""nl"", ""en"")"),"Architectural and Structural Associations")</f>
        <v>Architectural and Structural Associations</v>
      </c>
      <c r="E62" s="3" t="str">
        <f>IFERROR(__xludf.DUMMYFUNCTION("GOOGLETRANSLATE(B62, ""nl"", ""en"")"),"A network of tunnels and passages")</f>
        <v>A network of tunnels and passages</v>
      </c>
    </row>
    <row r="63" ht="15.75" customHeight="1">
      <c r="A63" s="3" t="s">
        <v>7</v>
      </c>
      <c r="B63" s="3" t="s">
        <v>40</v>
      </c>
      <c r="D63" s="3" t="str">
        <f>IFERROR(__xludf.DUMMYFUNCTION("GOOGLETRANSLATE(A63, ""nl"", ""en"")"),"Human Figures and Physicality")</f>
        <v>Human Figures and Physicality</v>
      </c>
      <c r="E63" s="3" t="str">
        <f>IFERROR(__xludf.DUMMYFUNCTION("GOOGLETRANSLATE(B63, ""nl"", ""en"")"),"A figure who is withdrawn into himself")</f>
        <v>A figure who is withdrawn into himself</v>
      </c>
    </row>
    <row r="64" ht="15.75" customHeight="1">
      <c r="A64" s="3" t="s">
        <v>4</v>
      </c>
      <c r="B64" s="3" t="s">
        <v>44</v>
      </c>
      <c r="D64" s="3" t="str">
        <f>IFERROR(__xludf.DUMMYFUNCTION("GOOGLETRANSLATE(A64, ""nl"", ""en"")"),"Architectural and Structural Associations")</f>
        <v>Architectural and Structural Associations</v>
      </c>
      <c r="E64" s="3" t="str">
        <f>IFERROR(__xludf.DUMMYFUNCTION("GOOGLETRANSLATE(B64, ""nl"", ""en"")"),"A structure that pulsates in waves")</f>
        <v>A structure that pulsates in waves</v>
      </c>
    </row>
    <row r="65" ht="15.75" customHeight="1">
      <c r="A65" s="3" t="s">
        <v>15</v>
      </c>
      <c r="B65" s="3" t="s">
        <v>45</v>
      </c>
      <c r="D65" s="3" t="str">
        <f>IFERROR(__xludf.DUMMYFUNCTION("GOOGLETRANSLATE(A65, ""nl"", ""en"")"),"Animals and Organic Forms")</f>
        <v>Animals and Organic Forms</v>
      </c>
      <c r="E65" s="3" t="str">
        <f>IFERROR(__xludf.DUMMYFUNCTION("GOOGLETRANSLATE(B65, ""nl"", ""en"")"),"A snake biting its own tail")</f>
        <v>A snake biting its own tail</v>
      </c>
    </row>
    <row r="66" ht="15.75" customHeight="1">
      <c r="A66" s="3" t="s">
        <v>15</v>
      </c>
      <c r="B66" s="3" t="s">
        <v>46</v>
      </c>
      <c r="D66" s="3" t="str">
        <f>IFERROR(__xludf.DUMMYFUNCTION("GOOGLETRANSLATE(A66, ""nl"", ""en"")"),"Animals and Organic Forms")</f>
        <v>Animals and Organic Forms</v>
      </c>
      <c r="E66" s="3" t="str">
        <f>IFERROR(__xludf.DUMMYFUNCTION("GOOGLETRANSLATE(B66, ""nl"", ""en"")"),"A flock of fish moving as one")</f>
        <v>A flock of fish moving as one</v>
      </c>
    </row>
    <row r="67" ht="15.75" customHeight="1">
      <c r="A67" s="3" t="s">
        <v>15</v>
      </c>
      <c r="B67" s="3" t="s">
        <v>26</v>
      </c>
      <c r="D67" s="3" t="str">
        <f>IFERROR(__xludf.DUMMYFUNCTION("GOOGLETRANSLATE(A67, ""nl"", ""en"")"),"Animals and Organic Forms")</f>
        <v>Animals and Organic Forms</v>
      </c>
      <c r="E67" s="3" t="str">
        <f>IFERROR(__xludf.DUMMYFUNCTION("GOOGLETRANSLATE(B67, ""nl"", ""en"")"),"A frog preparing to jump")</f>
        <v>A frog preparing to jump</v>
      </c>
    </row>
    <row r="68" ht="15.75" customHeight="1">
      <c r="A68" s="3" t="s">
        <v>12</v>
      </c>
      <c r="B68" s="3" t="s">
        <v>47</v>
      </c>
      <c r="D68" s="3" t="str">
        <f>IFERROR(__xludf.DUMMYFUNCTION("GOOGLETRANSLATE(A68, ""nl"", ""en"")"),"Nature and Elements")</f>
        <v>Nature and Elements</v>
      </c>
      <c r="E68" s="3" t="str">
        <f>IFERROR(__xludf.DUMMYFUNCTION("GOOGLETRANSLATE(B68, ""nl"", ""en"")"),"A desert landscape that slowly changes")</f>
        <v>A desert landscape that slowly changes</v>
      </c>
    </row>
    <row r="69" ht="15.75" customHeight="1">
      <c r="A69" s="3" t="s">
        <v>24</v>
      </c>
      <c r="B69" s="3" t="s">
        <v>48</v>
      </c>
      <c r="D69" s="3" t="str">
        <f>IFERROR(__xludf.DUMMYFUNCTION("GOOGLETRANSLATE(A69, ""nl"", ""en"")"),"Cosmic and Abstract Patterns")</f>
        <v>Cosmic and Abstract Patterns</v>
      </c>
      <c r="E69" s="3" t="str">
        <f>IFERROR(__xludf.DUMMYFUNCTION("GOOGLETRANSLATE(B69, ""nl"", ""en"")"),"A fractal that repeats itself")</f>
        <v>A fractal that repeats itself</v>
      </c>
    </row>
    <row r="70" ht="15.75" customHeight="1">
      <c r="A70" s="3" t="s">
        <v>4</v>
      </c>
      <c r="B70" s="3" t="s">
        <v>6</v>
      </c>
      <c r="D70" s="3" t="str">
        <f>IFERROR(__xludf.DUMMYFUNCTION("GOOGLETRANSLATE(A70, ""nl"", ""en"")"),"Architectural and Structural Associations")</f>
        <v>Architectural and Structural Associations</v>
      </c>
      <c r="E70" s="3" t="str">
        <f>IFERROR(__xludf.DUMMYFUNCTION("GOOGLETRANSLATE(B70, ""nl"", ""en"")"),"An endless labyrinth")</f>
        <v>An endless labyrinth</v>
      </c>
    </row>
    <row r="71" ht="15.75" customHeight="1">
      <c r="A71" s="3" t="s">
        <v>7</v>
      </c>
      <c r="B71" s="3" t="s">
        <v>41</v>
      </c>
      <c r="D71" s="3" t="str">
        <f>IFERROR(__xludf.DUMMYFUNCTION("GOOGLETRANSLATE(A71, ""nl"", ""en"")"),"Human Figures and Physicality")</f>
        <v>Human Figures and Physicality</v>
      </c>
      <c r="E71" s="3" t="str">
        <f>IFERROR(__xludf.DUMMYFUNCTION("GOOGLETRANSLATE(B71, ""nl"", ""en"")"),"A face that fades into abstraction")</f>
        <v>A face that fades into abstraction</v>
      </c>
    </row>
    <row r="72" ht="15.75" customHeight="1">
      <c r="A72" s="3" t="s">
        <v>24</v>
      </c>
      <c r="B72" s="3" t="s">
        <v>33</v>
      </c>
      <c r="D72" s="3" t="str">
        <f>IFERROR(__xludf.DUMMYFUNCTION("GOOGLETRANSLATE(A72, ""nl"", ""en"")"),"Cosmic and Abstract Patterns")</f>
        <v>Cosmic and Abstract Patterns</v>
      </c>
      <c r="E72" s="3" t="str">
        <f>IFERROR(__xludf.DUMMYFUNCTION("GOOGLETRANSLATE(B72, ""nl"", ""en"")"),"An eye that repeats itself in endless patterns")</f>
        <v>An eye that repeats itself in endless patterns</v>
      </c>
    </row>
    <row r="73" ht="15.75" customHeight="1">
      <c r="A73" s="3" t="s">
        <v>15</v>
      </c>
      <c r="B73" s="3" t="s">
        <v>45</v>
      </c>
      <c r="D73" s="3" t="str">
        <f>IFERROR(__xludf.DUMMYFUNCTION("GOOGLETRANSLATE(A73, ""nl"", ""en"")"),"Animals and Organic Forms")</f>
        <v>Animals and Organic Forms</v>
      </c>
      <c r="E73" s="3" t="str">
        <f>IFERROR(__xludf.DUMMYFUNCTION("GOOGLETRANSLATE(B73, ""nl"", ""en"")"),"A snake biting its own tail")</f>
        <v>A snake biting its own tail</v>
      </c>
    </row>
    <row r="74" ht="15.75" customHeight="1">
      <c r="A74" s="3" t="s">
        <v>4</v>
      </c>
      <c r="B74" s="3" t="s">
        <v>35</v>
      </c>
      <c r="D74" s="3" t="str">
        <f>IFERROR(__xludf.DUMMYFUNCTION("GOOGLETRANSLATE(A74, ""nl"", ""en"")"),"Architectural and Structural Associations")</f>
        <v>Architectural and Structural Associations</v>
      </c>
      <c r="E74" s="3" t="str">
        <f>IFERROR(__xludf.DUMMYFUNCTION("GOOGLETRANSLATE(B74, ""nl"", ""en"")"),"A floating building without a base")</f>
        <v>A floating building without a base</v>
      </c>
    </row>
    <row r="75" ht="15.75" customHeight="1">
      <c r="A75" s="3" t="s">
        <v>15</v>
      </c>
      <c r="B75" s="3" t="s">
        <v>46</v>
      </c>
      <c r="D75" s="3" t="str">
        <f>IFERROR(__xludf.DUMMYFUNCTION("GOOGLETRANSLATE(A75, ""nl"", ""en"")"),"Animals and Organic Forms")</f>
        <v>Animals and Organic Forms</v>
      </c>
      <c r="E75" s="3" t="str">
        <f>IFERROR(__xludf.DUMMYFUNCTION("GOOGLETRANSLATE(B75, ""nl"", ""en"")"),"A flock of fish moving as one")</f>
        <v>A flock of fish moving as one</v>
      </c>
    </row>
    <row r="76" ht="15.75" customHeight="1">
      <c r="A76" s="3" t="s">
        <v>7</v>
      </c>
      <c r="B76" s="3" t="s">
        <v>28</v>
      </c>
      <c r="D76" s="3" t="str">
        <f>IFERROR(__xludf.DUMMYFUNCTION("GOOGLETRANSLATE(A76, ""nl"", ""en"")"),"Human Figures and Physicality")</f>
        <v>Human Figures and Physicality</v>
      </c>
      <c r="E76" s="3" t="str">
        <f>IFERROR(__xludf.DUMMYFUNCTION("GOOGLETRANSLATE(B76, ""nl"", ""en"")"),"A dancing silhouette")</f>
        <v>A dancing silhouette</v>
      </c>
    </row>
    <row r="77" ht="15.75" customHeight="1">
      <c r="A77" s="3" t="s">
        <v>4</v>
      </c>
      <c r="B77" s="3" t="s">
        <v>20</v>
      </c>
      <c r="D77" s="3" t="str">
        <f>IFERROR(__xludf.DUMMYFUNCTION("GOOGLETRANSLATE(A77, ""nl"", ""en"")"),"Architectural and Structural Associations")</f>
        <v>Architectural and Structural Associations</v>
      </c>
      <c r="E77" s="3" t="str">
        <f>IFERROR(__xludf.DUMMYFUNCTION("GOOGLETRANSLATE(B77, ""nl"", ""en"")"),"A tower that grows by itself")</f>
        <v>A tower that grows by itself</v>
      </c>
    </row>
    <row r="78" ht="15.75" customHeight="1">
      <c r="A78" s="3" t="s">
        <v>12</v>
      </c>
      <c r="B78" s="3" t="s">
        <v>18</v>
      </c>
      <c r="D78" s="3" t="str">
        <f>IFERROR(__xludf.DUMMYFUNCTION("GOOGLETRANSLATE(A78, ""nl"", ""en"")"),"Nature and Elements")</f>
        <v>Nature and Elements</v>
      </c>
      <c r="E78" s="3" t="str">
        <f>IFERROR(__xludf.DUMMYFUNCTION("GOOGLETRANSLATE(B78, ""nl"", ""en"")"),"A tree with endless branches")</f>
        <v>A tree with endless branches</v>
      </c>
    </row>
    <row r="79" ht="15.75" customHeight="1">
      <c r="A79" s="3" t="s">
        <v>4</v>
      </c>
      <c r="B79" s="3" t="s">
        <v>6</v>
      </c>
      <c r="D79" s="3" t="str">
        <f>IFERROR(__xludf.DUMMYFUNCTION("GOOGLETRANSLATE(A79, ""nl"", ""en"")"),"Architectural and Structural Associations")</f>
        <v>Architectural and Structural Associations</v>
      </c>
      <c r="E79" s="3" t="str">
        <f>IFERROR(__xludf.DUMMYFUNCTION("GOOGLETRANSLATE(B79, ""nl"", ""en"")"),"An endless labyrinth")</f>
        <v>An endless labyrinth</v>
      </c>
    </row>
    <row r="80" ht="15.75" customHeight="1">
      <c r="A80" s="3" t="s">
        <v>12</v>
      </c>
      <c r="B80" s="3" t="s">
        <v>47</v>
      </c>
      <c r="D80" s="3" t="str">
        <f>IFERROR(__xludf.DUMMYFUNCTION("GOOGLETRANSLATE(A80, ""nl"", ""en"")"),"Nature and Elements")</f>
        <v>Nature and Elements</v>
      </c>
      <c r="E80" s="3" t="str">
        <f>IFERROR(__xludf.DUMMYFUNCTION("GOOGLETRANSLATE(B80, ""nl"", ""en"")"),"A desert landscape that slowly changes")</f>
        <v>A desert landscape that slowly changes</v>
      </c>
    </row>
    <row r="81" ht="15.75" customHeight="1">
      <c r="A81" s="3" t="s">
        <v>7</v>
      </c>
      <c r="B81" s="3" t="s">
        <v>40</v>
      </c>
      <c r="D81" s="3" t="str">
        <f>IFERROR(__xludf.DUMMYFUNCTION("GOOGLETRANSLATE(A81, ""nl"", ""en"")"),"Human Figures and Physicality")</f>
        <v>Human Figures and Physicality</v>
      </c>
      <c r="E81" s="3" t="str">
        <f>IFERROR(__xludf.DUMMYFUNCTION("GOOGLETRANSLATE(B81, ""nl"", ""en"")"),"A figure who is withdrawn into himself")</f>
        <v>A figure who is withdrawn into himself</v>
      </c>
    </row>
    <row r="82" ht="15.75" customHeight="1">
      <c r="A82" s="3" t="s">
        <v>9</v>
      </c>
      <c r="B82" s="3" t="s">
        <v>49</v>
      </c>
      <c r="D82" s="3" t="str">
        <f>IFERROR(__xludf.DUMMYFUNCTION("GOOGLETRANSLATE(A82, ""nl"", ""en"")"),"Psychological and Emotional Interpretations")</f>
        <v>Psychological and Emotional Interpretations</v>
      </c>
      <c r="E82" s="3" t="str">
        <f>IFERROR(__xludf.DUMMYFUNCTION("GOOGLETRANSLATE(B82, ""nl"", ""en"")"),"A spiral that turns inward")</f>
        <v>A spiral that turns inward</v>
      </c>
    </row>
    <row r="83" ht="15.75" customHeight="1">
      <c r="A83" s="3" t="s">
        <v>9</v>
      </c>
      <c r="B83" s="3" t="s">
        <v>11</v>
      </c>
      <c r="D83" s="3" t="str">
        <f>IFERROR(__xludf.DUMMYFUNCTION("GOOGLETRANSLATE(A83, ""nl"", ""en"")"),"Psychological and Emotional Interpretations")</f>
        <v>Psychological and Emotional Interpretations</v>
      </c>
      <c r="E83" s="3" t="str">
        <f>IFERROR(__xludf.DUMMYFUNCTION("GOOGLETRANSLATE(B83, ""nl"", ""en"")"),"An emotion captured in abstraction")</f>
        <v>An emotion captured in abstraction</v>
      </c>
    </row>
    <row r="84" ht="15.75" customHeight="1">
      <c r="A84" s="3" t="s">
        <v>12</v>
      </c>
      <c r="B84" s="3" t="s">
        <v>30</v>
      </c>
      <c r="D84" s="3" t="str">
        <f>IFERROR(__xludf.DUMMYFUNCTION("GOOGLETRANSLATE(A84, ""nl"", ""en"")"),"Nature and Elements")</f>
        <v>Nature and Elements</v>
      </c>
      <c r="E84" s="3" t="str">
        <f>IFERROR(__xludf.DUMMYFUNCTION("GOOGLETRANSLATE(B84, ""nl"", ""en"")"),"Waves breaking in fractal patterns")</f>
        <v>Waves breaking in fractal patterns</v>
      </c>
    </row>
    <row r="85" ht="15.75" customHeight="1">
      <c r="A85" s="3" t="s">
        <v>24</v>
      </c>
      <c r="B85" s="3" t="s">
        <v>29</v>
      </c>
      <c r="D85" s="3" t="str">
        <f>IFERROR(__xludf.DUMMYFUNCTION("GOOGLETRANSLATE(A85, ""nl"", ""en"")"),"Cosmic and Abstract Patterns")</f>
        <v>Cosmic and Abstract Patterns</v>
      </c>
      <c r="E85" s="3" t="str">
        <f>IFERROR(__xludf.DUMMYFUNCTION("GOOGLETRANSLATE(B85, ""nl"", ""en"")"),"A galaxy unfolding")</f>
        <v>A galaxy unfolding</v>
      </c>
    </row>
    <row r="86" ht="15.75" customHeight="1">
      <c r="A86" s="3" t="s">
        <v>4</v>
      </c>
      <c r="B86" s="3" t="s">
        <v>43</v>
      </c>
      <c r="D86" s="3" t="str">
        <f>IFERROR(__xludf.DUMMYFUNCTION("GOOGLETRANSLATE(A86, ""nl"", ""en"")"),"Architectural and Structural Associations")</f>
        <v>Architectural and Structural Associations</v>
      </c>
      <c r="E86" s="3" t="str">
        <f>IFERROR(__xludf.DUMMYFUNCTION("GOOGLETRANSLATE(B86, ""nl"", ""en"")"),"A network of tunnels and passages")</f>
        <v>A network of tunnels and passages</v>
      </c>
    </row>
    <row r="87" ht="15.75" customHeight="1">
      <c r="A87" s="3" t="s">
        <v>9</v>
      </c>
      <c r="B87" s="3" t="s">
        <v>14</v>
      </c>
      <c r="D87" s="3" t="str">
        <f>IFERROR(__xludf.DUMMYFUNCTION("GOOGLETRANSLATE(A87, ""nl"", ""en"")"),"Psychological and Emotional Interpretations")</f>
        <v>Psychological and Emotional Interpretations</v>
      </c>
      <c r="E87" s="3" t="str">
        <f>IFERROR(__xludf.DUMMYFUNCTION("GOOGLETRANSLATE(B87, ""nl"", ""en"")"),"An unclear hug")</f>
        <v>An unclear hug</v>
      </c>
    </row>
    <row r="88" ht="15.75" customHeight="1">
      <c r="A88" s="3" t="s">
        <v>4</v>
      </c>
      <c r="B88" s="3" t="s">
        <v>44</v>
      </c>
      <c r="D88" s="3" t="str">
        <f>IFERROR(__xludf.DUMMYFUNCTION("GOOGLETRANSLATE(A88, ""nl"", ""en"")"),"Architectural and Structural Associations")</f>
        <v>Architectural and Structural Associations</v>
      </c>
      <c r="E88" s="3" t="str">
        <f>IFERROR(__xludf.DUMMYFUNCTION("GOOGLETRANSLATE(B88, ""nl"", ""en"")"),"A structure that pulsates in waves")</f>
        <v>A structure that pulsates in waves</v>
      </c>
    </row>
    <row r="89" ht="15.75" customHeight="1">
      <c r="A89" s="3" t="s">
        <v>4</v>
      </c>
      <c r="B89" s="3" t="s">
        <v>44</v>
      </c>
      <c r="D89" s="3" t="str">
        <f>IFERROR(__xludf.DUMMYFUNCTION("GOOGLETRANSLATE(A89, ""nl"", ""en"")"),"Architectural and Structural Associations")</f>
        <v>Architectural and Structural Associations</v>
      </c>
      <c r="E89" s="3" t="str">
        <f>IFERROR(__xludf.DUMMYFUNCTION("GOOGLETRANSLATE(B89, ""nl"", ""en"")"),"A structure that pulsates in waves")</f>
        <v>A structure that pulsates in waves</v>
      </c>
    </row>
    <row r="90" ht="15.75" customHeight="1">
      <c r="A90" s="3" t="s">
        <v>4</v>
      </c>
      <c r="B90" s="3" t="s">
        <v>21</v>
      </c>
      <c r="D90" s="3" t="str">
        <f>IFERROR(__xludf.DUMMYFUNCTION("GOOGLETRANSLATE(A90, ""nl"", ""en"")"),"Architectural and Structural Associations")</f>
        <v>Architectural and Structural Associations</v>
      </c>
      <c r="E90" s="3" t="str">
        <f>IFERROR(__xludf.DUMMYFUNCTION("GOOGLETRANSLATE(B90, ""nl"", ""en"")"),"A bridge that leads nowhere")</f>
        <v>A bridge that leads nowhere</v>
      </c>
    </row>
    <row r="91" ht="15.75" customHeight="1">
      <c r="A91" s="3" t="s">
        <v>15</v>
      </c>
      <c r="B91" s="3" t="s">
        <v>50</v>
      </c>
      <c r="D91" s="3" t="str">
        <f>IFERROR(__xludf.DUMMYFUNCTION("GOOGLETRANSLATE(A91, ""nl"", ""en"")"),"Animals and Organic Forms")</f>
        <v>Animals and Organic Forms</v>
      </c>
      <c r="E91" s="3" t="str">
        <f>IFERROR(__xludf.DUMMYFUNCTION("GOOGLETRANSLATE(B91, ""nl"", ""en"")"),"A squid with extended tentacles")</f>
        <v>A squid with extended tentacles</v>
      </c>
    </row>
    <row r="92" ht="15.75" customHeight="1">
      <c r="A92" s="3" t="s">
        <v>15</v>
      </c>
      <c r="B92" s="3" t="s">
        <v>45</v>
      </c>
      <c r="D92" s="3" t="str">
        <f>IFERROR(__xludf.DUMMYFUNCTION("GOOGLETRANSLATE(A92, ""nl"", ""en"")"),"Animals and Organic Forms")</f>
        <v>Animals and Organic Forms</v>
      </c>
      <c r="E92" s="3" t="str">
        <f>IFERROR(__xludf.DUMMYFUNCTION("GOOGLETRANSLATE(B92, ""nl"", ""en"")"),"A snake biting its own tail")</f>
        <v>A snake biting its own tail</v>
      </c>
    </row>
    <row r="93" ht="15.75" customHeight="1">
      <c r="A93" s="3" t="s">
        <v>7</v>
      </c>
      <c r="B93" s="3" t="s">
        <v>40</v>
      </c>
      <c r="D93" s="3" t="str">
        <f>IFERROR(__xludf.DUMMYFUNCTION("GOOGLETRANSLATE(A93, ""nl"", ""en"")"),"Human Figures and Physicality")</f>
        <v>Human Figures and Physicality</v>
      </c>
      <c r="E93" s="3" t="str">
        <f>IFERROR(__xludf.DUMMYFUNCTION("GOOGLETRANSLATE(B93, ""nl"", ""en"")"),"A figure who is withdrawn into himself")</f>
        <v>A figure who is withdrawn into himself</v>
      </c>
    </row>
    <row r="94" ht="15.75" customHeight="1">
      <c r="A94" s="3" t="s">
        <v>12</v>
      </c>
      <c r="B94" s="3" t="s">
        <v>51</v>
      </c>
      <c r="D94" s="3" t="str">
        <f>IFERROR(__xludf.DUMMYFUNCTION("GOOGLETRANSLATE(A94, ""nl"", ""en"")"),"Nature and Elements")</f>
        <v>Nature and Elements</v>
      </c>
      <c r="E94" s="3" t="str">
        <f>IFERROR(__xludf.DUMMYFUNCTION("GOOGLETRANSLATE(B94, ""nl"", ""en"")"),"An evaporating puddle of water")</f>
        <v>An evaporating puddle of water</v>
      </c>
    </row>
    <row r="95" ht="15.75" customHeight="1">
      <c r="A95" s="3" t="s">
        <v>15</v>
      </c>
      <c r="B95" s="3" t="s">
        <v>46</v>
      </c>
      <c r="D95" s="3" t="str">
        <f>IFERROR(__xludf.DUMMYFUNCTION("GOOGLETRANSLATE(A95, ""nl"", ""en"")"),"Animals and Organic Forms")</f>
        <v>Animals and Organic Forms</v>
      </c>
      <c r="E95" s="3" t="str">
        <f>IFERROR(__xludf.DUMMYFUNCTION("GOOGLETRANSLATE(B95, ""nl"", ""en"")"),"A flock of fish moving as one")</f>
        <v>A flock of fish moving as one</v>
      </c>
    </row>
    <row r="96" ht="15.75" customHeight="1">
      <c r="A96" s="3" t="s">
        <v>12</v>
      </c>
      <c r="B96" s="3" t="s">
        <v>18</v>
      </c>
      <c r="D96" s="3" t="str">
        <f>IFERROR(__xludf.DUMMYFUNCTION("GOOGLETRANSLATE(A96, ""nl"", ""en"")"),"Nature and Elements")</f>
        <v>Nature and Elements</v>
      </c>
      <c r="E96" s="3" t="str">
        <f>IFERROR(__xludf.DUMMYFUNCTION("GOOGLETRANSLATE(B96, ""nl"", ""en"")"),"A tree with endless branches")</f>
        <v>A tree with endless branches</v>
      </c>
    </row>
    <row r="97" ht="15.75" customHeight="1">
      <c r="A97" s="3" t="s">
        <v>24</v>
      </c>
      <c r="B97" s="3" t="s">
        <v>33</v>
      </c>
      <c r="D97" s="3" t="str">
        <f>IFERROR(__xludf.DUMMYFUNCTION("GOOGLETRANSLATE(A97, ""nl"", ""en"")"),"Cosmic and Abstract Patterns")</f>
        <v>Cosmic and Abstract Patterns</v>
      </c>
      <c r="E97" s="3" t="str">
        <f>IFERROR(__xludf.DUMMYFUNCTION("GOOGLETRANSLATE(B97, ""nl"", ""en"")"),"An eye that repeats itself in endless patterns")</f>
        <v>An eye that repeats itself in endless patterns</v>
      </c>
    </row>
    <row r="98" ht="15.75" customHeight="1">
      <c r="A98" s="3" t="s">
        <v>15</v>
      </c>
      <c r="B98" s="3" t="s">
        <v>46</v>
      </c>
      <c r="D98" s="3" t="str">
        <f>IFERROR(__xludf.DUMMYFUNCTION("GOOGLETRANSLATE(A98, ""nl"", ""en"")"),"Animals and Organic Forms")</f>
        <v>Animals and Organic Forms</v>
      </c>
      <c r="E98" s="3" t="str">
        <f>IFERROR(__xludf.DUMMYFUNCTION("GOOGLETRANSLATE(B98, ""nl"", ""en"")"),"A flock of fish moving as one")</f>
        <v>A flock of fish moving as one</v>
      </c>
    </row>
    <row r="99" ht="15.75" customHeight="1">
      <c r="A99" s="3" t="s">
        <v>7</v>
      </c>
      <c r="B99" s="3" t="s">
        <v>41</v>
      </c>
      <c r="D99" s="3" t="str">
        <f>IFERROR(__xludf.DUMMYFUNCTION("GOOGLETRANSLATE(A99, ""nl"", ""en"")"),"Human Figures and Physicality")</f>
        <v>Human Figures and Physicality</v>
      </c>
      <c r="E99" s="3" t="str">
        <f>IFERROR(__xludf.DUMMYFUNCTION("GOOGLETRANSLATE(B99, ""nl"", ""en"")"),"A face that fades into abstraction")</f>
        <v>A face that fades into abstraction</v>
      </c>
    </row>
    <row r="100" ht="15.75" customHeight="1">
      <c r="A100" s="3" t="s">
        <v>7</v>
      </c>
      <c r="B100" s="3" t="s">
        <v>39</v>
      </c>
      <c r="D100" s="3" t="str">
        <f>IFERROR(__xludf.DUMMYFUNCTION("GOOGLETRANSLATE(A100, ""nl"", ""en"")"),"Human Figures and Physicality")</f>
        <v>Human Figures and Physicality</v>
      </c>
      <c r="E100" s="3" t="str">
        <f>IFERROR(__xludf.DUMMYFUNCTION("GOOGLETRANSLATE(B100, ""nl"", ""en"")"),"A torso without a head")</f>
        <v>A torso without a head</v>
      </c>
    </row>
    <row r="101" ht="15.75" customHeight="1">
      <c r="A101" s="3" t="s">
        <v>7</v>
      </c>
      <c r="B101" s="3" t="s">
        <v>8</v>
      </c>
      <c r="D101" s="3" t="str">
        <f>IFERROR(__xludf.DUMMYFUNCTION("GOOGLETRANSLATE(A101, ""nl"", ""en"")"),"Human Figures and Physicality")</f>
        <v>Human Figures and Physicality</v>
      </c>
      <c r="E101" s="3" t="str">
        <f>IFERROR(__xludf.DUMMYFUNCTION("GOOGLETRANSLATE(B101, ""nl"", ""en"")"),"Two figures mirroring each other")</f>
        <v>Two figures mirroring each other</v>
      </c>
    </row>
    <row r="102" ht="15.75" customHeight="1">
      <c r="A102" s="3" t="s">
        <v>24</v>
      </c>
      <c r="B102" s="3" t="s">
        <v>25</v>
      </c>
      <c r="D102" s="3" t="str">
        <f>IFERROR(__xludf.DUMMYFUNCTION("GOOGLETRANSLATE(A102, ""nl"", ""en"")"),"Cosmic and Abstract Patterns")</f>
        <v>Cosmic and Abstract Patterns</v>
      </c>
      <c r="E102" s="3" t="str">
        <f>IFERROR(__xludf.DUMMYFUNCTION("GOOGLETRANSLATE(B102, ""nl"", ""en"")"),"A meteor shower dissolving into each other")</f>
        <v>A meteor shower dissolving into each other</v>
      </c>
    </row>
    <row r="103" ht="15.75" customHeight="1">
      <c r="A103" s="3" t="s">
        <v>24</v>
      </c>
      <c r="B103" s="3" t="s">
        <v>32</v>
      </c>
      <c r="D103" s="3" t="str">
        <f>IFERROR(__xludf.DUMMYFUNCTION("GOOGLETRANSLATE(A103, ""nl"", ""en"")"),"Cosmic and Abstract Patterns")</f>
        <v>Cosmic and Abstract Patterns</v>
      </c>
      <c r="E103" s="3" t="str">
        <f>IFERROR(__xludf.DUMMYFUNCTION("GOOGLETRANSLATE(B103, ""nl"", ""en"")"),"A time loop captured in image")</f>
        <v>A time loop captured in image</v>
      </c>
    </row>
    <row r="104" ht="15.75" customHeight="1">
      <c r="A104" s="3" t="s">
        <v>15</v>
      </c>
      <c r="B104" s="3" t="s">
        <v>26</v>
      </c>
      <c r="D104" s="3" t="str">
        <f>IFERROR(__xludf.DUMMYFUNCTION("GOOGLETRANSLATE(A104, ""nl"", ""en"")"),"Animals and Organic Forms")</f>
        <v>Animals and Organic Forms</v>
      </c>
      <c r="E104" s="3" t="str">
        <f>IFERROR(__xludf.DUMMYFUNCTION("GOOGLETRANSLATE(B104, ""nl"", ""en"")"),"A frog preparing to jump")</f>
        <v>A frog preparing to jump</v>
      </c>
    </row>
    <row r="105" ht="15.75" customHeight="1">
      <c r="A105" s="3" t="s">
        <v>4</v>
      </c>
      <c r="B105" s="3" t="s">
        <v>5</v>
      </c>
      <c r="D105" s="3" t="str">
        <f>IFERROR(__xludf.DUMMYFUNCTION("GOOGLETRANSLATE(A105, ""nl"", ""en"")"),"Architectural and Structural Associations")</f>
        <v>Architectural and Structural Associations</v>
      </c>
      <c r="E105" s="3" t="str">
        <f>IFERROR(__xludf.DUMMYFUNCTION("GOOGLETRANSLATE(B105, ""nl"", ""en"")"),"A cathedral shaped from mist")</f>
        <v>A cathedral shaped from mist</v>
      </c>
    </row>
    <row r="106" ht="15.75" customHeight="1">
      <c r="A106" s="3" t="s">
        <v>9</v>
      </c>
      <c r="B106" s="3" t="s">
        <v>10</v>
      </c>
      <c r="D106" s="3" t="str">
        <f>IFERROR(__xludf.DUMMYFUNCTION("GOOGLETRANSLATE(A106, ""nl"", ""en"")"),"Psychological and Emotional Interpretations")</f>
        <v>Psychological and Emotional Interpretations</v>
      </c>
      <c r="E106" s="3" t="str">
        <f>IFERROR(__xludf.DUMMYFUNCTION("GOOGLETRANSLATE(B106, ""nl"", ""en"")"),"A face transforming in light")</f>
        <v>A face transforming in light</v>
      </c>
    </row>
    <row r="107" ht="15.75" customHeight="1">
      <c r="A107" s="3" t="s">
        <v>7</v>
      </c>
      <c r="B107" s="3" t="s">
        <v>8</v>
      </c>
      <c r="D107" s="3" t="str">
        <f>IFERROR(__xludf.DUMMYFUNCTION("GOOGLETRANSLATE(A107, ""nl"", ""en"")"),"Human Figures and Physicality")</f>
        <v>Human Figures and Physicality</v>
      </c>
      <c r="E107" s="3" t="str">
        <f>IFERROR(__xludf.DUMMYFUNCTION("GOOGLETRANSLATE(B107, ""nl"", ""en"")"),"Two figures mirroring each other")</f>
        <v>Two figures mirroring each other</v>
      </c>
    </row>
    <row r="108" ht="15.75" customHeight="1">
      <c r="A108" s="3" t="s">
        <v>15</v>
      </c>
      <c r="B108" s="3" t="s">
        <v>52</v>
      </c>
      <c r="D108" s="3" t="str">
        <f>IFERROR(__xludf.DUMMYFUNCTION("GOOGLETRANSLATE(A108, ""nl"", ""en"")"),"Animals and Organic Forms")</f>
        <v>Animals and Organic Forms</v>
      </c>
      <c r="E108" s="3" t="str">
        <f>IFERROR(__xludf.DUMMYFUNCTION("GOOGLETRANSLATE(B108, ""nl"", ""en"")"),"A mask made of leaves")</f>
        <v>A mask made of leaves</v>
      </c>
    </row>
    <row r="109" ht="15.75" customHeight="1">
      <c r="A109" s="3" t="s">
        <v>4</v>
      </c>
      <c r="B109" s="3" t="s">
        <v>43</v>
      </c>
      <c r="D109" s="3" t="str">
        <f>IFERROR(__xludf.DUMMYFUNCTION("GOOGLETRANSLATE(A109, ""nl"", ""en"")"),"Architectural and Structural Associations")</f>
        <v>Architectural and Structural Associations</v>
      </c>
      <c r="E109" s="3" t="str">
        <f>IFERROR(__xludf.DUMMYFUNCTION("GOOGLETRANSLATE(B109, ""nl"", ""en"")"),"A network of tunnels and passages")</f>
        <v>A network of tunnels and passages</v>
      </c>
    </row>
    <row r="110" ht="15.75" customHeight="1">
      <c r="A110" s="3" t="s">
        <v>4</v>
      </c>
      <c r="B110" s="3" t="s">
        <v>44</v>
      </c>
      <c r="D110" s="3" t="str">
        <f>IFERROR(__xludf.DUMMYFUNCTION("GOOGLETRANSLATE(A110, ""nl"", ""en"")"),"Architectural and Structural Associations")</f>
        <v>Architectural and Structural Associations</v>
      </c>
      <c r="E110" s="3" t="str">
        <f>IFERROR(__xludf.DUMMYFUNCTION("GOOGLETRANSLATE(B110, ""nl"", ""en"")"),"A structure that pulsates in waves")</f>
        <v>A structure that pulsates in waves</v>
      </c>
    </row>
    <row r="111" ht="15.75" customHeight="1">
      <c r="A111" s="3" t="s">
        <v>4</v>
      </c>
      <c r="B111" s="3" t="s">
        <v>21</v>
      </c>
      <c r="D111" s="3" t="str">
        <f>IFERROR(__xludf.DUMMYFUNCTION("GOOGLETRANSLATE(A111, ""nl"", ""en"")"),"Architectural and Structural Associations")</f>
        <v>Architectural and Structural Associations</v>
      </c>
      <c r="E111" s="3" t="str">
        <f>IFERROR(__xludf.DUMMYFUNCTION("GOOGLETRANSLATE(B111, ""nl"", ""en"")"),"A bridge that leads nowhere")</f>
        <v>A bridge that leads nowhere</v>
      </c>
    </row>
    <row r="112" ht="15.75" customHeight="1">
      <c r="A112" s="3" t="s">
        <v>9</v>
      </c>
      <c r="B112" s="3" t="s">
        <v>42</v>
      </c>
      <c r="D112" s="3" t="str">
        <f>IFERROR(__xludf.DUMMYFUNCTION("GOOGLETRANSLATE(A112, ""nl"", ""en"")"),"Psychological and Emotional Interpretations")</f>
        <v>Psychological and Emotional Interpretations</v>
      </c>
      <c r="E112" s="3" t="str">
        <f>IFERROR(__xludf.DUMMYFUNCTION("GOOGLETRANSLATE(B112, ""nl"", ""en"")"),"A mask that slowly disappears")</f>
        <v>A mask that slowly disappears</v>
      </c>
    </row>
    <row r="113" ht="15.75" customHeight="1">
      <c r="A113" s="3" t="s">
        <v>15</v>
      </c>
      <c r="B113" s="3" t="s">
        <v>46</v>
      </c>
      <c r="D113" s="3" t="str">
        <f>IFERROR(__xludf.DUMMYFUNCTION("GOOGLETRANSLATE(A113, ""nl"", ""en"")"),"Animals and Organic Forms")</f>
        <v>Animals and Organic Forms</v>
      </c>
      <c r="E113" s="3" t="str">
        <f>IFERROR(__xludf.DUMMYFUNCTION("GOOGLETRANSLATE(B113, ""nl"", ""en"")"),"A flock of fish moving as one")</f>
        <v>A flock of fish moving as one</v>
      </c>
    </row>
    <row r="114" ht="15.75" customHeight="1">
      <c r="A114" s="3" t="s">
        <v>15</v>
      </c>
      <c r="B114" s="3" t="s">
        <v>16</v>
      </c>
      <c r="D114" s="3" t="str">
        <f>IFERROR(__xludf.DUMMYFUNCTION("GOOGLETRANSLATE(A114, ""nl"", ""en"")"),"Animals and Organic Forms")</f>
        <v>Animals and Organic Forms</v>
      </c>
      <c r="E114" s="3" t="str">
        <f>IFERROR(__xludf.DUMMYFUNCTION("GOOGLETRANSLATE(B114, ""nl"", ""en"")"),"A butterfly in transformation")</f>
        <v>A butterfly in transformation</v>
      </c>
    </row>
    <row r="115" ht="15.75" customHeight="1">
      <c r="A115" s="3" t="s">
        <v>12</v>
      </c>
      <c r="B115" s="3" t="s">
        <v>23</v>
      </c>
      <c r="D115" s="3" t="str">
        <f>IFERROR(__xludf.DUMMYFUNCTION("GOOGLETRANSLATE(A115, ""nl"", ""en"")"),"Nature and Elements")</f>
        <v>Nature and Elements</v>
      </c>
      <c r="E115" s="3" t="str">
        <f>IFERROR(__xludf.DUMMYFUNCTION("GOOGLETRANSLATE(B115, ""nl"", ""en"")"),"A storm cloud splitting in two")</f>
        <v>A storm cloud splitting in two</v>
      </c>
    </row>
    <row r="116" ht="15.75" customHeight="1">
      <c r="A116" s="3" t="s">
        <v>9</v>
      </c>
      <c r="B116" s="3" t="s">
        <v>17</v>
      </c>
      <c r="D116" s="3" t="str">
        <f>IFERROR(__xludf.DUMMYFUNCTION("GOOGLETRANSLATE(A116, ""nl"", ""en"")"),"Psychological and Emotional Interpretations")</f>
        <v>Psychological and Emotional Interpretations</v>
      </c>
      <c r="E116" s="3" t="str">
        <f>IFERROR(__xludf.DUMMYFUNCTION("GOOGLETRANSLATE(B116, ""nl"", ""en"")"),"A figure that seems to melt")</f>
        <v>A figure that seems to melt</v>
      </c>
    </row>
    <row r="117" ht="15.75" customHeight="1">
      <c r="A117" s="3" t="s">
        <v>15</v>
      </c>
      <c r="B117" s="3" t="s">
        <v>38</v>
      </c>
      <c r="D117" s="3" t="str">
        <f>IFERROR(__xludf.DUMMYFUNCTION("GOOGLETRANSLATE(A117, ""nl"", ""en"")"),"Animals and Organic Forms")</f>
        <v>Animals and Organic Forms</v>
      </c>
      <c r="E117" s="3" t="str">
        <f>IFERROR(__xludf.DUMMYFUNCTION("GOOGLETRANSLATE(B117, ""nl"", ""en"")"),"A lion with an open mouth")</f>
        <v>A lion with an open mouth</v>
      </c>
    </row>
    <row r="118" ht="15.75" customHeight="1">
      <c r="A118" s="3" t="s">
        <v>9</v>
      </c>
      <c r="B118" s="3" t="s">
        <v>10</v>
      </c>
      <c r="D118" s="3" t="str">
        <f>IFERROR(__xludf.DUMMYFUNCTION("GOOGLETRANSLATE(A118, ""nl"", ""en"")"),"Psychological and Emotional Interpretations")</f>
        <v>Psychological and Emotional Interpretations</v>
      </c>
      <c r="E118" s="3" t="str">
        <f>IFERROR(__xludf.DUMMYFUNCTION("GOOGLETRANSLATE(B118, ""nl"", ""en"")"),"A face transforming in light")</f>
        <v>A face transforming in light</v>
      </c>
    </row>
    <row r="119" ht="15.75" customHeight="1">
      <c r="A119" s="3" t="s">
        <v>15</v>
      </c>
      <c r="B119" s="3" t="s">
        <v>22</v>
      </c>
      <c r="D119" s="3" t="str">
        <f>IFERROR(__xludf.DUMMYFUNCTION("GOOGLETRANSLATE(A119, ""nl"", ""en"")"),"Animals and Organic Forms")</f>
        <v>Animals and Organic Forms</v>
      </c>
      <c r="E119" s="3" t="str">
        <f>IFERROR(__xludf.DUMMYFUNCTION("GOOGLETRANSLATE(B119, ""nl"", ""en"")"),"A bird taking off")</f>
        <v>A bird taking off</v>
      </c>
    </row>
    <row r="120" ht="15.75" customHeight="1">
      <c r="A120" s="3" t="s">
        <v>9</v>
      </c>
      <c r="B120" s="3" t="s">
        <v>42</v>
      </c>
      <c r="D120" s="3" t="str">
        <f>IFERROR(__xludf.DUMMYFUNCTION("GOOGLETRANSLATE(A120, ""nl"", ""en"")"),"Psychological and Emotional Interpretations")</f>
        <v>Psychological and Emotional Interpretations</v>
      </c>
      <c r="E120" s="3" t="str">
        <f>IFERROR(__xludf.DUMMYFUNCTION("GOOGLETRANSLATE(B120, ""nl"", ""en"")"),"A mask that slowly disappears")</f>
        <v>A mask that slowly disappears</v>
      </c>
    </row>
    <row r="121" ht="15.75" customHeight="1">
      <c r="A121" s="3" t="s">
        <v>24</v>
      </c>
      <c r="B121" s="3" t="s">
        <v>32</v>
      </c>
      <c r="D121" s="3" t="str">
        <f>IFERROR(__xludf.DUMMYFUNCTION("GOOGLETRANSLATE(A121, ""nl"", ""en"")"),"Cosmic and Abstract Patterns")</f>
        <v>Cosmic and Abstract Patterns</v>
      </c>
      <c r="E121" s="3" t="str">
        <f>IFERROR(__xludf.DUMMYFUNCTION("GOOGLETRANSLATE(B121, ""nl"", ""en"")"),"A time loop captured in image")</f>
        <v>A time loop captured in image</v>
      </c>
    </row>
    <row r="122" ht="15.75" customHeight="1">
      <c r="A122" s="3" t="s">
        <v>15</v>
      </c>
      <c r="B122" s="3" t="s">
        <v>22</v>
      </c>
      <c r="D122" s="3" t="str">
        <f>IFERROR(__xludf.DUMMYFUNCTION("GOOGLETRANSLATE(A122, ""nl"", ""en"")"),"Animals and Organic Forms")</f>
        <v>Animals and Organic Forms</v>
      </c>
      <c r="E122" s="3" t="str">
        <f>IFERROR(__xludf.DUMMYFUNCTION("GOOGLETRANSLATE(B122, ""nl"", ""en"")"),"A bird taking off")</f>
        <v>A bird taking off</v>
      </c>
    </row>
    <row r="123" ht="15.75" customHeight="1">
      <c r="A123" s="3" t="s">
        <v>7</v>
      </c>
      <c r="B123" s="3" t="s">
        <v>53</v>
      </c>
      <c r="D123" s="3" t="str">
        <f>IFERROR(__xludf.DUMMYFUNCTION("GOOGLETRANSLATE(A123, ""nl"", ""en"")"),"Human Figures and Physicality")</f>
        <v>Human Figures and Physicality</v>
      </c>
      <c r="E123" s="3" t="str">
        <f>IFERROR(__xludf.DUMMYFUNCTION("GOOGLETRANSLATE(B123, ""nl"", ""en"")"),"A face that both smiles and cries")</f>
        <v>A face that both smiles and cries</v>
      </c>
    </row>
    <row r="124" ht="15.75" customHeight="1">
      <c r="A124" s="3" t="s">
        <v>24</v>
      </c>
      <c r="B124" s="3" t="s">
        <v>54</v>
      </c>
      <c r="D124" s="3" t="str">
        <f>IFERROR(__xludf.DUMMYFUNCTION("GOOGLETRANSLATE(A124, ""nl"", ""en"")"),"Cosmic and Abstract Patterns")</f>
        <v>Cosmic and Abstract Patterns</v>
      </c>
      <c r="E124" s="3" t="str">
        <f>IFERROR(__xludf.DUMMYFUNCTION("GOOGLETRANSLATE(B124, ""nl"", ""en"")"),"A quantum particle in superposition")</f>
        <v>A quantum particle in superposition</v>
      </c>
    </row>
    <row r="125" ht="15.75" customHeight="1">
      <c r="A125" s="3" t="s">
        <v>9</v>
      </c>
      <c r="B125" s="3" t="s">
        <v>14</v>
      </c>
      <c r="D125" s="3" t="str">
        <f>IFERROR(__xludf.DUMMYFUNCTION("GOOGLETRANSLATE(A125, ""nl"", ""en"")"),"Psychological and Emotional Interpretations")</f>
        <v>Psychological and Emotional Interpretations</v>
      </c>
      <c r="E125" s="3" t="str">
        <f>IFERROR(__xludf.DUMMYFUNCTION("GOOGLETRANSLATE(B125, ""nl"", ""en"")"),"An unclear hug")</f>
        <v>An unclear hug</v>
      </c>
    </row>
    <row r="126" ht="15.75" customHeight="1">
      <c r="A126" s="3" t="s">
        <v>24</v>
      </c>
      <c r="B126" s="3" t="s">
        <v>25</v>
      </c>
      <c r="D126" s="3" t="str">
        <f>IFERROR(__xludf.DUMMYFUNCTION("GOOGLETRANSLATE(A126, ""nl"", ""en"")"),"Cosmic and Abstract Patterns")</f>
        <v>Cosmic and Abstract Patterns</v>
      </c>
      <c r="E126" s="3" t="str">
        <f>IFERROR(__xludf.DUMMYFUNCTION("GOOGLETRANSLATE(B126, ""nl"", ""en"")"),"A meteor shower dissolving into each other")</f>
        <v>A meteor shower dissolving into each other</v>
      </c>
    </row>
    <row r="127" ht="15.75" customHeight="1">
      <c r="A127" s="3" t="s">
        <v>24</v>
      </c>
      <c r="B127" s="3" t="s">
        <v>29</v>
      </c>
      <c r="D127" s="3" t="str">
        <f>IFERROR(__xludf.DUMMYFUNCTION("GOOGLETRANSLATE(A127, ""nl"", ""en"")"),"Cosmic and Abstract Patterns")</f>
        <v>Cosmic and Abstract Patterns</v>
      </c>
      <c r="E127" s="3" t="str">
        <f>IFERROR(__xludf.DUMMYFUNCTION("GOOGLETRANSLATE(B127, ""nl"", ""en"")"),"A galaxy unfolding")</f>
        <v>A galaxy unfolding</v>
      </c>
    </row>
    <row r="128" ht="15.75" customHeight="1">
      <c r="A128" s="3" t="s">
        <v>24</v>
      </c>
      <c r="B128" s="3" t="s">
        <v>48</v>
      </c>
      <c r="D128" s="3" t="str">
        <f>IFERROR(__xludf.DUMMYFUNCTION("GOOGLETRANSLATE(A128, ""nl"", ""en"")"),"Cosmic and Abstract Patterns")</f>
        <v>Cosmic and Abstract Patterns</v>
      </c>
      <c r="E128" s="3" t="str">
        <f>IFERROR(__xludf.DUMMYFUNCTION("GOOGLETRANSLATE(B128, ""nl"", ""en"")"),"A fractal that repeats itself")</f>
        <v>A fractal that repeats itself</v>
      </c>
    </row>
    <row r="129" ht="15.75" customHeight="1">
      <c r="A129" s="3" t="s">
        <v>24</v>
      </c>
      <c r="B129" s="3" t="s">
        <v>31</v>
      </c>
      <c r="D129" s="3" t="str">
        <f>IFERROR(__xludf.DUMMYFUNCTION("GOOGLETRANSLATE(A129, ""nl"", ""en"")"),"Cosmic and Abstract Patterns")</f>
        <v>Cosmic and Abstract Patterns</v>
      </c>
      <c r="E129" s="3" t="str">
        <f>IFERROR(__xludf.DUMMYFUNCTION("GOOGLETRANSLATE(B129, ""nl"", ""en"")"),"A planet with unusual rings")</f>
        <v>A planet with unusual rings</v>
      </c>
    </row>
    <row r="130" ht="15.75" customHeight="1">
      <c r="A130" s="3" t="s">
        <v>12</v>
      </c>
      <c r="B130" s="3" t="s">
        <v>51</v>
      </c>
      <c r="D130" s="3" t="str">
        <f>IFERROR(__xludf.DUMMYFUNCTION("GOOGLETRANSLATE(A130, ""nl"", ""en"")"),"Nature and Elements")</f>
        <v>Nature and Elements</v>
      </c>
      <c r="E130" s="3" t="str">
        <f>IFERROR(__xludf.DUMMYFUNCTION("GOOGLETRANSLATE(B130, ""nl"", ""en"")"),"An evaporating puddle of water")</f>
        <v>An evaporating puddle of water</v>
      </c>
    </row>
    <row r="131" ht="15.75" customHeight="1">
      <c r="A131" s="3" t="s">
        <v>24</v>
      </c>
      <c r="B131" s="3" t="s">
        <v>54</v>
      </c>
      <c r="D131" s="3" t="str">
        <f>IFERROR(__xludf.DUMMYFUNCTION("GOOGLETRANSLATE(A131, ""nl"", ""en"")"),"Cosmic and Abstract Patterns")</f>
        <v>Cosmic and Abstract Patterns</v>
      </c>
      <c r="E131" s="3" t="str">
        <f>IFERROR(__xludf.DUMMYFUNCTION("GOOGLETRANSLATE(B131, ""nl"", ""en"")"),"A quantum particle in superposition")</f>
        <v>A quantum particle in superposition</v>
      </c>
    </row>
    <row r="132" ht="15.75" customHeight="1">
      <c r="A132" s="3" t="s">
        <v>4</v>
      </c>
      <c r="B132" s="3" t="s">
        <v>35</v>
      </c>
      <c r="D132" s="3" t="str">
        <f>IFERROR(__xludf.DUMMYFUNCTION("GOOGLETRANSLATE(A132, ""nl"", ""en"")"),"Architectural and Structural Associations")</f>
        <v>Architectural and Structural Associations</v>
      </c>
      <c r="E132" s="3" t="str">
        <f>IFERROR(__xludf.DUMMYFUNCTION("GOOGLETRANSLATE(B132, ""nl"", ""en"")"),"A floating building without a base")</f>
        <v>A floating building without a base</v>
      </c>
    </row>
    <row r="133" ht="15.75" customHeight="1">
      <c r="A133" s="3" t="s">
        <v>15</v>
      </c>
      <c r="B133" s="3" t="s">
        <v>45</v>
      </c>
      <c r="D133" s="3" t="str">
        <f>IFERROR(__xludf.DUMMYFUNCTION("GOOGLETRANSLATE(A133, ""nl"", ""en"")"),"Animals and Organic Forms")</f>
        <v>Animals and Organic Forms</v>
      </c>
      <c r="E133" s="3" t="str">
        <f>IFERROR(__xludf.DUMMYFUNCTION("GOOGLETRANSLATE(B133, ""nl"", ""en"")"),"A snake biting its own tail")</f>
        <v>A snake biting its own tail</v>
      </c>
    </row>
    <row r="134" ht="15.75" customHeight="1">
      <c r="A134" s="3" t="s">
        <v>9</v>
      </c>
      <c r="B134" s="3" t="s">
        <v>17</v>
      </c>
      <c r="D134" s="3" t="str">
        <f>IFERROR(__xludf.DUMMYFUNCTION("GOOGLETRANSLATE(A134, ""nl"", ""en"")"),"Psychological and Emotional Interpretations")</f>
        <v>Psychological and Emotional Interpretations</v>
      </c>
      <c r="E134" s="3" t="str">
        <f>IFERROR(__xludf.DUMMYFUNCTION("GOOGLETRANSLATE(B134, ""nl"", ""en"")"),"A figure that seems to melt")</f>
        <v>A figure that seems to melt</v>
      </c>
    </row>
    <row r="135" ht="15.75" customHeight="1">
      <c r="A135" s="3" t="s">
        <v>4</v>
      </c>
      <c r="B135" s="3" t="s">
        <v>21</v>
      </c>
      <c r="D135" s="3" t="str">
        <f>IFERROR(__xludf.DUMMYFUNCTION("GOOGLETRANSLATE(A135, ""nl"", ""en"")"),"Architectural and Structural Associations")</f>
        <v>Architectural and Structural Associations</v>
      </c>
      <c r="E135" s="3" t="str">
        <f>IFERROR(__xludf.DUMMYFUNCTION("GOOGLETRANSLATE(B135, ""nl"", ""en"")"),"A bridge that leads nowhere")</f>
        <v>A bridge that leads nowhere</v>
      </c>
    </row>
    <row r="136" ht="15.75" customHeight="1">
      <c r="A136" s="3" t="s">
        <v>7</v>
      </c>
      <c r="B136" s="3" t="s">
        <v>40</v>
      </c>
      <c r="D136" s="3" t="str">
        <f>IFERROR(__xludf.DUMMYFUNCTION("GOOGLETRANSLATE(A136, ""nl"", ""en"")"),"Human Figures and Physicality")</f>
        <v>Human Figures and Physicality</v>
      </c>
      <c r="E136" s="3" t="str">
        <f>IFERROR(__xludf.DUMMYFUNCTION("GOOGLETRANSLATE(B136, ""nl"", ""en"")"),"A figure who is withdrawn into himself")</f>
        <v>A figure who is withdrawn into himself</v>
      </c>
    </row>
    <row r="137" ht="15.75" customHeight="1">
      <c r="A137" s="3" t="s">
        <v>24</v>
      </c>
      <c r="B137" s="3" t="s">
        <v>33</v>
      </c>
      <c r="D137" s="3" t="str">
        <f>IFERROR(__xludf.DUMMYFUNCTION("GOOGLETRANSLATE(A137, ""nl"", ""en"")"),"Cosmic and Abstract Patterns")</f>
        <v>Cosmic and Abstract Patterns</v>
      </c>
      <c r="E137" s="3" t="str">
        <f>IFERROR(__xludf.DUMMYFUNCTION("GOOGLETRANSLATE(B137, ""nl"", ""en"")"),"An eye that repeats itself in endless patterns")</f>
        <v>An eye that repeats itself in endless patterns</v>
      </c>
    </row>
    <row r="138" ht="15.75" customHeight="1">
      <c r="A138" s="3" t="s">
        <v>12</v>
      </c>
      <c r="B138" s="3" t="s">
        <v>23</v>
      </c>
      <c r="D138" s="3" t="str">
        <f>IFERROR(__xludf.DUMMYFUNCTION("GOOGLETRANSLATE(A138, ""nl"", ""en"")"),"Nature and Elements")</f>
        <v>Nature and Elements</v>
      </c>
      <c r="E138" s="3" t="str">
        <f>IFERROR(__xludf.DUMMYFUNCTION("GOOGLETRANSLATE(B138, ""nl"", ""en"")"),"A storm cloud splitting in two")</f>
        <v>A storm cloud splitting in two</v>
      </c>
    </row>
    <row r="139" ht="15.75" customHeight="1">
      <c r="A139" s="3" t="s">
        <v>15</v>
      </c>
      <c r="B139" s="3" t="s">
        <v>26</v>
      </c>
      <c r="D139" s="3" t="str">
        <f>IFERROR(__xludf.DUMMYFUNCTION("GOOGLETRANSLATE(A139, ""nl"", ""en"")"),"Animals and Organic Forms")</f>
        <v>Animals and Organic Forms</v>
      </c>
      <c r="E139" s="3" t="str">
        <f>IFERROR(__xludf.DUMMYFUNCTION("GOOGLETRANSLATE(B139, ""nl"", ""en"")"),"A frog preparing to jump")</f>
        <v>A frog preparing to jump</v>
      </c>
    </row>
    <row r="140" ht="15.75" customHeight="1">
      <c r="A140" s="3" t="s">
        <v>15</v>
      </c>
      <c r="B140" s="3" t="s">
        <v>26</v>
      </c>
      <c r="D140" s="3" t="str">
        <f>IFERROR(__xludf.DUMMYFUNCTION("GOOGLETRANSLATE(A140, ""nl"", ""en"")"),"Animals and Organic Forms")</f>
        <v>Animals and Organic Forms</v>
      </c>
      <c r="E140" s="3" t="str">
        <f>IFERROR(__xludf.DUMMYFUNCTION("GOOGLETRANSLATE(B140, ""nl"", ""en"")"),"A frog preparing to jump")</f>
        <v>A frog preparing to jump</v>
      </c>
    </row>
    <row r="141" ht="15.75" customHeight="1">
      <c r="A141" s="3" t="s">
        <v>4</v>
      </c>
      <c r="B141" s="3" t="s">
        <v>43</v>
      </c>
      <c r="D141" s="3" t="str">
        <f>IFERROR(__xludf.DUMMYFUNCTION("GOOGLETRANSLATE(A141, ""nl"", ""en"")"),"Architectural and Structural Associations")</f>
        <v>Architectural and Structural Associations</v>
      </c>
      <c r="E141" s="3" t="str">
        <f>IFERROR(__xludf.DUMMYFUNCTION("GOOGLETRANSLATE(B141, ""nl"", ""en"")"),"A network of tunnels and passages")</f>
        <v>A network of tunnels and passages</v>
      </c>
    </row>
    <row r="142" ht="15.75" customHeight="1">
      <c r="A142" s="3" t="s">
        <v>4</v>
      </c>
      <c r="B142" s="3" t="s">
        <v>55</v>
      </c>
      <c r="D142" s="3" t="str">
        <f>IFERROR(__xludf.DUMMYFUNCTION("GOOGLETRANSLATE(A142, ""nl"", ""en"")"),"Architectural and Structural Associations")</f>
        <v>Architectural and Structural Associations</v>
      </c>
      <c r="E142" s="3" t="str">
        <f>IFERROR(__xludf.DUMMYFUNCTION("GOOGLETRANSLATE(B142, ""nl"", ""en"")"),"A prism that splits light into colors")</f>
        <v>A prism that splits light into colors</v>
      </c>
    </row>
    <row r="143" ht="15.75" customHeight="1">
      <c r="A143" s="3" t="s">
        <v>4</v>
      </c>
      <c r="B143" s="3" t="s">
        <v>55</v>
      </c>
      <c r="D143" s="3" t="str">
        <f>IFERROR(__xludf.DUMMYFUNCTION("GOOGLETRANSLATE(A143, ""nl"", ""en"")"),"Architectural and Structural Associations")</f>
        <v>Architectural and Structural Associations</v>
      </c>
      <c r="E143" s="3" t="str">
        <f>IFERROR(__xludf.DUMMYFUNCTION("GOOGLETRANSLATE(B143, ""nl"", ""en"")"),"A prism that splits light into colors")</f>
        <v>A prism that splits light into colors</v>
      </c>
    </row>
    <row r="144" ht="15.75" customHeight="1">
      <c r="A144" s="3" t="s">
        <v>15</v>
      </c>
      <c r="B144" s="3" t="s">
        <v>50</v>
      </c>
      <c r="D144" s="3" t="str">
        <f>IFERROR(__xludf.DUMMYFUNCTION("GOOGLETRANSLATE(A144, ""nl"", ""en"")"),"Animals and Organic Forms")</f>
        <v>Animals and Organic Forms</v>
      </c>
      <c r="E144" s="3" t="str">
        <f>IFERROR(__xludf.DUMMYFUNCTION("GOOGLETRANSLATE(B144, ""nl"", ""en"")"),"A squid with extended tentacles")</f>
        <v>A squid with extended tentacles</v>
      </c>
    </row>
    <row r="145" ht="15.75" customHeight="1">
      <c r="A145" s="3" t="s">
        <v>4</v>
      </c>
      <c r="B145" s="3" t="s">
        <v>43</v>
      </c>
      <c r="D145" s="3" t="str">
        <f>IFERROR(__xludf.DUMMYFUNCTION("GOOGLETRANSLATE(A145, ""nl"", ""en"")"),"Architectural and Structural Associations")</f>
        <v>Architectural and Structural Associations</v>
      </c>
      <c r="E145" s="3" t="str">
        <f>IFERROR(__xludf.DUMMYFUNCTION("GOOGLETRANSLATE(B145, ""nl"", ""en"")"),"A network of tunnels and passages")</f>
        <v>A network of tunnels and passages</v>
      </c>
    </row>
    <row r="146" ht="15.75" customHeight="1">
      <c r="A146" s="3" t="s">
        <v>15</v>
      </c>
      <c r="B146" s="3" t="s">
        <v>26</v>
      </c>
      <c r="D146" s="3" t="str">
        <f>IFERROR(__xludf.DUMMYFUNCTION("GOOGLETRANSLATE(A146, ""nl"", ""en"")"),"Animals and Organic Forms")</f>
        <v>Animals and Organic Forms</v>
      </c>
      <c r="E146" s="3" t="str">
        <f>IFERROR(__xludf.DUMMYFUNCTION("GOOGLETRANSLATE(B146, ""nl"", ""en"")"),"A frog preparing to jump")</f>
        <v>A frog preparing to jump</v>
      </c>
    </row>
    <row r="147" ht="15.75" customHeight="1">
      <c r="A147" s="3" t="s">
        <v>7</v>
      </c>
      <c r="B147" s="3" t="s">
        <v>40</v>
      </c>
      <c r="D147" s="3" t="str">
        <f>IFERROR(__xludf.DUMMYFUNCTION("GOOGLETRANSLATE(A147, ""nl"", ""en"")"),"Human Figures and Physicality")</f>
        <v>Human Figures and Physicality</v>
      </c>
      <c r="E147" s="3" t="str">
        <f>IFERROR(__xludf.DUMMYFUNCTION("GOOGLETRANSLATE(B147, ""nl"", ""en"")"),"A figure who is withdrawn into himself")</f>
        <v>A figure who is withdrawn into himself</v>
      </c>
    </row>
    <row r="148" ht="15.75" customHeight="1">
      <c r="A148" s="3" t="s">
        <v>9</v>
      </c>
      <c r="B148" s="3" t="s">
        <v>49</v>
      </c>
      <c r="D148" s="3" t="str">
        <f>IFERROR(__xludf.DUMMYFUNCTION("GOOGLETRANSLATE(A148, ""nl"", ""en"")"),"Psychological and Emotional Interpretations")</f>
        <v>Psychological and Emotional Interpretations</v>
      </c>
      <c r="E148" s="3" t="str">
        <f>IFERROR(__xludf.DUMMYFUNCTION("GOOGLETRANSLATE(B148, ""nl"", ""en"")"),"A spiral that turns inward")</f>
        <v>A spiral that turns inward</v>
      </c>
    </row>
    <row r="149" ht="15.75" customHeight="1">
      <c r="A149" s="3" t="s">
        <v>4</v>
      </c>
      <c r="B149" s="3" t="s">
        <v>55</v>
      </c>
      <c r="D149" s="3" t="str">
        <f>IFERROR(__xludf.DUMMYFUNCTION("GOOGLETRANSLATE(A149, ""nl"", ""en"")"),"Architectural and Structural Associations")</f>
        <v>Architectural and Structural Associations</v>
      </c>
      <c r="E149" s="3" t="str">
        <f>IFERROR(__xludf.DUMMYFUNCTION("GOOGLETRANSLATE(B149, ""nl"", ""en"")"),"A prism that splits light into colors")</f>
        <v>A prism that splits light into colors</v>
      </c>
    </row>
    <row r="150" ht="15.75" customHeight="1">
      <c r="A150" s="3" t="s">
        <v>12</v>
      </c>
      <c r="B150" s="3" t="s">
        <v>23</v>
      </c>
      <c r="D150" s="3" t="str">
        <f>IFERROR(__xludf.DUMMYFUNCTION("GOOGLETRANSLATE(A150, ""nl"", ""en"")"),"Nature and Elements")</f>
        <v>Nature and Elements</v>
      </c>
      <c r="E150" s="3" t="str">
        <f>IFERROR(__xludf.DUMMYFUNCTION("GOOGLETRANSLATE(B150, ""nl"", ""en"")"),"A storm cloud splitting in two")</f>
        <v>A storm cloud splitting in two</v>
      </c>
    </row>
    <row r="151" ht="15.75" customHeight="1">
      <c r="A151" s="3" t="s">
        <v>24</v>
      </c>
      <c r="B151" s="3" t="s">
        <v>29</v>
      </c>
      <c r="D151" s="3" t="str">
        <f>IFERROR(__xludf.DUMMYFUNCTION("GOOGLETRANSLATE(A151, ""nl"", ""en"")"),"Cosmic and Abstract Patterns")</f>
        <v>Cosmic and Abstract Patterns</v>
      </c>
      <c r="E151" s="3" t="str">
        <f>IFERROR(__xludf.DUMMYFUNCTION("GOOGLETRANSLATE(B151, ""nl"", ""en"")"),"A galaxy unfolding")</f>
        <v>A galaxy unfolding</v>
      </c>
    </row>
    <row r="152" ht="15.75" customHeight="1">
      <c r="A152" s="3" t="s">
        <v>9</v>
      </c>
      <c r="B152" s="3" t="s">
        <v>17</v>
      </c>
      <c r="D152" s="3" t="str">
        <f>IFERROR(__xludf.DUMMYFUNCTION("GOOGLETRANSLATE(A152, ""nl"", ""en"")"),"Psychological and Emotional Interpretations")</f>
        <v>Psychological and Emotional Interpretations</v>
      </c>
      <c r="E152" s="3" t="str">
        <f>IFERROR(__xludf.DUMMYFUNCTION("GOOGLETRANSLATE(B152, ""nl"", ""en"")"),"A figure that seems to melt")</f>
        <v>A figure that seems to melt</v>
      </c>
    </row>
    <row r="153" ht="15.75" customHeight="1">
      <c r="A153" s="3" t="s">
        <v>24</v>
      </c>
      <c r="B153" s="3" t="s">
        <v>48</v>
      </c>
      <c r="D153" s="3" t="str">
        <f>IFERROR(__xludf.DUMMYFUNCTION("GOOGLETRANSLATE(A153, ""nl"", ""en"")"),"Cosmic and Abstract Patterns")</f>
        <v>Cosmic and Abstract Patterns</v>
      </c>
      <c r="E153" s="3" t="str">
        <f>IFERROR(__xludf.DUMMYFUNCTION("GOOGLETRANSLATE(B153, ""nl"", ""en"")"),"A fractal that repeats itself")</f>
        <v>A fractal that repeats itself</v>
      </c>
    </row>
    <row r="154" ht="15.75" customHeight="1">
      <c r="A154" s="3" t="s">
        <v>15</v>
      </c>
      <c r="B154" s="3" t="s">
        <v>22</v>
      </c>
      <c r="D154" s="3" t="str">
        <f>IFERROR(__xludf.DUMMYFUNCTION("GOOGLETRANSLATE(A154, ""nl"", ""en"")"),"Animals and Organic Forms")</f>
        <v>Animals and Organic Forms</v>
      </c>
      <c r="E154" s="3" t="str">
        <f>IFERROR(__xludf.DUMMYFUNCTION("GOOGLETRANSLATE(B154, ""nl"", ""en"")"),"A bird taking off")</f>
        <v>A bird taking off</v>
      </c>
    </row>
    <row r="155" ht="15.75" customHeight="1">
      <c r="A155" s="3" t="s">
        <v>7</v>
      </c>
      <c r="B155" s="3" t="s">
        <v>28</v>
      </c>
      <c r="D155" s="3" t="str">
        <f>IFERROR(__xludf.DUMMYFUNCTION("GOOGLETRANSLATE(A155, ""nl"", ""en"")"),"Human Figures and Physicality")</f>
        <v>Human Figures and Physicality</v>
      </c>
      <c r="E155" s="3" t="str">
        <f>IFERROR(__xludf.DUMMYFUNCTION("GOOGLETRANSLATE(B155, ""nl"", ""en"")"),"A dancing silhouette")</f>
        <v>A dancing silhouette</v>
      </c>
    </row>
    <row r="156" ht="15.75" customHeight="1">
      <c r="A156" s="3" t="s">
        <v>15</v>
      </c>
      <c r="B156" s="3" t="s">
        <v>50</v>
      </c>
      <c r="D156" s="3" t="str">
        <f>IFERROR(__xludf.DUMMYFUNCTION("GOOGLETRANSLATE(A156, ""nl"", ""en"")"),"Animals and Organic Forms")</f>
        <v>Animals and Organic Forms</v>
      </c>
      <c r="E156" s="3" t="str">
        <f>IFERROR(__xludf.DUMMYFUNCTION("GOOGLETRANSLATE(B156, ""nl"", ""en"")"),"A squid with extended tentacles")</f>
        <v>A squid with extended tentacles</v>
      </c>
    </row>
    <row r="157" ht="15.75" customHeight="1">
      <c r="A157" s="3" t="s">
        <v>15</v>
      </c>
      <c r="B157" s="3" t="s">
        <v>50</v>
      </c>
      <c r="D157" s="3" t="str">
        <f>IFERROR(__xludf.DUMMYFUNCTION("GOOGLETRANSLATE(A157, ""nl"", ""en"")"),"Animals and Organic Forms")</f>
        <v>Animals and Organic Forms</v>
      </c>
      <c r="E157" s="3" t="str">
        <f>IFERROR(__xludf.DUMMYFUNCTION("GOOGLETRANSLATE(B157, ""nl"", ""en"")"),"A squid with extended tentacles")</f>
        <v>A squid with extended tentacles</v>
      </c>
    </row>
    <row r="158" ht="15.75" customHeight="1">
      <c r="A158" s="3" t="s">
        <v>15</v>
      </c>
      <c r="B158" s="3" t="s">
        <v>45</v>
      </c>
      <c r="D158" s="3" t="str">
        <f>IFERROR(__xludf.DUMMYFUNCTION("GOOGLETRANSLATE(A158, ""nl"", ""en"")"),"Animals and Organic Forms")</f>
        <v>Animals and Organic Forms</v>
      </c>
      <c r="E158" s="3" t="str">
        <f>IFERROR(__xludf.DUMMYFUNCTION("GOOGLETRANSLATE(B158, ""nl"", ""en"")"),"A snake biting its own tail")</f>
        <v>A snake biting its own tail</v>
      </c>
    </row>
    <row r="159" ht="15.75" customHeight="1">
      <c r="A159" s="3" t="s">
        <v>7</v>
      </c>
      <c r="B159" s="3" t="s">
        <v>8</v>
      </c>
      <c r="D159" s="3" t="str">
        <f>IFERROR(__xludf.DUMMYFUNCTION("GOOGLETRANSLATE(A159, ""nl"", ""en"")"),"Human Figures and Physicality")</f>
        <v>Human Figures and Physicality</v>
      </c>
      <c r="E159" s="3" t="str">
        <f>IFERROR(__xludf.DUMMYFUNCTION("GOOGLETRANSLATE(B159, ""nl"", ""en"")"),"Two figures mirroring each other")</f>
        <v>Two figures mirroring each other</v>
      </c>
    </row>
    <row r="160" ht="15.75" customHeight="1">
      <c r="A160" s="3" t="s">
        <v>15</v>
      </c>
      <c r="B160" s="3" t="s">
        <v>52</v>
      </c>
      <c r="D160" s="3" t="str">
        <f>IFERROR(__xludf.DUMMYFUNCTION("GOOGLETRANSLATE(A160, ""nl"", ""en"")"),"Animals and Organic Forms")</f>
        <v>Animals and Organic Forms</v>
      </c>
      <c r="E160" s="3" t="str">
        <f>IFERROR(__xludf.DUMMYFUNCTION("GOOGLETRANSLATE(B160, ""nl"", ""en"")"),"A mask made of leaves")</f>
        <v>A mask made of leaves</v>
      </c>
    </row>
    <row r="161" ht="15.75" customHeight="1">
      <c r="A161" s="3" t="s">
        <v>15</v>
      </c>
      <c r="B161" s="3" t="s">
        <v>46</v>
      </c>
      <c r="D161" s="3" t="str">
        <f>IFERROR(__xludf.DUMMYFUNCTION("GOOGLETRANSLATE(A161, ""nl"", ""en"")"),"Animals and Organic Forms")</f>
        <v>Animals and Organic Forms</v>
      </c>
      <c r="E161" s="3" t="str">
        <f>IFERROR(__xludf.DUMMYFUNCTION("GOOGLETRANSLATE(B161, ""nl"", ""en"")"),"A flock of fish moving as one")</f>
        <v>A flock of fish moving as one</v>
      </c>
    </row>
    <row r="162" ht="15.75" customHeight="1">
      <c r="A162" s="3" t="s">
        <v>12</v>
      </c>
      <c r="B162" s="3" t="s">
        <v>47</v>
      </c>
      <c r="D162" s="3" t="str">
        <f>IFERROR(__xludf.DUMMYFUNCTION("GOOGLETRANSLATE(A162, ""nl"", ""en"")"),"Nature and Elements")</f>
        <v>Nature and Elements</v>
      </c>
      <c r="E162" s="3" t="str">
        <f>IFERROR(__xludf.DUMMYFUNCTION("GOOGLETRANSLATE(B162, ""nl"", ""en"")"),"A desert landscape that slowly changes")</f>
        <v>A desert landscape that slowly changes</v>
      </c>
    </row>
    <row r="163" ht="15.75" customHeight="1">
      <c r="A163" s="3" t="s">
        <v>9</v>
      </c>
      <c r="B163" s="3" t="s">
        <v>37</v>
      </c>
      <c r="D163" s="3" t="str">
        <f>IFERROR(__xludf.DUMMYFUNCTION("GOOGLETRANSLATE(A163, ""nl"", ""en"")"),"Psychological and Emotional Interpretations")</f>
        <v>Psychological and Emotional Interpretations</v>
      </c>
      <c r="E163" s="3" t="str">
        <f>IFERROR(__xludf.DUMMYFUNCTION("GOOGLETRANSLATE(B163, ""nl"", ""en"")"),"A figure looking through itself")</f>
        <v>A figure looking through itself</v>
      </c>
    </row>
    <row r="164" ht="15.75" customHeight="1">
      <c r="A164" s="3" t="s">
        <v>15</v>
      </c>
      <c r="B164" s="3" t="s">
        <v>38</v>
      </c>
      <c r="D164" s="3" t="str">
        <f>IFERROR(__xludf.DUMMYFUNCTION("GOOGLETRANSLATE(A164, ""nl"", ""en"")"),"Animals and Organic Forms")</f>
        <v>Animals and Organic Forms</v>
      </c>
      <c r="E164" s="3" t="str">
        <f>IFERROR(__xludf.DUMMYFUNCTION("GOOGLETRANSLATE(B164, ""nl"", ""en"")"),"A lion with an open mouth")</f>
        <v>A lion with an open mouth</v>
      </c>
    </row>
    <row r="165" ht="15.75" customHeight="1">
      <c r="A165" s="3" t="s">
        <v>15</v>
      </c>
      <c r="B165" s="3" t="s">
        <v>45</v>
      </c>
      <c r="D165" s="3" t="str">
        <f>IFERROR(__xludf.DUMMYFUNCTION("GOOGLETRANSLATE(A165, ""nl"", ""en"")"),"Animals and Organic Forms")</f>
        <v>Animals and Organic Forms</v>
      </c>
      <c r="E165" s="3" t="str">
        <f>IFERROR(__xludf.DUMMYFUNCTION("GOOGLETRANSLATE(B165, ""nl"", ""en"")"),"A snake biting its own tail")</f>
        <v>A snake biting its own tail</v>
      </c>
    </row>
    <row r="166" ht="15.75" customHeight="1">
      <c r="A166" s="3" t="s">
        <v>7</v>
      </c>
      <c r="B166" s="3" t="s">
        <v>40</v>
      </c>
      <c r="D166" s="3" t="str">
        <f>IFERROR(__xludf.DUMMYFUNCTION("GOOGLETRANSLATE(A166, ""nl"", ""en"")"),"Human Figures and Physicality")</f>
        <v>Human Figures and Physicality</v>
      </c>
      <c r="E166" s="3" t="str">
        <f>IFERROR(__xludf.DUMMYFUNCTION("GOOGLETRANSLATE(B166, ""nl"", ""en"")"),"A figure who is withdrawn into himself")</f>
        <v>A figure who is withdrawn into himself</v>
      </c>
    </row>
    <row r="167" ht="15.75" customHeight="1">
      <c r="A167" s="3" t="s">
        <v>4</v>
      </c>
      <c r="B167" s="3" t="s">
        <v>35</v>
      </c>
      <c r="D167" s="3" t="str">
        <f>IFERROR(__xludf.DUMMYFUNCTION("GOOGLETRANSLATE(A167, ""nl"", ""en"")"),"Architectural and Structural Associations")</f>
        <v>Architectural and Structural Associations</v>
      </c>
      <c r="E167" s="3" t="str">
        <f>IFERROR(__xludf.DUMMYFUNCTION("GOOGLETRANSLATE(B167, ""nl"", ""en"")"),"A floating building without a base")</f>
        <v>A floating building without a base</v>
      </c>
    </row>
    <row r="168" ht="15.75" customHeight="1">
      <c r="A168" s="3" t="s">
        <v>4</v>
      </c>
      <c r="B168" s="3" t="s">
        <v>55</v>
      </c>
      <c r="D168" s="3" t="str">
        <f>IFERROR(__xludf.DUMMYFUNCTION("GOOGLETRANSLATE(A168, ""nl"", ""en"")"),"Architectural and Structural Associations")</f>
        <v>Architectural and Structural Associations</v>
      </c>
      <c r="E168" s="3" t="str">
        <f>IFERROR(__xludf.DUMMYFUNCTION("GOOGLETRANSLATE(B168, ""nl"", ""en"")"),"A prism that splits light into colors")</f>
        <v>A prism that splits light into colors</v>
      </c>
    </row>
    <row r="169" ht="15.75" customHeight="1">
      <c r="A169" s="3" t="s">
        <v>12</v>
      </c>
      <c r="B169" s="3" t="s">
        <v>30</v>
      </c>
      <c r="D169" s="3" t="str">
        <f>IFERROR(__xludf.DUMMYFUNCTION("GOOGLETRANSLATE(A169, ""nl"", ""en"")"),"Nature and Elements")</f>
        <v>Nature and Elements</v>
      </c>
      <c r="E169" s="3" t="str">
        <f>IFERROR(__xludf.DUMMYFUNCTION("GOOGLETRANSLATE(B169, ""nl"", ""en"")"),"Waves breaking in fractal patterns")</f>
        <v>Waves breaking in fractal patterns</v>
      </c>
    </row>
    <row r="170" ht="15.75" customHeight="1">
      <c r="A170" s="3" t="s">
        <v>12</v>
      </c>
      <c r="B170" s="3" t="s">
        <v>19</v>
      </c>
      <c r="D170" s="3" t="str">
        <f>IFERROR(__xludf.DUMMYFUNCTION("GOOGLETRANSLATE(A170, ""nl"", ""en"")"),"Nature and Elements")</f>
        <v>Nature and Elements</v>
      </c>
      <c r="E170" s="3" t="str">
        <f>IFERROR(__xludf.DUMMYFUNCTION("GOOGLETRANSLATE(B170, ""nl"", ""en"")"),"A mountain range that seems to breathe")</f>
        <v>A mountain range that seems to breathe</v>
      </c>
    </row>
    <row r="171" ht="15.75" customHeight="1">
      <c r="A171" s="3" t="s">
        <v>15</v>
      </c>
      <c r="B171" s="3" t="s">
        <v>52</v>
      </c>
      <c r="D171" s="3" t="str">
        <f>IFERROR(__xludf.DUMMYFUNCTION("GOOGLETRANSLATE(A171, ""nl"", ""en"")"),"Animals and Organic Forms")</f>
        <v>Animals and Organic Forms</v>
      </c>
      <c r="E171" s="3" t="str">
        <f>IFERROR(__xludf.DUMMYFUNCTION("GOOGLETRANSLATE(B171, ""nl"", ""en"")"),"A mask made of leaves")</f>
        <v>A mask made of leaves</v>
      </c>
    </row>
    <row r="172" ht="15.75" customHeight="1">
      <c r="A172" s="3" t="s">
        <v>9</v>
      </c>
      <c r="B172" s="3" t="s">
        <v>14</v>
      </c>
      <c r="D172" s="3" t="str">
        <f>IFERROR(__xludf.DUMMYFUNCTION("GOOGLETRANSLATE(A172, ""nl"", ""en"")"),"Psychological and Emotional Interpretations")</f>
        <v>Psychological and Emotional Interpretations</v>
      </c>
      <c r="E172" s="3" t="str">
        <f>IFERROR(__xludf.DUMMYFUNCTION("GOOGLETRANSLATE(B172, ""nl"", ""en"")"),"An unclear hug")</f>
        <v>An unclear hug</v>
      </c>
    </row>
    <row r="173" ht="15.75" customHeight="1">
      <c r="A173" s="3" t="s">
        <v>15</v>
      </c>
      <c r="B173" s="3" t="s">
        <v>45</v>
      </c>
      <c r="D173" s="3" t="str">
        <f>IFERROR(__xludf.DUMMYFUNCTION("GOOGLETRANSLATE(A173, ""nl"", ""en"")"),"Animals and Organic Forms")</f>
        <v>Animals and Organic Forms</v>
      </c>
      <c r="E173" s="3" t="str">
        <f>IFERROR(__xludf.DUMMYFUNCTION("GOOGLETRANSLATE(B173, ""nl"", ""en"")"),"A snake biting its own tail")</f>
        <v>A snake biting its own tail</v>
      </c>
    </row>
    <row r="174" ht="15.75" customHeight="1">
      <c r="A174" s="3" t="s">
        <v>24</v>
      </c>
      <c r="B174" s="3" t="s">
        <v>33</v>
      </c>
      <c r="D174" s="3" t="str">
        <f>IFERROR(__xludf.DUMMYFUNCTION("GOOGLETRANSLATE(A174, ""nl"", ""en"")"),"Cosmic and Abstract Patterns")</f>
        <v>Cosmic and Abstract Patterns</v>
      </c>
      <c r="E174" s="3" t="str">
        <f>IFERROR(__xludf.DUMMYFUNCTION("GOOGLETRANSLATE(B174, ""nl"", ""en"")"),"An eye that repeats itself in endless patterns")</f>
        <v>An eye that repeats itself in endless patterns</v>
      </c>
    </row>
    <row r="175" ht="15.75" customHeight="1">
      <c r="A175" s="3" t="s">
        <v>4</v>
      </c>
      <c r="B175" s="3" t="s">
        <v>20</v>
      </c>
      <c r="D175" s="3" t="str">
        <f>IFERROR(__xludf.DUMMYFUNCTION("GOOGLETRANSLATE(A175, ""nl"", ""en"")"),"Architectural and Structural Associations")</f>
        <v>Architectural and Structural Associations</v>
      </c>
      <c r="E175" s="3" t="str">
        <f>IFERROR(__xludf.DUMMYFUNCTION("GOOGLETRANSLATE(B175, ""nl"", ""en"")"),"A tower that grows by itself")</f>
        <v>A tower that grows by itself</v>
      </c>
    </row>
    <row r="176" ht="15.75" customHeight="1">
      <c r="A176" s="3" t="s">
        <v>12</v>
      </c>
      <c r="B176" s="3" t="s">
        <v>30</v>
      </c>
      <c r="D176" s="3" t="str">
        <f>IFERROR(__xludf.DUMMYFUNCTION("GOOGLETRANSLATE(A176, ""nl"", ""en"")"),"Nature and Elements")</f>
        <v>Nature and Elements</v>
      </c>
      <c r="E176" s="3" t="str">
        <f>IFERROR(__xludf.DUMMYFUNCTION("GOOGLETRANSLATE(B176, ""nl"", ""en"")"),"Waves breaking in fractal patterns")</f>
        <v>Waves breaking in fractal patterns</v>
      </c>
    </row>
    <row r="177" ht="15.75" customHeight="1">
      <c r="A177" s="3" t="s">
        <v>24</v>
      </c>
      <c r="B177" s="3" t="s">
        <v>32</v>
      </c>
      <c r="D177" s="3" t="str">
        <f>IFERROR(__xludf.DUMMYFUNCTION("GOOGLETRANSLATE(A177, ""nl"", ""en"")"),"Cosmic and Abstract Patterns")</f>
        <v>Cosmic and Abstract Patterns</v>
      </c>
      <c r="E177" s="3" t="str">
        <f>IFERROR(__xludf.DUMMYFUNCTION("GOOGLETRANSLATE(B177, ""nl"", ""en"")"),"A time loop captured in image")</f>
        <v>A time loop captured in image</v>
      </c>
    </row>
    <row r="178" ht="15.75" customHeight="1">
      <c r="A178" s="3" t="s">
        <v>4</v>
      </c>
      <c r="B178" s="3" t="s">
        <v>44</v>
      </c>
      <c r="D178" s="3" t="str">
        <f>IFERROR(__xludf.DUMMYFUNCTION("GOOGLETRANSLATE(A178, ""nl"", ""en"")"),"Architectural and Structural Associations")</f>
        <v>Architectural and Structural Associations</v>
      </c>
      <c r="E178" s="3" t="str">
        <f>IFERROR(__xludf.DUMMYFUNCTION("GOOGLETRANSLATE(B178, ""nl"", ""en"")"),"A structure that pulsates in waves")</f>
        <v>A structure that pulsates in waves</v>
      </c>
    </row>
    <row r="179" ht="15.75" customHeight="1">
      <c r="A179" s="3" t="s">
        <v>7</v>
      </c>
      <c r="B179" s="3" t="s">
        <v>53</v>
      </c>
      <c r="D179" s="3" t="str">
        <f>IFERROR(__xludf.DUMMYFUNCTION("GOOGLETRANSLATE(A179, ""nl"", ""en"")"),"Human Figures and Physicality")</f>
        <v>Human Figures and Physicality</v>
      </c>
      <c r="E179" s="3" t="str">
        <f>IFERROR(__xludf.DUMMYFUNCTION("GOOGLETRANSLATE(B179, ""nl"", ""en"")"),"A face that both smiles and cries")</f>
        <v>A face that both smiles and cries</v>
      </c>
    </row>
    <row r="180" ht="15.75" customHeight="1">
      <c r="A180" s="3" t="s">
        <v>12</v>
      </c>
      <c r="B180" s="3" t="s">
        <v>36</v>
      </c>
      <c r="D180" s="3" t="str">
        <f>IFERROR(__xludf.DUMMYFUNCTION("GOOGLETRANSLATE(A180, ""nl"", ""en"")"),"Nature and Elements")</f>
        <v>Nature and Elements</v>
      </c>
      <c r="E180" s="3" t="str">
        <f>IFERROR(__xludf.DUMMYFUNCTION("GOOGLETRANSLATE(B180, ""nl"", ""en"")"),"A river delta from a bird's-eye view")</f>
        <v>A river delta from a bird's-eye view</v>
      </c>
    </row>
    <row r="181" ht="15.75" customHeight="1">
      <c r="A181" s="3" t="s">
        <v>7</v>
      </c>
      <c r="B181" s="3" t="s">
        <v>56</v>
      </c>
      <c r="D181" s="3" t="str">
        <f>IFERROR(__xludf.DUMMYFUNCTION("GOOGLETRANSLATE(A181, ""nl"", ""en"")"),"Human Figures and Physicality")</f>
        <v>Human Figures and Physicality</v>
      </c>
      <c r="E181" s="3" t="str">
        <f>IFERROR(__xludf.DUMMYFUNCTION("GOOGLETRANSLATE(B181, ""nl"", ""en"")"),"A shadow that seems to move")</f>
        <v>A shadow that seems to move</v>
      </c>
    </row>
    <row r="182" ht="15.75" customHeight="1">
      <c r="A182" s="3" t="s">
        <v>12</v>
      </c>
      <c r="B182" s="3" t="s">
        <v>47</v>
      </c>
      <c r="D182" s="3" t="str">
        <f>IFERROR(__xludf.DUMMYFUNCTION("GOOGLETRANSLATE(A182, ""nl"", ""en"")"),"Nature and Elements")</f>
        <v>Nature and Elements</v>
      </c>
      <c r="E182" s="3" t="str">
        <f>IFERROR(__xludf.DUMMYFUNCTION("GOOGLETRANSLATE(B182, ""nl"", ""en"")"),"A desert landscape that slowly changes")</f>
        <v>A desert landscape that slowly changes</v>
      </c>
    </row>
    <row r="183" ht="15.75" customHeight="1">
      <c r="A183" s="3" t="s">
        <v>4</v>
      </c>
      <c r="B183" s="3" t="s">
        <v>21</v>
      </c>
      <c r="D183" s="3" t="str">
        <f>IFERROR(__xludf.DUMMYFUNCTION("GOOGLETRANSLATE(A183, ""nl"", ""en"")"),"Architectural and Structural Associations")</f>
        <v>Architectural and Structural Associations</v>
      </c>
      <c r="E183" s="3" t="str">
        <f>IFERROR(__xludf.DUMMYFUNCTION("GOOGLETRANSLATE(B183, ""nl"", ""en"")"),"A bridge that leads nowhere")</f>
        <v>A bridge that leads nowhere</v>
      </c>
    </row>
    <row r="184" ht="15.75" customHeight="1">
      <c r="A184" s="3" t="s">
        <v>7</v>
      </c>
      <c r="B184" s="3" t="s">
        <v>56</v>
      </c>
      <c r="D184" s="3" t="str">
        <f>IFERROR(__xludf.DUMMYFUNCTION("GOOGLETRANSLATE(A184, ""nl"", ""en"")"),"Human Figures and Physicality")</f>
        <v>Human Figures and Physicality</v>
      </c>
      <c r="E184" s="3" t="str">
        <f>IFERROR(__xludf.DUMMYFUNCTION("GOOGLETRANSLATE(B184, ""nl"", ""en"")"),"A shadow that seems to move")</f>
        <v>A shadow that seems to move</v>
      </c>
    </row>
    <row r="185" ht="15.75" customHeight="1">
      <c r="A185" s="3" t="s">
        <v>24</v>
      </c>
      <c r="B185" s="3" t="s">
        <v>48</v>
      </c>
      <c r="D185" s="3" t="str">
        <f>IFERROR(__xludf.DUMMYFUNCTION("GOOGLETRANSLATE(A185, ""nl"", ""en"")"),"Cosmic and Abstract Patterns")</f>
        <v>Cosmic and Abstract Patterns</v>
      </c>
      <c r="E185" s="3" t="str">
        <f>IFERROR(__xludf.DUMMYFUNCTION("GOOGLETRANSLATE(B185, ""nl"", ""en"")"),"A fractal that repeats itself")</f>
        <v>A fractal that repeats itself</v>
      </c>
    </row>
    <row r="186" ht="15.75" customHeight="1">
      <c r="A186" s="3" t="s">
        <v>12</v>
      </c>
      <c r="B186" s="3" t="s">
        <v>51</v>
      </c>
      <c r="D186" s="3" t="str">
        <f>IFERROR(__xludf.DUMMYFUNCTION("GOOGLETRANSLATE(A186, ""nl"", ""en"")"),"Nature and Elements")</f>
        <v>Nature and Elements</v>
      </c>
      <c r="E186" s="3" t="str">
        <f>IFERROR(__xludf.DUMMYFUNCTION("GOOGLETRANSLATE(B186, ""nl"", ""en"")"),"An evaporating puddle of water")</f>
        <v>An evaporating puddle of water</v>
      </c>
    </row>
    <row r="187" ht="15.75" customHeight="1">
      <c r="A187" s="3" t="s">
        <v>9</v>
      </c>
      <c r="B187" s="3" t="s">
        <v>17</v>
      </c>
      <c r="D187" s="3" t="str">
        <f>IFERROR(__xludf.DUMMYFUNCTION("GOOGLETRANSLATE(A187, ""nl"", ""en"")"),"Psychological and Emotional Interpretations")</f>
        <v>Psychological and Emotional Interpretations</v>
      </c>
      <c r="E187" s="3" t="str">
        <f>IFERROR(__xludf.DUMMYFUNCTION("GOOGLETRANSLATE(B187, ""nl"", ""en"")"),"A figure that seems to melt")</f>
        <v>A figure that seems to melt</v>
      </c>
    </row>
    <row r="188" ht="15.75" customHeight="1">
      <c r="A188" s="3" t="s">
        <v>4</v>
      </c>
      <c r="B188" s="3" t="s">
        <v>35</v>
      </c>
      <c r="D188" s="3" t="str">
        <f>IFERROR(__xludf.DUMMYFUNCTION("GOOGLETRANSLATE(A188, ""nl"", ""en"")"),"Architectural and Structural Associations")</f>
        <v>Architectural and Structural Associations</v>
      </c>
      <c r="E188" s="3" t="str">
        <f>IFERROR(__xludf.DUMMYFUNCTION("GOOGLETRANSLATE(B188, ""nl"", ""en"")"),"A floating building without a base")</f>
        <v>A floating building without a base</v>
      </c>
    </row>
    <row r="189" ht="15.75" customHeight="1">
      <c r="A189" s="3" t="s">
        <v>24</v>
      </c>
      <c r="B189" s="3" t="s">
        <v>33</v>
      </c>
      <c r="D189" s="3" t="str">
        <f>IFERROR(__xludf.DUMMYFUNCTION("GOOGLETRANSLATE(A189, ""nl"", ""en"")"),"Cosmic and Abstract Patterns")</f>
        <v>Cosmic and Abstract Patterns</v>
      </c>
      <c r="E189" s="3" t="str">
        <f>IFERROR(__xludf.DUMMYFUNCTION("GOOGLETRANSLATE(B189, ""nl"", ""en"")"),"An eye that repeats itself in endless patterns")</f>
        <v>An eye that repeats itself in endless patterns</v>
      </c>
    </row>
    <row r="190" ht="15.75" customHeight="1">
      <c r="A190" s="3" t="s">
        <v>15</v>
      </c>
      <c r="B190" s="3" t="s">
        <v>52</v>
      </c>
      <c r="D190" s="3" t="str">
        <f>IFERROR(__xludf.DUMMYFUNCTION("GOOGLETRANSLATE(A190, ""nl"", ""en"")"),"Animals and Organic Forms")</f>
        <v>Animals and Organic Forms</v>
      </c>
      <c r="E190" s="3" t="str">
        <f>IFERROR(__xludf.DUMMYFUNCTION("GOOGLETRANSLATE(B190, ""nl"", ""en"")"),"A mask made of leaves")</f>
        <v>A mask made of leaves</v>
      </c>
    </row>
    <row r="191" ht="15.75" customHeight="1">
      <c r="A191" s="3" t="s">
        <v>12</v>
      </c>
      <c r="B191" s="3" t="s">
        <v>19</v>
      </c>
      <c r="D191" s="3" t="str">
        <f>IFERROR(__xludf.DUMMYFUNCTION("GOOGLETRANSLATE(A191, ""nl"", ""en"")"),"Nature and Elements")</f>
        <v>Nature and Elements</v>
      </c>
      <c r="E191" s="3" t="str">
        <f>IFERROR(__xludf.DUMMYFUNCTION("GOOGLETRANSLATE(B191, ""nl"", ""en"")"),"A mountain range that seems to breathe")</f>
        <v>A mountain range that seems to breathe</v>
      </c>
    </row>
    <row r="192" ht="15.75" customHeight="1">
      <c r="A192" s="3" t="s">
        <v>9</v>
      </c>
      <c r="B192" s="3" t="s">
        <v>17</v>
      </c>
      <c r="D192" s="3" t="str">
        <f>IFERROR(__xludf.DUMMYFUNCTION("GOOGLETRANSLATE(A192, ""nl"", ""en"")"),"Psychological and Emotional Interpretations")</f>
        <v>Psychological and Emotional Interpretations</v>
      </c>
      <c r="E192" s="3" t="str">
        <f>IFERROR(__xludf.DUMMYFUNCTION("GOOGLETRANSLATE(B192, ""nl"", ""en"")"),"A figure that seems to melt")</f>
        <v>A figure that seems to melt</v>
      </c>
    </row>
    <row r="193" ht="15.75" customHeight="1">
      <c r="A193" s="3" t="s">
        <v>24</v>
      </c>
      <c r="B193" s="3" t="s">
        <v>48</v>
      </c>
      <c r="D193" s="3" t="str">
        <f>IFERROR(__xludf.DUMMYFUNCTION("GOOGLETRANSLATE(A193, ""nl"", ""en"")"),"Cosmic and Abstract Patterns")</f>
        <v>Cosmic and Abstract Patterns</v>
      </c>
      <c r="E193" s="3" t="str">
        <f>IFERROR(__xludf.DUMMYFUNCTION("GOOGLETRANSLATE(B193, ""nl"", ""en"")"),"A fractal that repeats itself")</f>
        <v>A fractal that repeats itself</v>
      </c>
    </row>
    <row r="194" ht="15.75" customHeight="1">
      <c r="A194" s="3" t="s">
        <v>24</v>
      </c>
      <c r="B194" s="3" t="s">
        <v>25</v>
      </c>
      <c r="D194" s="3" t="str">
        <f>IFERROR(__xludf.DUMMYFUNCTION("GOOGLETRANSLATE(A194, ""nl"", ""en"")"),"Cosmic and Abstract Patterns")</f>
        <v>Cosmic and Abstract Patterns</v>
      </c>
      <c r="E194" s="3" t="str">
        <f>IFERROR(__xludf.DUMMYFUNCTION("GOOGLETRANSLATE(B194, ""nl"", ""en"")"),"A meteor shower dissolving into each other")</f>
        <v>A meteor shower dissolving into each other</v>
      </c>
    </row>
    <row r="195" ht="15.75" customHeight="1">
      <c r="A195" s="3" t="s">
        <v>7</v>
      </c>
      <c r="B195" s="3" t="s">
        <v>39</v>
      </c>
      <c r="D195" s="3" t="str">
        <f>IFERROR(__xludf.DUMMYFUNCTION("GOOGLETRANSLATE(A195, ""nl"", ""en"")"),"Human Figures and Physicality")</f>
        <v>Human Figures and Physicality</v>
      </c>
      <c r="E195" s="3" t="str">
        <f>IFERROR(__xludf.DUMMYFUNCTION("GOOGLETRANSLATE(B195, ""nl"", ""en"")"),"A torso without a head")</f>
        <v>A torso without a head</v>
      </c>
    </row>
    <row r="196" ht="15.75" customHeight="1">
      <c r="A196" s="3" t="s">
        <v>4</v>
      </c>
      <c r="B196" s="3" t="s">
        <v>6</v>
      </c>
      <c r="D196" s="3" t="str">
        <f>IFERROR(__xludf.DUMMYFUNCTION("GOOGLETRANSLATE(A196, ""nl"", ""en"")"),"Architectural and Structural Associations")</f>
        <v>Architectural and Structural Associations</v>
      </c>
      <c r="E196" s="3" t="str">
        <f>IFERROR(__xludf.DUMMYFUNCTION("GOOGLETRANSLATE(B196, ""nl"", ""en"")"),"An endless labyrinth")</f>
        <v>An endless labyrinth</v>
      </c>
    </row>
    <row r="197" ht="15.75" customHeight="1">
      <c r="A197" s="3" t="s">
        <v>9</v>
      </c>
      <c r="B197" s="3" t="s">
        <v>17</v>
      </c>
      <c r="D197" s="3" t="str">
        <f>IFERROR(__xludf.DUMMYFUNCTION("GOOGLETRANSLATE(A197, ""nl"", ""en"")"),"Psychological and Emotional Interpretations")</f>
        <v>Psychological and Emotional Interpretations</v>
      </c>
      <c r="E197" s="3" t="str">
        <f>IFERROR(__xludf.DUMMYFUNCTION("GOOGLETRANSLATE(B197, ""nl"", ""en"")"),"A figure that seems to melt")</f>
        <v>A figure that seems to melt</v>
      </c>
    </row>
    <row r="198" ht="15.75" customHeight="1">
      <c r="A198" s="3" t="s">
        <v>7</v>
      </c>
      <c r="B198" s="3" t="s">
        <v>8</v>
      </c>
      <c r="D198" s="3" t="str">
        <f>IFERROR(__xludf.DUMMYFUNCTION("GOOGLETRANSLATE(A198, ""nl"", ""en"")"),"Human Figures and Physicality")</f>
        <v>Human Figures and Physicality</v>
      </c>
      <c r="E198" s="3" t="str">
        <f>IFERROR(__xludf.DUMMYFUNCTION("GOOGLETRANSLATE(B198, ""nl"", ""en"")"),"Two figures mirroring each other")</f>
        <v>Two figures mirroring each other</v>
      </c>
    </row>
    <row r="199" ht="15.75" customHeight="1">
      <c r="A199" s="3" t="s">
        <v>7</v>
      </c>
      <c r="B199" s="3" t="s">
        <v>8</v>
      </c>
      <c r="D199" s="3" t="str">
        <f>IFERROR(__xludf.DUMMYFUNCTION("GOOGLETRANSLATE(A199, ""nl"", ""en"")"),"Human Figures and Physicality")</f>
        <v>Human Figures and Physicality</v>
      </c>
      <c r="E199" s="3" t="str">
        <f>IFERROR(__xludf.DUMMYFUNCTION("GOOGLETRANSLATE(B199, ""nl"", ""en"")"),"Two figures mirroring each other")</f>
        <v>Two figures mirroring each other</v>
      </c>
    </row>
    <row r="200" ht="15.75" customHeight="1">
      <c r="A200" s="3" t="s">
        <v>15</v>
      </c>
      <c r="B200" s="3" t="s">
        <v>26</v>
      </c>
      <c r="D200" s="3" t="str">
        <f>IFERROR(__xludf.DUMMYFUNCTION("GOOGLETRANSLATE(A200, ""nl"", ""en"")"),"Animals and Organic Forms")</f>
        <v>Animals and Organic Forms</v>
      </c>
      <c r="E200" s="3" t="str">
        <f>IFERROR(__xludf.DUMMYFUNCTION("GOOGLETRANSLATE(B200, ""nl"", ""en"")"),"A frog preparing to jump")</f>
        <v>A frog preparing to jump</v>
      </c>
    </row>
    <row r="201" ht="15.75" customHeight="1">
      <c r="A201" s="3" t="s">
        <v>4</v>
      </c>
      <c r="B201" s="3" t="s">
        <v>5</v>
      </c>
      <c r="D201" s="3" t="str">
        <f>IFERROR(__xludf.DUMMYFUNCTION("GOOGLETRANSLATE(A201, ""nl"", ""en"")"),"Architectural and Structural Associations")</f>
        <v>Architectural and Structural Associations</v>
      </c>
      <c r="E201" s="3" t="str">
        <f>IFERROR(__xludf.DUMMYFUNCTION("GOOGLETRANSLATE(B201, ""nl"", ""en"")"),"A cathedral shaped from mist")</f>
        <v>A cathedral shaped from mist</v>
      </c>
    </row>
    <row r="202" ht="15.75" customHeight="1">
      <c r="A202" s="3" t="s">
        <v>12</v>
      </c>
      <c r="B202" s="3" t="s">
        <v>30</v>
      </c>
      <c r="D202" s="3" t="str">
        <f>IFERROR(__xludf.DUMMYFUNCTION("GOOGLETRANSLATE(A202, ""nl"", ""en"")"),"Nature and Elements")</f>
        <v>Nature and Elements</v>
      </c>
      <c r="E202" s="3" t="str">
        <f>IFERROR(__xludf.DUMMYFUNCTION("GOOGLETRANSLATE(B202, ""nl"", ""en"")"),"Waves breaking in fractal patterns")</f>
        <v>Waves breaking in fractal patterns</v>
      </c>
    </row>
    <row r="203" ht="15.75" customHeight="1">
      <c r="A203" s="3" t="s">
        <v>7</v>
      </c>
      <c r="B203" s="3" t="s">
        <v>34</v>
      </c>
      <c r="D203" s="3" t="str">
        <f>IFERROR(__xludf.DUMMYFUNCTION("GOOGLETRANSLATE(A203, ""nl"", ""en"")"),"Human Figures and Physicality")</f>
        <v>Human Figures and Physicality</v>
      </c>
      <c r="E203" s="3" t="str">
        <f>IFERROR(__xludf.DUMMYFUNCTION("GOOGLETRANSLATE(B203, ""nl"", ""en"")"),"Hands almost touching")</f>
        <v>Hands almost touching</v>
      </c>
    </row>
    <row r="204" ht="15.75" customHeight="1">
      <c r="A204" s="3" t="s">
        <v>24</v>
      </c>
      <c r="B204" s="3" t="s">
        <v>33</v>
      </c>
      <c r="D204" s="3" t="str">
        <f>IFERROR(__xludf.DUMMYFUNCTION("GOOGLETRANSLATE(A204, ""nl"", ""en"")"),"Cosmic and Abstract Patterns")</f>
        <v>Cosmic and Abstract Patterns</v>
      </c>
      <c r="E204" s="3" t="str">
        <f>IFERROR(__xludf.DUMMYFUNCTION("GOOGLETRANSLATE(B204, ""nl"", ""en"")"),"An eye that repeats itself in endless patterns")</f>
        <v>An eye that repeats itself in endless patterns</v>
      </c>
    </row>
    <row r="205" ht="15.75" customHeight="1">
      <c r="A205" s="3" t="s">
        <v>4</v>
      </c>
      <c r="B205" s="3" t="s">
        <v>55</v>
      </c>
      <c r="D205" s="3" t="str">
        <f>IFERROR(__xludf.DUMMYFUNCTION("GOOGLETRANSLATE(A205, ""nl"", ""en"")"),"Architectural and Structural Associations")</f>
        <v>Architectural and Structural Associations</v>
      </c>
      <c r="E205" s="3" t="str">
        <f>IFERROR(__xludf.DUMMYFUNCTION("GOOGLETRANSLATE(B205, ""nl"", ""en"")"),"A prism that splits light into colors")</f>
        <v>A prism that splits light into colors</v>
      </c>
    </row>
    <row r="206" ht="15.75" customHeight="1">
      <c r="A206" s="3" t="s">
        <v>15</v>
      </c>
      <c r="B206" s="3" t="s">
        <v>26</v>
      </c>
      <c r="D206" s="3" t="str">
        <f>IFERROR(__xludf.DUMMYFUNCTION("GOOGLETRANSLATE(A206, ""nl"", ""en"")"),"Animals and Organic Forms")</f>
        <v>Animals and Organic Forms</v>
      </c>
      <c r="E206" s="3" t="str">
        <f>IFERROR(__xludf.DUMMYFUNCTION("GOOGLETRANSLATE(B206, ""nl"", ""en"")"),"A frog preparing to jump")</f>
        <v>A frog preparing to jump</v>
      </c>
    </row>
    <row r="207" ht="15.75" customHeight="1">
      <c r="A207" s="3" t="s">
        <v>15</v>
      </c>
      <c r="B207" s="3" t="s">
        <v>22</v>
      </c>
      <c r="D207" s="3" t="str">
        <f>IFERROR(__xludf.DUMMYFUNCTION("GOOGLETRANSLATE(A207, ""nl"", ""en"")"),"Animals and Organic Forms")</f>
        <v>Animals and Organic Forms</v>
      </c>
      <c r="E207" s="3" t="str">
        <f>IFERROR(__xludf.DUMMYFUNCTION("GOOGLETRANSLATE(B207, ""nl"", ""en"")"),"A bird taking off")</f>
        <v>A bird taking off</v>
      </c>
    </row>
    <row r="208" ht="15.75" customHeight="1">
      <c r="A208" s="3" t="s">
        <v>24</v>
      </c>
      <c r="B208" s="3" t="s">
        <v>25</v>
      </c>
      <c r="D208" s="3" t="str">
        <f>IFERROR(__xludf.DUMMYFUNCTION("GOOGLETRANSLATE(A208, ""nl"", ""en"")"),"Cosmic and Abstract Patterns")</f>
        <v>Cosmic and Abstract Patterns</v>
      </c>
      <c r="E208" s="3" t="str">
        <f>IFERROR(__xludf.DUMMYFUNCTION("GOOGLETRANSLATE(B208, ""nl"", ""en"")"),"A meteor shower dissolving into each other")</f>
        <v>A meteor shower dissolving into each other</v>
      </c>
    </row>
    <row r="209" ht="15.75" customHeight="1">
      <c r="A209" s="3" t="s">
        <v>7</v>
      </c>
      <c r="B209" s="3" t="s">
        <v>28</v>
      </c>
      <c r="D209" s="3" t="str">
        <f>IFERROR(__xludf.DUMMYFUNCTION("GOOGLETRANSLATE(A209, ""nl"", ""en"")"),"Human Figures and Physicality")</f>
        <v>Human Figures and Physicality</v>
      </c>
      <c r="E209" s="3" t="str">
        <f>IFERROR(__xludf.DUMMYFUNCTION("GOOGLETRANSLATE(B209, ""nl"", ""en"")"),"A dancing silhouette")</f>
        <v>A dancing silhouette</v>
      </c>
    </row>
    <row r="210" ht="15.75" customHeight="1">
      <c r="A210" s="3" t="s">
        <v>24</v>
      </c>
      <c r="B210" s="3" t="s">
        <v>29</v>
      </c>
      <c r="D210" s="3" t="str">
        <f>IFERROR(__xludf.DUMMYFUNCTION("GOOGLETRANSLATE(A210, ""nl"", ""en"")"),"Cosmic and Abstract Patterns")</f>
        <v>Cosmic and Abstract Patterns</v>
      </c>
      <c r="E210" s="3" t="str">
        <f>IFERROR(__xludf.DUMMYFUNCTION("GOOGLETRANSLATE(B210, ""nl"", ""en"")"),"A galaxy unfolding")</f>
        <v>A galaxy unfolding</v>
      </c>
    </row>
    <row r="211" ht="15.75" customHeight="1">
      <c r="A211" s="3" t="s">
        <v>9</v>
      </c>
      <c r="B211" s="3" t="s">
        <v>57</v>
      </c>
      <c r="D211" s="3" t="str">
        <f>IFERROR(__xludf.DUMMYFUNCTION("GOOGLETRANSLATE(A211, ""nl"", ""en"")"),"Psychological and Emotional Interpretations")</f>
        <v>Psychological and Emotional Interpretations</v>
      </c>
      <c r="E211" s="3" t="str">
        <f>IFERROR(__xludf.DUMMYFUNCTION("GOOGLETRANSLATE(B211, ""nl"", ""en"")"),"An explosion of colours and feelings")</f>
        <v>An explosion of colours and feelings</v>
      </c>
    </row>
    <row r="212" ht="15.75" customHeight="1">
      <c r="A212" s="3" t="s">
        <v>12</v>
      </c>
      <c r="B212" s="3" t="s">
        <v>30</v>
      </c>
      <c r="D212" s="3" t="str">
        <f>IFERROR(__xludf.DUMMYFUNCTION("GOOGLETRANSLATE(A212, ""nl"", ""en"")"),"Nature and Elements")</f>
        <v>Nature and Elements</v>
      </c>
      <c r="E212" s="3" t="str">
        <f>IFERROR(__xludf.DUMMYFUNCTION("GOOGLETRANSLATE(B212, ""nl"", ""en"")"),"Waves breaking in fractal patterns")</f>
        <v>Waves breaking in fractal patterns</v>
      </c>
    </row>
    <row r="213" ht="15.75" customHeight="1">
      <c r="A213" s="3" t="s">
        <v>7</v>
      </c>
      <c r="B213" s="3" t="s">
        <v>56</v>
      </c>
      <c r="D213" s="3" t="str">
        <f>IFERROR(__xludf.DUMMYFUNCTION("GOOGLETRANSLATE(A213, ""nl"", ""en"")"),"Human Figures and Physicality")</f>
        <v>Human Figures and Physicality</v>
      </c>
      <c r="E213" s="3" t="str">
        <f>IFERROR(__xludf.DUMMYFUNCTION("GOOGLETRANSLATE(B213, ""nl"", ""en"")"),"A shadow that seems to move")</f>
        <v>A shadow that seems to move</v>
      </c>
    </row>
    <row r="214" ht="15.75" customHeight="1">
      <c r="A214" s="3" t="s">
        <v>15</v>
      </c>
      <c r="B214" s="3" t="s">
        <v>45</v>
      </c>
      <c r="D214" s="3" t="str">
        <f>IFERROR(__xludf.DUMMYFUNCTION("GOOGLETRANSLATE(A214, ""nl"", ""en"")"),"Animals and Organic Forms")</f>
        <v>Animals and Organic Forms</v>
      </c>
      <c r="E214" s="3" t="str">
        <f>IFERROR(__xludf.DUMMYFUNCTION("GOOGLETRANSLATE(B214, ""nl"", ""en"")"),"A snake biting its own tail")</f>
        <v>A snake biting its own tail</v>
      </c>
    </row>
    <row r="215" ht="15.75" customHeight="1">
      <c r="A215" s="3" t="s">
        <v>24</v>
      </c>
      <c r="B215" s="3" t="s">
        <v>25</v>
      </c>
      <c r="D215" s="3" t="str">
        <f>IFERROR(__xludf.DUMMYFUNCTION("GOOGLETRANSLATE(A215, ""nl"", ""en"")"),"Cosmic and Abstract Patterns")</f>
        <v>Cosmic and Abstract Patterns</v>
      </c>
      <c r="E215" s="3" t="str">
        <f>IFERROR(__xludf.DUMMYFUNCTION("GOOGLETRANSLATE(B215, ""nl"", ""en"")"),"A meteor shower dissolving into each other")</f>
        <v>A meteor shower dissolving into each other</v>
      </c>
    </row>
    <row r="216" ht="15.75" customHeight="1">
      <c r="A216" s="3" t="s">
        <v>9</v>
      </c>
      <c r="B216" s="3" t="s">
        <v>42</v>
      </c>
      <c r="D216" s="3" t="str">
        <f>IFERROR(__xludf.DUMMYFUNCTION("GOOGLETRANSLATE(A216, ""nl"", ""en"")"),"Psychological and Emotional Interpretations")</f>
        <v>Psychological and Emotional Interpretations</v>
      </c>
      <c r="E216" s="3" t="str">
        <f>IFERROR(__xludf.DUMMYFUNCTION("GOOGLETRANSLATE(B216, ""nl"", ""en"")"),"A mask that slowly disappears")</f>
        <v>A mask that slowly disappears</v>
      </c>
    </row>
    <row r="217" ht="15.75" customHeight="1">
      <c r="A217" s="3" t="s">
        <v>4</v>
      </c>
      <c r="B217" s="3" t="s">
        <v>44</v>
      </c>
      <c r="D217" s="3" t="str">
        <f>IFERROR(__xludf.DUMMYFUNCTION("GOOGLETRANSLATE(A217, ""nl"", ""en"")"),"Architectural and Structural Associations")</f>
        <v>Architectural and Structural Associations</v>
      </c>
      <c r="E217" s="3" t="str">
        <f>IFERROR(__xludf.DUMMYFUNCTION("GOOGLETRANSLATE(B217, ""nl"", ""en"")"),"A structure that pulsates in waves")</f>
        <v>A structure that pulsates in waves</v>
      </c>
    </row>
    <row r="218" ht="15.75" customHeight="1">
      <c r="A218" s="3" t="s">
        <v>7</v>
      </c>
      <c r="B218" s="3" t="s">
        <v>34</v>
      </c>
      <c r="D218" s="3" t="str">
        <f>IFERROR(__xludf.DUMMYFUNCTION("GOOGLETRANSLATE(A218, ""nl"", ""en"")"),"Human Figures and Physicality")</f>
        <v>Human Figures and Physicality</v>
      </c>
      <c r="E218" s="3" t="str">
        <f>IFERROR(__xludf.DUMMYFUNCTION("GOOGLETRANSLATE(B218, ""nl"", ""en"")"),"Hands almost touching")</f>
        <v>Hands almost touching</v>
      </c>
    </row>
    <row r="219" ht="15.75" customHeight="1">
      <c r="A219" s="3" t="s">
        <v>12</v>
      </c>
      <c r="B219" s="3" t="s">
        <v>23</v>
      </c>
      <c r="D219" s="3" t="str">
        <f>IFERROR(__xludf.DUMMYFUNCTION("GOOGLETRANSLATE(A219, ""nl"", ""en"")"),"Nature and Elements")</f>
        <v>Nature and Elements</v>
      </c>
      <c r="E219" s="3" t="str">
        <f>IFERROR(__xludf.DUMMYFUNCTION("GOOGLETRANSLATE(B219, ""nl"", ""en"")"),"A storm cloud splitting in two")</f>
        <v>A storm cloud splitting in two</v>
      </c>
    </row>
    <row r="220" ht="15.75" customHeight="1">
      <c r="A220" s="3" t="s">
        <v>7</v>
      </c>
      <c r="B220" s="3" t="s">
        <v>8</v>
      </c>
      <c r="D220" s="3" t="str">
        <f>IFERROR(__xludf.DUMMYFUNCTION("GOOGLETRANSLATE(A220, ""nl"", ""en"")"),"Human Figures and Physicality")</f>
        <v>Human Figures and Physicality</v>
      </c>
      <c r="E220" s="3" t="str">
        <f>IFERROR(__xludf.DUMMYFUNCTION("GOOGLETRANSLATE(B220, ""nl"", ""en"")"),"Two figures mirroring each other")</f>
        <v>Two figures mirroring each other</v>
      </c>
    </row>
    <row r="221" ht="15.75" customHeight="1">
      <c r="A221" s="3" t="s">
        <v>12</v>
      </c>
      <c r="B221" s="3" t="s">
        <v>36</v>
      </c>
      <c r="D221" s="3" t="str">
        <f>IFERROR(__xludf.DUMMYFUNCTION("GOOGLETRANSLATE(A221, ""nl"", ""en"")"),"Nature and Elements")</f>
        <v>Nature and Elements</v>
      </c>
      <c r="E221" s="3" t="str">
        <f>IFERROR(__xludf.DUMMYFUNCTION("GOOGLETRANSLATE(B221, ""nl"", ""en"")"),"A river delta from a bird's-eye view")</f>
        <v>A river delta from a bird's-eye view</v>
      </c>
    </row>
    <row r="222" ht="15.75" customHeight="1">
      <c r="A222" s="3" t="s">
        <v>4</v>
      </c>
      <c r="B222" s="3" t="s">
        <v>21</v>
      </c>
      <c r="D222" s="3" t="str">
        <f>IFERROR(__xludf.DUMMYFUNCTION("GOOGLETRANSLATE(A222, ""nl"", ""en"")"),"Architectural and Structural Associations")</f>
        <v>Architectural and Structural Associations</v>
      </c>
      <c r="E222" s="3" t="str">
        <f>IFERROR(__xludf.DUMMYFUNCTION("GOOGLETRANSLATE(B222, ""nl"", ""en"")"),"A bridge that leads nowhere")</f>
        <v>A bridge that leads nowhere</v>
      </c>
    </row>
    <row r="223" ht="15.75" customHeight="1">
      <c r="A223" s="3" t="s">
        <v>4</v>
      </c>
      <c r="B223" s="3" t="s">
        <v>21</v>
      </c>
      <c r="D223" s="3" t="str">
        <f>IFERROR(__xludf.DUMMYFUNCTION("GOOGLETRANSLATE(A223, ""nl"", ""en"")"),"Architectural and Structural Associations")</f>
        <v>Architectural and Structural Associations</v>
      </c>
      <c r="E223" s="3" t="str">
        <f>IFERROR(__xludf.DUMMYFUNCTION("GOOGLETRANSLATE(B223, ""nl"", ""en"")"),"A bridge that leads nowhere")</f>
        <v>A bridge that leads nowhere</v>
      </c>
    </row>
    <row r="224" ht="15.75" customHeight="1">
      <c r="A224" s="3" t="s">
        <v>4</v>
      </c>
      <c r="B224" s="3" t="s">
        <v>6</v>
      </c>
      <c r="D224" s="3" t="str">
        <f>IFERROR(__xludf.DUMMYFUNCTION("GOOGLETRANSLATE(A224, ""nl"", ""en"")"),"Architectural and Structural Associations")</f>
        <v>Architectural and Structural Associations</v>
      </c>
      <c r="E224" s="3" t="str">
        <f>IFERROR(__xludf.DUMMYFUNCTION("GOOGLETRANSLATE(B224, ""nl"", ""en"")"),"An endless labyrinth")</f>
        <v>An endless labyrinth</v>
      </c>
    </row>
    <row r="225" ht="15.75" customHeight="1">
      <c r="A225" s="3" t="s">
        <v>12</v>
      </c>
      <c r="B225" s="3" t="s">
        <v>51</v>
      </c>
      <c r="D225" s="3" t="str">
        <f>IFERROR(__xludf.DUMMYFUNCTION("GOOGLETRANSLATE(A225, ""nl"", ""en"")"),"Nature and Elements")</f>
        <v>Nature and Elements</v>
      </c>
      <c r="E225" s="3" t="str">
        <f>IFERROR(__xludf.DUMMYFUNCTION("GOOGLETRANSLATE(B225, ""nl"", ""en"")"),"An evaporating puddle of water")</f>
        <v>An evaporating puddle of water</v>
      </c>
    </row>
    <row r="226" ht="15.75" customHeight="1">
      <c r="A226" s="3" t="s">
        <v>9</v>
      </c>
      <c r="B226" s="3" t="s">
        <v>49</v>
      </c>
      <c r="D226" s="3" t="str">
        <f>IFERROR(__xludf.DUMMYFUNCTION("GOOGLETRANSLATE(A226, ""nl"", ""en"")"),"Psychological and Emotional Interpretations")</f>
        <v>Psychological and Emotional Interpretations</v>
      </c>
      <c r="E226" s="3" t="str">
        <f>IFERROR(__xludf.DUMMYFUNCTION("GOOGLETRANSLATE(B226, ""nl"", ""en"")"),"A spiral that turns inward")</f>
        <v>A spiral that turns inward</v>
      </c>
    </row>
    <row r="227" ht="15.75" customHeight="1">
      <c r="A227" s="3" t="s">
        <v>7</v>
      </c>
      <c r="B227" s="3" t="s">
        <v>53</v>
      </c>
      <c r="D227" s="3" t="str">
        <f>IFERROR(__xludf.DUMMYFUNCTION("GOOGLETRANSLATE(A227, ""nl"", ""en"")"),"Human Figures and Physicality")</f>
        <v>Human Figures and Physicality</v>
      </c>
      <c r="E227" s="3" t="str">
        <f>IFERROR(__xludf.DUMMYFUNCTION("GOOGLETRANSLATE(B227, ""nl"", ""en"")"),"A face that both smiles and cries")</f>
        <v>A face that both smiles and cries</v>
      </c>
    </row>
    <row r="228" ht="15.75" customHeight="1">
      <c r="A228" s="3" t="s">
        <v>24</v>
      </c>
      <c r="B228" s="3" t="s">
        <v>25</v>
      </c>
      <c r="D228" s="3" t="str">
        <f>IFERROR(__xludf.DUMMYFUNCTION("GOOGLETRANSLATE(A228, ""nl"", ""en"")"),"Cosmic and Abstract Patterns")</f>
        <v>Cosmic and Abstract Patterns</v>
      </c>
      <c r="E228" s="3" t="str">
        <f>IFERROR(__xludf.DUMMYFUNCTION("GOOGLETRANSLATE(B228, ""nl"", ""en"")"),"A meteor shower dissolving into each other")</f>
        <v>A meteor shower dissolving into each other</v>
      </c>
    </row>
    <row r="229" ht="15.75" customHeight="1">
      <c r="A229" s="3" t="s">
        <v>4</v>
      </c>
      <c r="B229" s="3" t="s">
        <v>20</v>
      </c>
      <c r="D229" s="3" t="str">
        <f>IFERROR(__xludf.DUMMYFUNCTION("GOOGLETRANSLATE(A229, ""nl"", ""en"")"),"Architectural and Structural Associations")</f>
        <v>Architectural and Structural Associations</v>
      </c>
      <c r="E229" s="3" t="str">
        <f>IFERROR(__xludf.DUMMYFUNCTION("GOOGLETRANSLATE(B229, ""nl"", ""en"")"),"A tower that grows by itself")</f>
        <v>A tower that grows by itself</v>
      </c>
    </row>
    <row r="230" ht="15.75" customHeight="1">
      <c r="A230" s="3" t="s">
        <v>9</v>
      </c>
      <c r="B230" s="3" t="s">
        <v>17</v>
      </c>
      <c r="D230" s="3" t="str">
        <f>IFERROR(__xludf.DUMMYFUNCTION("GOOGLETRANSLATE(A230, ""nl"", ""en"")"),"Psychological and Emotional Interpretations")</f>
        <v>Psychological and Emotional Interpretations</v>
      </c>
      <c r="E230" s="3" t="str">
        <f>IFERROR(__xludf.DUMMYFUNCTION("GOOGLETRANSLATE(B230, ""nl"", ""en"")"),"A figure that seems to melt")</f>
        <v>A figure that seems to melt</v>
      </c>
    </row>
    <row r="231" ht="15.75" customHeight="1">
      <c r="A231" s="3" t="s">
        <v>12</v>
      </c>
      <c r="B231" s="3" t="s">
        <v>19</v>
      </c>
      <c r="D231" s="3" t="str">
        <f>IFERROR(__xludf.DUMMYFUNCTION("GOOGLETRANSLATE(A231, ""nl"", ""en"")"),"Nature and Elements")</f>
        <v>Nature and Elements</v>
      </c>
      <c r="E231" s="3" t="str">
        <f>IFERROR(__xludf.DUMMYFUNCTION("GOOGLETRANSLATE(B231, ""nl"", ""en"")"),"A mountain range that seems to breathe")</f>
        <v>A mountain range that seems to breathe</v>
      </c>
    </row>
    <row r="232" ht="15.75" customHeight="1">
      <c r="A232" s="3" t="s">
        <v>9</v>
      </c>
      <c r="B232" s="3" t="s">
        <v>49</v>
      </c>
      <c r="D232" s="3" t="str">
        <f>IFERROR(__xludf.DUMMYFUNCTION("GOOGLETRANSLATE(A232, ""nl"", ""en"")"),"Psychological and Emotional Interpretations")</f>
        <v>Psychological and Emotional Interpretations</v>
      </c>
      <c r="E232" s="3" t="str">
        <f>IFERROR(__xludf.DUMMYFUNCTION("GOOGLETRANSLATE(B232, ""nl"", ""en"")"),"A spiral that turns inward")</f>
        <v>A spiral that turns inward</v>
      </c>
    </row>
    <row r="233" ht="15.75" customHeight="1">
      <c r="A233" s="3" t="s">
        <v>12</v>
      </c>
      <c r="B233" s="3" t="s">
        <v>51</v>
      </c>
      <c r="D233" s="3" t="str">
        <f>IFERROR(__xludf.DUMMYFUNCTION("GOOGLETRANSLATE(A233, ""nl"", ""en"")"),"Nature and Elements")</f>
        <v>Nature and Elements</v>
      </c>
      <c r="E233" s="3" t="str">
        <f>IFERROR(__xludf.DUMMYFUNCTION("GOOGLETRANSLATE(B233, ""nl"", ""en"")"),"An evaporating puddle of water")</f>
        <v>An evaporating puddle of water</v>
      </c>
    </row>
    <row r="234" ht="15.75" customHeight="1">
      <c r="A234" s="3" t="s">
        <v>4</v>
      </c>
      <c r="B234" s="3" t="s">
        <v>21</v>
      </c>
      <c r="D234" s="3" t="str">
        <f>IFERROR(__xludf.DUMMYFUNCTION("GOOGLETRANSLATE(A234, ""nl"", ""en"")"),"Architectural and Structural Associations")</f>
        <v>Architectural and Structural Associations</v>
      </c>
      <c r="E234" s="3" t="str">
        <f>IFERROR(__xludf.DUMMYFUNCTION("GOOGLETRANSLATE(B234, ""nl"", ""en"")"),"A bridge that leads nowhere")</f>
        <v>A bridge that leads nowhere</v>
      </c>
    </row>
    <row r="235" ht="15.75" customHeight="1">
      <c r="A235" s="3" t="s">
        <v>24</v>
      </c>
      <c r="B235" s="3" t="s">
        <v>32</v>
      </c>
      <c r="D235" s="3" t="str">
        <f>IFERROR(__xludf.DUMMYFUNCTION("GOOGLETRANSLATE(A235, ""nl"", ""en"")"),"Cosmic and Abstract Patterns")</f>
        <v>Cosmic and Abstract Patterns</v>
      </c>
      <c r="E235" s="3" t="str">
        <f>IFERROR(__xludf.DUMMYFUNCTION("GOOGLETRANSLATE(B235, ""nl"", ""en"")"),"A time loop captured in image")</f>
        <v>A time loop captured in image</v>
      </c>
    </row>
    <row r="236" ht="15.75" customHeight="1">
      <c r="A236" s="3" t="s">
        <v>15</v>
      </c>
      <c r="B236" s="3" t="s">
        <v>16</v>
      </c>
      <c r="D236" s="3" t="str">
        <f>IFERROR(__xludf.DUMMYFUNCTION("GOOGLETRANSLATE(A236, ""nl"", ""en"")"),"Animals and Organic Forms")</f>
        <v>Animals and Organic Forms</v>
      </c>
      <c r="E236" s="3" t="str">
        <f>IFERROR(__xludf.DUMMYFUNCTION("GOOGLETRANSLATE(B236, ""nl"", ""en"")"),"A butterfly in transformation")</f>
        <v>A butterfly in transformation</v>
      </c>
    </row>
    <row r="237" ht="15.75" customHeight="1">
      <c r="A237" s="3" t="s">
        <v>7</v>
      </c>
      <c r="B237" s="3" t="s">
        <v>56</v>
      </c>
      <c r="D237" s="3" t="str">
        <f>IFERROR(__xludf.DUMMYFUNCTION("GOOGLETRANSLATE(A237, ""nl"", ""en"")"),"Human Figures and Physicality")</f>
        <v>Human Figures and Physicality</v>
      </c>
      <c r="E237" s="3" t="str">
        <f>IFERROR(__xludf.DUMMYFUNCTION("GOOGLETRANSLATE(B237, ""nl"", ""en"")"),"A shadow that seems to move")</f>
        <v>A shadow that seems to move</v>
      </c>
    </row>
    <row r="238" ht="15.75" customHeight="1">
      <c r="A238" s="3" t="s">
        <v>12</v>
      </c>
      <c r="B238" s="3" t="s">
        <v>51</v>
      </c>
      <c r="D238" s="3" t="str">
        <f>IFERROR(__xludf.DUMMYFUNCTION("GOOGLETRANSLATE(A238, ""nl"", ""en"")"),"Nature and Elements")</f>
        <v>Nature and Elements</v>
      </c>
      <c r="E238" s="3" t="str">
        <f>IFERROR(__xludf.DUMMYFUNCTION("GOOGLETRANSLATE(B238, ""nl"", ""en"")"),"An evaporating puddle of water")</f>
        <v>An evaporating puddle of water</v>
      </c>
    </row>
    <row r="239" ht="15.75" customHeight="1">
      <c r="A239" s="3" t="s">
        <v>12</v>
      </c>
      <c r="B239" s="3" t="s">
        <v>47</v>
      </c>
      <c r="D239" s="3" t="str">
        <f>IFERROR(__xludf.DUMMYFUNCTION("GOOGLETRANSLATE(A239, ""nl"", ""en"")"),"Nature and Elements")</f>
        <v>Nature and Elements</v>
      </c>
      <c r="E239" s="3" t="str">
        <f>IFERROR(__xludf.DUMMYFUNCTION("GOOGLETRANSLATE(B239, ""nl"", ""en"")"),"A desert landscape that slowly changes")</f>
        <v>A desert landscape that slowly changes</v>
      </c>
    </row>
    <row r="240" ht="15.75" customHeight="1">
      <c r="A240" s="3" t="s">
        <v>9</v>
      </c>
      <c r="B240" s="3" t="s">
        <v>42</v>
      </c>
      <c r="D240" s="3" t="str">
        <f>IFERROR(__xludf.DUMMYFUNCTION("GOOGLETRANSLATE(A240, ""nl"", ""en"")"),"Psychological and Emotional Interpretations")</f>
        <v>Psychological and Emotional Interpretations</v>
      </c>
      <c r="E240" s="3" t="str">
        <f>IFERROR(__xludf.DUMMYFUNCTION("GOOGLETRANSLATE(B240, ""nl"", ""en"")"),"A mask that slowly disappears")</f>
        <v>A mask that slowly disappears</v>
      </c>
    </row>
    <row r="241" ht="15.75" customHeight="1">
      <c r="A241" s="3" t="s">
        <v>12</v>
      </c>
      <c r="B241" s="3" t="s">
        <v>23</v>
      </c>
      <c r="D241" s="3" t="str">
        <f>IFERROR(__xludf.DUMMYFUNCTION("GOOGLETRANSLATE(A241, ""nl"", ""en"")"),"Nature and Elements")</f>
        <v>Nature and Elements</v>
      </c>
      <c r="E241" s="3" t="str">
        <f>IFERROR(__xludf.DUMMYFUNCTION("GOOGLETRANSLATE(B241, ""nl"", ""en"")"),"A storm cloud splitting in two")</f>
        <v>A storm cloud splitting in two</v>
      </c>
    </row>
    <row r="242" ht="15.75" customHeight="1">
      <c r="A242" s="3" t="s">
        <v>4</v>
      </c>
      <c r="B242" s="3" t="s">
        <v>6</v>
      </c>
      <c r="D242" s="3" t="str">
        <f>IFERROR(__xludf.DUMMYFUNCTION("GOOGLETRANSLATE(A242, ""nl"", ""en"")"),"Architectural and Structural Associations")</f>
        <v>Architectural and Structural Associations</v>
      </c>
      <c r="E242" s="3" t="str">
        <f>IFERROR(__xludf.DUMMYFUNCTION("GOOGLETRANSLATE(B242, ""nl"", ""en"")"),"An endless labyrinth")</f>
        <v>An endless labyrinth</v>
      </c>
    </row>
    <row r="243" ht="15.75" customHeight="1">
      <c r="A243" s="3" t="s">
        <v>7</v>
      </c>
      <c r="B243" s="3" t="s">
        <v>8</v>
      </c>
      <c r="D243" s="3" t="str">
        <f>IFERROR(__xludf.DUMMYFUNCTION("GOOGLETRANSLATE(A243, ""nl"", ""en"")"),"Human Figures and Physicality")</f>
        <v>Human Figures and Physicality</v>
      </c>
      <c r="E243" s="3" t="str">
        <f>IFERROR(__xludf.DUMMYFUNCTION("GOOGLETRANSLATE(B243, ""nl"", ""en"")"),"Two figures mirroring each other")</f>
        <v>Two figures mirroring each other</v>
      </c>
    </row>
    <row r="244" ht="15.75" customHeight="1">
      <c r="A244" s="3" t="s">
        <v>15</v>
      </c>
      <c r="B244" s="3" t="s">
        <v>50</v>
      </c>
      <c r="D244" s="3" t="str">
        <f>IFERROR(__xludf.DUMMYFUNCTION("GOOGLETRANSLATE(A244, ""nl"", ""en"")"),"Animals and Organic Forms")</f>
        <v>Animals and Organic Forms</v>
      </c>
      <c r="E244" s="3" t="str">
        <f>IFERROR(__xludf.DUMMYFUNCTION("GOOGLETRANSLATE(B244, ""nl"", ""en"")"),"A squid with extended tentacles")</f>
        <v>A squid with extended tentacles</v>
      </c>
    </row>
    <row r="245" ht="15.75" customHeight="1">
      <c r="A245" s="3" t="s">
        <v>7</v>
      </c>
      <c r="B245" s="3" t="s">
        <v>39</v>
      </c>
      <c r="D245" s="3" t="str">
        <f>IFERROR(__xludf.DUMMYFUNCTION("GOOGLETRANSLATE(A245, ""nl"", ""en"")"),"Human Figures and Physicality")</f>
        <v>Human Figures and Physicality</v>
      </c>
      <c r="E245" s="3" t="str">
        <f>IFERROR(__xludf.DUMMYFUNCTION("GOOGLETRANSLATE(B245, ""nl"", ""en"")"),"A torso without a head")</f>
        <v>A torso without a head</v>
      </c>
    </row>
    <row r="246" ht="15.75" customHeight="1">
      <c r="A246" s="3" t="s">
        <v>12</v>
      </c>
      <c r="B246" s="3" t="s">
        <v>19</v>
      </c>
      <c r="D246" s="3" t="str">
        <f>IFERROR(__xludf.DUMMYFUNCTION("GOOGLETRANSLATE(A246, ""nl"", ""en"")"),"Nature and Elements")</f>
        <v>Nature and Elements</v>
      </c>
      <c r="E246" s="3" t="str">
        <f>IFERROR(__xludf.DUMMYFUNCTION("GOOGLETRANSLATE(B246, ""nl"", ""en"")"),"A mountain range that seems to breathe")</f>
        <v>A mountain range that seems to breathe</v>
      </c>
    </row>
    <row r="247" ht="15.75" customHeight="1">
      <c r="A247" s="3" t="s">
        <v>15</v>
      </c>
      <c r="B247" s="3" t="s">
        <v>26</v>
      </c>
      <c r="D247" s="3" t="str">
        <f>IFERROR(__xludf.DUMMYFUNCTION("GOOGLETRANSLATE(A247, ""nl"", ""en"")"),"Animals and Organic Forms")</f>
        <v>Animals and Organic Forms</v>
      </c>
      <c r="E247" s="3" t="str">
        <f>IFERROR(__xludf.DUMMYFUNCTION("GOOGLETRANSLATE(B247, ""nl"", ""en"")"),"A frog preparing to jump")</f>
        <v>A frog preparing to jump</v>
      </c>
    </row>
    <row r="248" ht="15.75" customHeight="1">
      <c r="A248" s="3" t="s">
        <v>24</v>
      </c>
      <c r="B248" s="3" t="s">
        <v>31</v>
      </c>
      <c r="D248" s="3" t="str">
        <f>IFERROR(__xludf.DUMMYFUNCTION("GOOGLETRANSLATE(A248, ""nl"", ""en"")"),"Cosmic and Abstract Patterns")</f>
        <v>Cosmic and Abstract Patterns</v>
      </c>
      <c r="E248" s="3" t="str">
        <f>IFERROR(__xludf.DUMMYFUNCTION("GOOGLETRANSLATE(B248, ""nl"", ""en"")"),"A planet with unusual rings")</f>
        <v>A planet with unusual rings</v>
      </c>
    </row>
    <row r="249" ht="15.75" customHeight="1">
      <c r="A249" s="3" t="s">
        <v>12</v>
      </c>
      <c r="B249" s="3" t="s">
        <v>23</v>
      </c>
      <c r="D249" s="3" t="str">
        <f>IFERROR(__xludf.DUMMYFUNCTION("GOOGLETRANSLATE(A249, ""nl"", ""en"")"),"Nature and Elements")</f>
        <v>Nature and Elements</v>
      </c>
      <c r="E249" s="3" t="str">
        <f>IFERROR(__xludf.DUMMYFUNCTION("GOOGLETRANSLATE(B249, ""nl"", ""en"")"),"A storm cloud splitting in two")</f>
        <v>A storm cloud splitting in two</v>
      </c>
    </row>
    <row r="250" ht="15.75" customHeight="1">
      <c r="A250" s="3" t="s">
        <v>15</v>
      </c>
      <c r="B250" s="3" t="s">
        <v>38</v>
      </c>
      <c r="D250" s="3" t="str">
        <f>IFERROR(__xludf.DUMMYFUNCTION("GOOGLETRANSLATE(A250, ""nl"", ""en"")"),"Animals and Organic Forms")</f>
        <v>Animals and Organic Forms</v>
      </c>
      <c r="E250" s="3" t="str">
        <f>IFERROR(__xludf.DUMMYFUNCTION("GOOGLETRANSLATE(B250, ""nl"", ""en"")"),"A lion with an open mouth")</f>
        <v>A lion with an open mouth</v>
      </c>
    </row>
    <row r="251" ht="15.75" customHeight="1">
      <c r="A251" s="3" t="s">
        <v>4</v>
      </c>
      <c r="B251" s="3" t="s">
        <v>44</v>
      </c>
      <c r="D251" s="3" t="str">
        <f>IFERROR(__xludf.DUMMYFUNCTION("GOOGLETRANSLATE(A251, ""nl"", ""en"")"),"Architectural and Structural Associations")</f>
        <v>Architectural and Structural Associations</v>
      </c>
      <c r="E251" s="3" t="str">
        <f>IFERROR(__xludf.DUMMYFUNCTION("GOOGLETRANSLATE(B251, ""nl"", ""en"")"),"A structure that pulsates in waves")</f>
        <v>A structure that pulsates in waves</v>
      </c>
    </row>
    <row r="252" ht="15.75" customHeight="1">
      <c r="A252" s="3" t="s">
        <v>24</v>
      </c>
      <c r="B252" s="3" t="s">
        <v>27</v>
      </c>
      <c r="D252" s="3" t="str">
        <f>IFERROR(__xludf.DUMMYFUNCTION("GOOGLETRANSLATE(A252, ""nl"", ""en"")"),"Cosmic and Abstract Patterns")</f>
        <v>Cosmic and Abstract Patterns</v>
      </c>
      <c r="E252" s="3" t="str">
        <f>IFERROR(__xludf.DUMMYFUNCTION("GOOGLETRANSLATE(B252, ""nl"", ""en"")"),"A pair of black holes in dance")</f>
        <v>A pair of black holes in dance</v>
      </c>
    </row>
    <row r="253" ht="15.75" customHeight="1">
      <c r="A253" s="3" t="s">
        <v>24</v>
      </c>
      <c r="B253" s="3" t="s">
        <v>27</v>
      </c>
      <c r="D253" s="3" t="str">
        <f>IFERROR(__xludf.DUMMYFUNCTION("GOOGLETRANSLATE(A253, ""nl"", ""en"")"),"Cosmic and Abstract Patterns")</f>
        <v>Cosmic and Abstract Patterns</v>
      </c>
      <c r="E253" s="3" t="str">
        <f>IFERROR(__xludf.DUMMYFUNCTION("GOOGLETRANSLATE(B253, ""nl"", ""en"")"),"A pair of black holes in dance")</f>
        <v>A pair of black holes in dance</v>
      </c>
    </row>
    <row r="254" ht="15.75" customHeight="1">
      <c r="A254" s="3" t="s">
        <v>12</v>
      </c>
      <c r="B254" s="3" t="s">
        <v>47</v>
      </c>
      <c r="D254" s="3" t="str">
        <f>IFERROR(__xludf.DUMMYFUNCTION("GOOGLETRANSLATE(A254, ""nl"", ""en"")"),"Nature and Elements")</f>
        <v>Nature and Elements</v>
      </c>
      <c r="E254" s="3" t="str">
        <f>IFERROR(__xludf.DUMMYFUNCTION("GOOGLETRANSLATE(B254, ""nl"", ""en"")"),"A desert landscape that slowly changes")</f>
        <v>A desert landscape that slowly changes</v>
      </c>
    </row>
    <row r="255" ht="15.75" customHeight="1">
      <c r="A255" s="3" t="s">
        <v>4</v>
      </c>
      <c r="B255" s="3" t="s">
        <v>20</v>
      </c>
      <c r="D255" s="3" t="str">
        <f>IFERROR(__xludf.DUMMYFUNCTION("GOOGLETRANSLATE(A255, ""nl"", ""en"")"),"Architectural and Structural Associations")</f>
        <v>Architectural and Structural Associations</v>
      </c>
      <c r="E255" s="3" t="str">
        <f>IFERROR(__xludf.DUMMYFUNCTION("GOOGLETRANSLATE(B255, ""nl"", ""en"")"),"A tower that grows by itself")</f>
        <v>A tower that grows by itself</v>
      </c>
    </row>
    <row r="256" ht="15.75" customHeight="1">
      <c r="A256" s="3" t="s">
        <v>15</v>
      </c>
      <c r="B256" s="3" t="s">
        <v>26</v>
      </c>
      <c r="D256" s="3" t="str">
        <f>IFERROR(__xludf.DUMMYFUNCTION("GOOGLETRANSLATE(A256, ""nl"", ""en"")"),"Animals and Organic Forms")</f>
        <v>Animals and Organic Forms</v>
      </c>
      <c r="E256" s="3" t="str">
        <f>IFERROR(__xludf.DUMMYFUNCTION("GOOGLETRANSLATE(B256, ""nl"", ""en"")"),"A frog preparing to jump")</f>
        <v>A frog preparing to jump</v>
      </c>
    </row>
    <row r="257" ht="15.75" customHeight="1">
      <c r="A257" s="3" t="s">
        <v>4</v>
      </c>
      <c r="B257" s="3" t="s">
        <v>5</v>
      </c>
      <c r="D257" s="3" t="str">
        <f>IFERROR(__xludf.DUMMYFUNCTION("GOOGLETRANSLATE(A257, ""nl"", ""en"")"),"Architectural and Structural Associations")</f>
        <v>Architectural and Structural Associations</v>
      </c>
      <c r="E257" s="3" t="str">
        <f>IFERROR(__xludf.DUMMYFUNCTION("GOOGLETRANSLATE(B257, ""nl"", ""en"")"),"A cathedral shaped from mist")</f>
        <v>A cathedral shaped from mist</v>
      </c>
    </row>
    <row r="258" ht="15.75" customHeight="1">
      <c r="A258" s="3" t="s">
        <v>9</v>
      </c>
      <c r="B258" s="3" t="s">
        <v>10</v>
      </c>
      <c r="D258" s="3" t="str">
        <f>IFERROR(__xludf.DUMMYFUNCTION("GOOGLETRANSLATE(A258, ""nl"", ""en"")"),"Psychological and Emotional Interpretations")</f>
        <v>Psychological and Emotional Interpretations</v>
      </c>
      <c r="E258" s="3" t="str">
        <f>IFERROR(__xludf.DUMMYFUNCTION("GOOGLETRANSLATE(B258, ""nl"", ""en"")"),"A face transforming in light")</f>
        <v>A face transforming in light</v>
      </c>
    </row>
    <row r="259" ht="15.75" customHeight="1">
      <c r="A259" s="3" t="s">
        <v>24</v>
      </c>
      <c r="B259" s="3" t="s">
        <v>31</v>
      </c>
      <c r="D259" s="3" t="str">
        <f>IFERROR(__xludf.DUMMYFUNCTION("GOOGLETRANSLATE(A259, ""nl"", ""en"")"),"Cosmic and Abstract Patterns")</f>
        <v>Cosmic and Abstract Patterns</v>
      </c>
      <c r="E259" s="3" t="str">
        <f>IFERROR(__xludf.DUMMYFUNCTION("GOOGLETRANSLATE(B259, ""nl"", ""en"")"),"A planet with unusual rings")</f>
        <v>A planet with unusual rings</v>
      </c>
    </row>
    <row r="260" ht="15.75" customHeight="1">
      <c r="A260" s="3" t="s">
        <v>15</v>
      </c>
      <c r="B260" s="3" t="s">
        <v>26</v>
      </c>
      <c r="D260" s="3" t="str">
        <f>IFERROR(__xludf.DUMMYFUNCTION("GOOGLETRANSLATE(A260, ""nl"", ""en"")"),"Animals and Organic Forms")</f>
        <v>Animals and Organic Forms</v>
      </c>
      <c r="E260" s="3" t="str">
        <f>IFERROR(__xludf.DUMMYFUNCTION("GOOGLETRANSLATE(B260, ""nl"", ""en"")"),"A frog preparing to jump")</f>
        <v>A frog preparing to jump</v>
      </c>
    </row>
    <row r="261" ht="15.75" customHeight="1">
      <c r="A261" s="3" t="s">
        <v>9</v>
      </c>
      <c r="B261" s="3" t="s">
        <v>10</v>
      </c>
      <c r="D261" s="3" t="str">
        <f>IFERROR(__xludf.DUMMYFUNCTION("GOOGLETRANSLATE(A261, ""nl"", ""en"")"),"Psychological and Emotional Interpretations")</f>
        <v>Psychological and Emotional Interpretations</v>
      </c>
      <c r="E261" s="3" t="str">
        <f>IFERROR(__xludf.DUMMYFUNCTION("GOOGLETRANSLATE(B261, ""nl"", ""en"")"),"A face transforming in light")</f>
        <v>A face transforming in light</v>
      </c>
    </row>
    <row r="262" ht="15.75" customHeight="1">
      <c r="A262" s="3" t="s">
        <v>9</v>
      </c>
      <c r="B262" s="3" t="s">
        <v>10</v>
      </c>
      <c r="D262" s="3" t="str">
        <f>IFERROR(__xludf.DUMMYFUNCTION("GOOGLETRANSLATE(A262, ""nl"", ""en"")"),"Psychological and Emotional Interpretations")</f>
        <v>Psychological and Emotional Interpretations</v>
      </c>
      <c r="E262" s="3" t="str">
        <f>IFERROR(__xludf.DUMMYFUNCTION("GOOGLETRANSLATE(B262, ""nl"", ""en"")"),"A face transforming in light")</f>
        <v>A face transforming in light</v>
      </c>
    </row>
    <row r="263" ht="15.75" customHeight="1">
      <c r="A263" s="3" t="s">
        <v>7</v>
      </c>
      <c r="B263" s="3" t="s">
        <v>40</v>
      </c>
      <c r="D263" s="3" t="str">
        <f>IFERROR(__xludf.DUMMYFUNCTION("GOOGLETRANSLATE(A263, ""nl"", ""en"")"),"Human Figures and Physicality")</f>
        <v>Human Figures and Physicality</v>
      </c>
      <c r="E263" s="3" t="str">
        <f>IFERROR(__xludf.DUMMYFUNCTION("GOOGLETRANSLATE(B263, ""nl"", ""en"")"),"A figure who is withdrawn into himself")</f>
        <v>A figure who is withdrawn into himself</v>
      </c>
    </row>
    <row r="264" ht="15.75" customHeight="1">
      <c r="A264" s="3" t="s">
        <v>4</v>
      </c>
      <c r="B264" s="3" t="s">
        <v>35</v>
      </c>
      <c r="D264" s="3" t="str">
        <f>IFERROR(__xludf.DUMMYFUNCTION("GOOGLETRANSLATE(A264, ""nl"", ""en"")"),"Architectural and Structural Associations")</f>
        <v>Architectural and Structural Associations</v>
      </c>
      <c r="E264" s="3" t="str">
        <f>IFERROR(__xludf.DUMMYFUNCTION("GOOGLETRANSLATE(B264, ""nl"", ""en"")"),"A floating building without a base")</f>
        <v>A floating building without a base</v>
      </c>
    </row>
    <row r="265" ht="15.75" customHeight="1">
      <c r="A265" s="3" t="s">
        <v>7</v>
      </c>
      <c r="B265" s="3" t="s">
        <v>56</v>
      </c>
      <c r="D265" s="3" t="str">
        <f>IFERROR(__xludf.DUMMYFUNCTION("GOOGLETRANSLATE(A265, ""nl"", ""en"")"),"Human Figures and Physicality")</f>
        <v>Human Figures and Physicality</v>
      </c>
      <c r="E265" s="3" t="str">
        <f>IFERROR(__xludf.DUMMYFUNCTION("GOOGLETRANSLATE(B265, ""nl"", ""en"")"),"A shadow that seems to move")</f>
        <v>A shadow that seems to move</v>
      </c>
    </row>
    <row r="266" ht="15.75" customHeight="1">
      <c r="A266" s="3" t="s">
        <v>24</v>
      </c>
      <c r="B266" s="3" t="s">
        <v>32</v>
      </c>
      <c r="D266" s="3" t="str">
        <f>IFERROR(__xludf.DUMMYFUNCTION("GOOGLETRANSLATE(A266, ""nl"", ""en"")"),"Cosmic and Abstract Patterns")</f>
        <v>Cosmic and Abstract Patterns</v>
      </c>
      <c r="E266" s="3" t="str">
        <f>IFERROR(__xludf.DUMMYFUNCTION("GOOGLETRANSLATE(B266, ""nl"", ""en"")"),"A time loop captured in image")</f>
        <v>A time loop captured in image</v>
      </c>
    </row>
    <row r="267" ht="15.75" customHeight="1">
      <c r="A267" s="3" t="s">
        <v>15</v>
      </c>
      <c r="B267" s="3" t="s">
        <v>46</v>
      </c>
      <c r="D267" s="3" t="str">
        <f>IFERROR(__xludf.DUMMYFUNCTION("GOOGLETRANSLATE(A267, ""nl"", ""en"")"),"Animals and Organic Forms")</f>
        <v>Animals and Organic Forms</v>
      </c>
      <c r="E267" s="3" t="str">
        <f>IFERROR(__xludf.DUMMYFUNCTION("GOOGLETRANSLATE(B267, ""nl"", ""en"")"),"A flock of fish moving as one")</f>
        <v>A flock of fish moving as one</v>
      </c>
    </row>
    <row r="268" ht="15.75" customHeight="1">
      <c r="A268" s="3" t="s">
        <v>12</v>
      </c>
      <c r="B268" s="3" t="s">
        <v>36</v>
      </c>
      <c r="D268" s="3" t="str">
        <f>IFERROR(__xludf.DUMMYFUNCTION("GOOGLETRANSLATE(A268, ""nl"", ""en"")"),"Nature and Elements")</f>
        <v>Nature and Elements</v>
      </c>
      <c r="E268" s="3" t="str">
        <f>IFERROR(__xludf.DUMMYFUNCTION("GOOGLETRANSLATE(B268, ""nl"", ""en"")"),"A river delta from a bird's-eye view")</f>
        <v>A river delta from a bird's-eye view</v>
      </c>
    </row>
    <row r="269" ht="15.75" customHeight="1">
      <c r="A269" s="3" t="s">
        <v>24</v>
      </c>
      <c r="B269" s="3" t="s">
        <v>33</v>
      </c>
      <c r="D269" s="3" t="str">
        <f>IFERROR(__xludf.DUMMYFUNCTION("GOOGLETRANSLATE(A269, ""nl"", ""en"")"),"Cosmic and Abstract Patterns")</f>
        <v>Cosmic and Abstract Patterns</v>
      </c>
      <c r="E269" s="3" t="str">
        <f>IFERROR(__xludf.DUMMYFUNCTION("GOOGLETRANSLATE(B269, ""nl"", ""en"")"),"An eye that repeats itself in endless patterns")</f>
        <v>An eye that repeats itself in endless patterns</v>
      </c>
    </row>
    <row r="270" ht="15.75" customHeight="1">
      <c r="A270" s="3" t="s">
        <v>24</v>
      </c>
      <c r="B270" s="3" t="s">
        <v>31</v>
      </c>
      <c r="D270" s="3" t="str">
        <f>IFERROR(__xludf.DUMMYFUNCTION("GOOGLETRANSLATE(A270, ""nl"", ""en"")"),"Cosmic and Abstract Patterns")</f>
        <v>Cosmic and Abstract Patterns</v>
      </c>
      <c r="E270" s="3" t="str">
        <f>IFERROR(__xludf.DUMMYFUNCTION("GOOGLETRANSLATE(B270, ""nl"", ""en"")"),"A planet with unusual rings")</f>
        <v>A planet with unusual rings</v>
      </c>
    </row>
    <row r="271" ht="15.75" customHeight="1">
      <c r="A271" s="3" t="s">
        <v>12</v>
      </c>
      <c r="B271" s="3" t="s">
        <v>30</v>
      </c>
      <c r="D271" s="3" t="str">
        <f>IFERROR(__xludf.DUMMYFUNCTION("GOOGLETRANSLATE(A271, ""nl"", ""en"")"),"Nature and Elements")</f>
        <v>Nature and Elements</v>
      </c>
      <c r="E271" s="3" t="str">
        <f>IFERROR(__xludf.DUMMYFUNCTION("GOOGLETRANSLATE(B271, ""nl"", ""en"")"),"Waves breaking in fractal patterns")</f>
        <v>Waves breaking in fractal patterns</v>
      </c>
    </row>
    <row r="272" ht="15.75" customHeight="1">
      <c r="A272" s="3" t="s">
        <v>9</v>
      </c>
      <c r="B272" s="3" t="s">
        <v>57</v>
      </c>
      <c r="D272" s="3" t="str">
        <f>IFERROR(__xludf.DUMMYFUNCTION("GOOGLETRANSLATE(A272, ""nl"", ""en"")"),"Psychological and Emotional Interpretations")</f>
        <v>Psychological and Emotional Interpretations</v>
      </c>
      <c r="E272" s="3" t="str">
        <f>IFERROR(__xludf.DUMMYFUNCTION("GOOGLETRANSLATE(B272, ""nl"", ""en"")"),"An explosion of colours and feelings")</f>
        <v>An explosion of colours and feelings</v>
      </c>
    </row>
    <row r="273" ht="15.75" customHeight="1">
      <c r="A273" s="3" t="s">
        <v>24</v>
      </c>
      <c r="B273" s="3" t="s">
        <v>29</v>
      </c>
      <c r="D273" s="3" t="str">
        <f>IFERROR(__xludf.DUMMYFUNCTION("GOOGLETRANSLATE(A273, ""nl"", ""en"")"),"Cosmic and Abstract Patterns")</f>
        <v>Cosmic and Abstract Patterns</v>
      </c>
      <c r="E273" s="3" t="str">
        <f>IFERROR(__xludf.DUMMYFUNCTION("GOOGLETRANSLATE(B273, ""nl"", ""en"")"),"A galaxy unfolding")</f>
        <v>A galaxy unfolding</v>
      </c>
    </row>
    <row r="274" ht="15.75" customHeight="1">
      <c r="A274" s="3" t="s">
        <v>7</v>
      </c>
      <c r="B274" s="3" t="s">
        <v>53</v>
      </c>
      <c r="D274" s="3" t="str">
        <f>IFERROR(__xludf.DUMMYFUNCTION("GOOGLETRANSLATE(A274, ""nl"", ""en"")"),"Human Figures and Physicality")</f>
        <v>Human Figures and Physicality</v>
      </c>
      <c r="E274" s="3" t="str">
        <f>IFERROR(__xludf.DUMMYFUNCTION("GOOGLETRANSLATE(B274, ""nl"", ""en"")"),"A face that both smiles and cries")</f>
        <v>A face that both smiles and cries</v>
      </c>
    </row>
    <row r="275" ht="15.75" customHeight="1">
      <c r="A275" s="3" t="s">
        <v>15</v>
      </c>
      <c r="B275" s="3" t="s">
        <v>45</v>
      </c>
      <c r="D275" s="3" t="str">
        <f>IFERROR(__xludf.DUMMYFUNCTION("GOOGLETRANSLATE(A275, ""nl"", ""en"")"),"Animals and Organic Forms")</f>
        <v>Animals and Organic Forms</v>
      </c>
      <c r="E275" s="3" t="str">
        <f>IFERROR(__xludf.DUMMYFUNCTION("GOOGLETRANSLATE(B275, ""nl"", ""en"")"),"A snake biting its own tail")</f>
        <v>A snake biting its own tail</v>
      </c>
    </row>
    <row r="276" ht="15.75" customHeight="1">
      <c r="A276" s="3" t="s">
        <v>12</v>
      </c>
      <c r="B276" s="3" t="s">
        <v>47</v>
      </c>
      <c r="D276" s="3" t="str">
        <f>IFERROR(__xludf.DUMMYFUNCTION("GOOGLETRANSLATE(A276, ""nl"", ""en"")"),"Nature and Elements")</f>
        <v>Nature and Elements</v>
      </c>
      <c r="E276" s="3" t="str">
        <f>IFERROR(__xludf.DUMMYFUNCTION("GOOGLETRANSLATE(B276, ""nl"", ""en"")"),"A desert landscape that slowly changes")</f>
        <v>A desert landscape that slowly changes</v>
      </c>
    </row>
    <row r="277" ht="15.75" customHeight="1">
      <c r="A277" s="3" t="s">
        <v>12</v>
      </c>
      <c r="B277" s="3" t="s">
        <v>30</v>
      </c>
      <c r="D277" s="3" t="str">
        <f>IFERROR(__xludf.DUMMYFUNCTION("GOOGLETRANSLATE(A277, ""nl"", ""en"")"),"Nature and Elements")</f>
        <v>Nature and Elements</v>
      </c>
      <c r="E277" s="3" t="str">
        <f>IFERROR(__xludf.DUMMYFUNCTION("GOOGLETRANSLATE(B277, ""nl"", ""en"")"),"Waves breaking in fractal patterns")</f>
        <v>Waves breaking in fractal patterns</v>
      </c>
    </row>
    <row r="278" ht="15.75" customHeight="1">
      <c r="A278" s="3" t="s">
        <v>9</v>
      </c>
      <c r="B278" s="3" t="s">
        <v>14</v>
      </c>
      <c r="D278" s="3" t="str">
        <f>IFERROR(__xludf.DUMMYFUNCTION("GOOGLETRANSLATE(A278, ""nl"", ""en"")"),"Psychological and Emotional Interpretations")</f>
        <v>Psychological and Emotional Interpretations</v>
      </c>
      <c r="E278" s="3" t="str">
        <f>IFERROR(__xludf.DUMMYFUNCTION("GOOGLETRANSLATE(B278, ""nl"", ""en"")"),"An unclear hug")</f>
        <v>An unclear hug</v>
      </c>
    </row>
    <row r="279" ht="15.75" customHeight="1">
      <c r="A279" s="3" t="s">
        <v>4</v>
      </c>
      <c r="B279" s="3" t="s">
        <v>44</v>
      </c>
      <c r="D279" s="3" t="str">
        <f>IFERROR(__xludf.DUMMYFUNCTION("GOOGLETRANSLATE(A279, ""nl"", ""en"")"),"Architectural and Structural Associations")</f>
        <v>Architectural and Structural Associations</v>
      </c>
      <c r="E279" s="3" t="str">
        <f>IFERROR(__xludf.DUMMYFUNCTION("GOOGLETRANSLATE(B279, ""nl"", ""en"")"),"A structure that pulsates in waves")</f>
        <v>A structure that pulsates in waves</v>
      </c>
    </row>
    <row r="280" ht="15.75" customHeight="1">
      <c r="A280" s="3" t="s">
        <v>9</v>
      </c>
      <c r="B280" s="3" t="s">
        <v>37</v>
      </c>
      <c r="D280" s="3" t="str">
        <f>IFERROR(__xludf.DUMMYFUNCTION("GOOGLETRANSLATE(A280, ""nl"", ""en"")"),"Psychological and Emotional Interpretations")</f>
        <v>Psychological and Emotional Interpretations</v>
      </c>
      <c r="E280" s="3" t="str">
        <f>IFERROR(__xludf.DUMMYFUNCTION("GOOGLETRANSLATE(B280, ""nl"", ""en"")"),"A figure looking through itself")</f>
        <v>A figure looking through itself</v>
      </c>
    </row>
    <row r="281" ht="15.75" customHeight="1">
      <c r="A281" s="3" t="s">
        <v>4</v>
      </c>
      <c r="B281" s="3" t="s">
        <v>43</v>
      </c>
      <c r="D281" s="3" t="str">
        <f>IFERROR(__xludf.DUMMYFUNCTION("GOOGLETRANSLATE(A281, ""nl"", ""en"")"),"Architectural and Structural Associations")</f>
        <v>Architectural and Structural Associations</v>
      </c>
      <c r="E281" s="3" t="str">
        <f>IFERROR(__xludf.DUMMYFUNCTION("GOOGLETRANSLATE(B281, ""nl"", ""en"")"),"A network of tunnels and passages")</f>
        <v>A network of tunnels and passages</v>
      </c>
    </row>
    <row r="282" ht="15.75" customHeight="1">
      <c r="A282" s="3" t="s">
        <v>7</v>
      </c>
      <c r="B282" s="3" t="s">
        <v>39</v>
      </c>
      <c r="D282" s="3" t="str">
        <f>IFERROR(__xludf.DUMMYFUNCTION("GOOGLETRANSLATE(A282, ""nl"", ""en"")"),"Human Figures and Physicality")</f>
        <v>Human Figures and Physicality</v>
      </c>
      <c r="E282" s="3" t="str">
        <f>IFERROR(__xludf.DUMMYFUNCTION("GOOGLETRANSLATE(B282, ""nl"", ""en"")"),"A torso without a head")</f>
        <v>A torso without a head</v>
      </c>
    </row>
    <row r="283" ht="15.75" customHeight="1">
      <c r="A283" s="3" t="s">
        <v>15</v>
      </c>
      <c r="B283" s="3" t="s">
        <v>22</v>
      </c>
      <c r="D283" s="3" t="str">
        <f>IFERROR(__xludf.DUMMYFUNCTION("GOOGLETRANSLATE(A283, ""nl"", ""en"")"),"Animals and Organic Forms")</f>
        <v>Animals and Organic Forms</v>
      </c>
      <c r="E283" s="3" t="str">
        <f>IFERROR(__xludf.DUMMYFUNCTION("GOOGLETRANSLATE(B283, ""nl"", ""en"")"),"A bird taking off")</f>
        <v>A bird taking off</v>
      </c>
    </row>
    <row r="284" ht="15.75" customHeight="1">
      <c r="A284" s="3" t="s">
        <v>15</v>
      </c>
      <c r="B284" s="3" t="s">
        <v>38</v>
      </c>
      <c r="D284" s="3" t="str">
        <f>IFERROR(__xludf.DUMMYFUNCTION("GOOGLETRANSLATE(A284, ""nl"", ""en"")"),"Animals and Organic Forms")</f>
        <v>Animals and Organic Forms</v>
      </c>
      <c r="E284" s="3" t="str">
        <f>IFERROR(__xludf.DUMMYFUNCTION("GOOGLETRANSLATE(B284, ""nl"", ""en"")"),"A lion with an open mouth")</f>
        <v>A lion with an open mouth</v>
      </c>
    </row>
    <row r="285" ht="15.75" customHeight="1">
      <c r="A285" s="3" t="s">
        <v>9</v>
      </c>
      <c r="B285" s="3" t="s">
        <v>10</v>
      </c>
      <c r="D285" s="3" t="str">
        <f>IFERROR(__xludf.DUMMYFUNCTION("GOOGLETRANSLATE(A285, ""nl"", ""en"")"),"Psychological and Emotional Interpretations")</f>
        <v>Psychological and Emotional Interpretations</v>
      </c>
      <c r="E285" s="3" t="str">
        <f>IFERROR(__xludf.DUMMYFUNCTION("GOOGLETRANSLATE(B285, ""nl"", ""en"")"),"A face transforming in light")</f>
        <v>A face transforming in light</v>
      </c>
    </row>
    <row r="286" ht="15.75" customHeight="1">
      <c r="A286" s="3" t="s">
        <v>4</v>
      </c>
      <c r="B286" s="3" t="s">
        <v>21</v>
      </c>
      <c r="D286" s="3" t="str">
        <f>IFERROR(__xludf.DUMMYFUNCTION("GOOGLETRANSLATE(A286, ""nl"", ""en"")"),"Architectural and Structural Associations")</f>
        <v>Architectural and Structural Associations</v>
      </c>
      <c r="E286" s="3" t="str">
        <f>IFERROR(__xludf.DUMMYFUNCTION("GOOGLETRANSLATE(B286, ""nl"", ""en"")"),"A bridge that leads nowhere")</f>
        <v>A bridge that leads nowhere</v>
      </c>
    </row>
    <row r="287" ht="15.75" customHeight="1">
      <c r="A287" s="3" t="s">
        <v>12</v>
      </c>
      <c r="B287" s="3" t="s">
        <v>47</v>
      </c>
      <c r="D287" s="3" t="str">
        <f>IFERROR(__xludf.DUMMYFUNCTION("GOOGLETRANSLATE(A287, ""nl"", ""en"")"),"Nature and Elements")</f>
        <v>Nature and Elements</v>
      </c>
      <c r="E287" s="3" t="str">
        <f>IFERROR(__xludf.DUMMYFUNCTION("GOOGLETRANSLATE(B287, ""nl"", ""en"")"),"A desert landscape that slowly changes")</f>
        <v>A desert landscape that slowly changes</v>
      </c>
    </row>
    <row r="288" ht="15.75" customHeight="1">
      <c r="A288" s="3" t="s">
        <v>15</v>
      </c>
      <c r="B288" s="3" t="s">
        <v>46</v>
      </c>
      <c r="D288" s="3" t="str">
        <f>IFERROR(__xludf.DUMMYFUNCTION("GOOGLETRANSLATE(A288, ""nl"", ""en"")"),"Animals and Organic Forms")</f>
        <v>Animals and Organic Forms</v>
      </c>
      <c r="E288" s="3" t="str">
        <f>IFERROR(__xludf.DUMMYFUNCTION("GOOGLETRANSLATE(B288, ""nl"", ""en"")"),"A flock of fish moving as one")</f>
        <v>A flock of fish moving as one</v>
      </c>
    </row>
    <row r="289" ht="15.75" customHeight="1">
      <c r="A289" s="3" t="s">
        <v>12</v>
      </c>
      <c r="B289" s="3" t="s">
        <v>18</v>
      </c>
      <c r="D289" s="3" t="str">
        <f>IFERROR(__xludf.DUMMYFUNCTION("GOOGLETRANSLATE(A289, ""nl"", ""en"")"),"Nature and Elements")</f>
        <v>Nature and Elements</v>
      </c>
      <c r="E289" s="3" t="str">
        <f>IFERROR(__xludf.DUMMYFUNCTION("GOOGLETRANSLATE(B289, ""nl"", ""en"")"),"A tree with endless branches")</f>
        <v>A tree with endless branches</v>
      </c>
    </row>
    <row r="290" ht="15.75" customHeight="1">
      <c r="A290" s="3" t="s">
        <v>9</v>
      </c>
      <c r="B290" s="3" t="s">
        <v>10</v>
      </c>
      <c r="D290" s="3" t="str">
        <f>IFERROR(__xludf.DUMMYFUNCTION("GOOGLETRANSLATE(A290, ""nl"", ""en"")"),"Psychological and Emotional Interpretations")</f>
        <v>Psychological and Emotional Interpretations</v>
      </c>
      <c r="E290" s="3" t="str">
        <f>IFERROR(__xludf.DUMMYFUNCTION("GOOGLETRANSLATE(B290, ""nl"", ""en"")"),"A face transforming in light")</f>
        <v>A face transforming in light</v>
      </c>
    </row>
    <row r="291" ht="15.75" customHeight="1">
      <c r="A291" s="3" t="s">
        <v>12</v>
      </c>
      <c r="B291" s="3" t="s">
        <v>30</v>
      </c>
      <c r="D291" s="3" t="str">
        <f>IFERROR(__xludf.DUMMYFUNCTION("GOOGLETRANSLATE(A291, ""nl"", ""en"")"),"Nature and Elements")</f>
        <v>Nature and Elements</v>
      </c>
      <c r="E291" s="3" t="str">
        <f>IFERROR(__xludf.DUMMYFUNCTION("GOOGLETRANSLATE(B291, ""nl"", ""en"")"),"Waves breaking in fractal patterns")</f>
        <v>Waves breaking in fractal patterns</v>
      </c>
    </row>
    <row r="292" ht="15.75" customHeight="1">
      <c r="A292" s="3" t="s">
        <v>24</v>
      </c>
      <c r="B292" s="3" t="s">
        <v>31</v>
      </c>
      <c r="D292" s="3" t="str">
        <f>IFERROR(__xludf.DUMMYFUNCTION("GOOGLETRANSLATE(A292, ""nl"", ""en"")"),"Cosmic and Abstract Patterns")</f>
        <v>Cosmic and Abstract Patterns</v>
      </c>
      <c r="E292" s="3" t="str">
        <f>IFERROR(__xludf.DUMMYFUNCTION("GOOGLETRANSLATE(B292, ""nl"", ""en"")"),"A planet with unusual rings")</f>
        <v>A planet with unusual rings</v>
      </c>
    </row>
    <row r="293" ht="15.75" customHeight="1">
      <c r="A293" s="3" t="s">
        <v>4</v>
      </c>
      <c r="B293" s="3" t="s">
        <v>6</v>
      </c>
      <c r="D293" s="3" t="str">
        <f>IFERROR(__xludf.DUMMYFUNCTION("GOOGLETRANSLATE(A293, ""nl"", ""en"")"),"Architectural and Structural Associations")</f>
        <v>Architectural and Structural Associations</v>
      </c>
      <c r="E293" s="3" t="str">
        <f>IFERROR(__xludf.DUMMYFUNCTION("GOOGLETRANSLATE(B293, ""nl"", ""en"")"),"An endless labyrinth")</f>
        <v>An endless labyrinth</v>
      </c>
    </row>
    <row r="294" ht="15.75" customHeight="1">
      <c r="A294" s="3" t="s">
        <v>15</v>
      </c>
      <c r="B294" s="3" t="s">
        <v>50</v>
      </c>
      <c r="D294" s="3" t="str">
        <f>IFERROR(__xludf.DUMMYFUNCTION("GOOGLETRANSLATE(A294, ""nl"", ""en"")"),"Animals and Organic Forms")</f>
        <v>Animals and Organic Forms</v>
      </c>
      <c r="E294" s="3" t="str">
        <f>IFERROR(__xludf.DUMMYFUNCTION("GOOGLETRANSLATE(B294, ""nl"", ""en"")"),"A squid with extended tentacles")</f>
        <v>A squid with extended tentacles</v>
      </c>
    </row>
    <row r="295" ht="15.75" customHeight="1">
      <c r="A295" s="3" t="s">
        <v>24</v>
      </c>
      <c r="B295" s="3" t="s">
        <v>32</v>
      </c>
      <c r="D295" s="3" t="str">
        <f>IFERROR(__xludf.DUMMYFUNCTION("GOOGLETRANSLATE(A295, ""nl"", ""en"")"),"Cosmic and Abstract Patterns")</f>
        <v>Cosmic and Abstract Patterns</v>
      </c>
      <c r="E295" s="3" t="str">
        <f>IFERROR(__xludf.DUMMYFUNCTION("GOOGLETRANSLATE(B295, ""nl"", ""en"")"),"A time loop captured in image")</f>
        <v>A time loop captured in image</v>
      </c>
    </row>
    <row r="296" ht="15.75" customHeight="1">
      <c r="A296" s="3" t="s">
        <v>4</v>
      </c>
      <c r="B296" s="3" t="s">
        <v>44</v>
      </c>
      <c r="D296" s="3" t="str">
        <f>IFERROR(__xludf.DUMMYFUNCTION("GOOGLETRANSLATE(A296, ""nl"", ""en"")"),"Architectural and Structural Associations")</f>
        <v>Architectural and Structural Associations</v>
      </c>
      <c r="E296" s="3" t="str">
        <f>IFERROR(__xludf.DUMMYFUNCTION("GOOGLETRANSLATE(B296, ""nl"", ""en"")"),"A structure that pulsates in waves")</f>
        <v>A structure that pulsates in waves</v>
      </c>
    </row>
    <row r="297" ht="15.75" customHeight="1">
      <c r="A297" s="3" t="s">
        <v>15</v>
      </c>
      <c r="B297" s="3" t="s">
        <v>45</v>
      </c>
      <c r="D297" s="3" t="str">
        <f>IFERROR(__xludf.DUMMYFUNCTION("GOOGLETRANSLATE(A297, ""nl"", ""en"")"),"Animals and Organic Forms")</f>
        <v>Animals and Organic Forms</v>
      </c>
      <c r="E297" s="3" t="str">
        <f>IFERROR(__xludf.DUMMYFUNCTION("GOOGLETRANSLATE(B297, ""nl"", ""en"")"),"A snake biting its own tail")</f>
        <v>A snake biting its own tail</v>
      </c>
    </row>
    <row r="298" ht="15.75" customHeight="1">
      <c r="A298" s="3" t="s">
        <v>15</v>
      </c>
      <c r="B298" s="3" t="s">
        <v>50</v>
      </c>
      <c r="D298" s="3" t="str">
        <f>IFERROR(__xludf.DUMMYFUNCTION("GOOGLETRANSLATE(A298, ""nl"", ""en"")"),"Animals and Organic Forms")</f>
        <v>Animals and Organic Forms</v>
      </c>
      <c r="E298" s="3" t="str">
        <f>IFERROR(__xludf.DUMMYFUNCTION("GOOGLETRANSLATE(B298, ""nl"", ""en"")"),"A squid with extended tentacles")</f>
        <v>A squid with extended tentacles</v>
      </c>
    </row>
    <row r="299" ht="15.75" customHeight="1">
      <c r="A299" s="3" t="s">
        <v>15</v>
      </c>
      <c r="B299" s="3" t="s">
        <v>38</v>
      </c>
      <c r="D299" s="3" t="str">
        <f>IFERROR(__xludf.DUMMYFUNCTION("GOOGLETRANSLATE(A299, ""nl"", ""en"")"),"Animals and Organic Forms")</f>
        <v>Animals and Organic Forms</v>
      </c>
      <c r="E299" s="3" t="str">
        <f>IFERROR(__xludf.DUMMYFUNCTION("GOOGLETRANSLATE(B299, ""nl"", ""en"")"),"A lion with an open mouth")</f>
        <v>A lion with an open mouth</v>
      </c>
    </row>
    <row r="300" ht="15.75" customHeight="1">
      <c r="A300" s="3" t="s">
        <v>15</v>
      </c>
      <c r="B300" s="3" t="s">
        <v>50</v>
      </c>
      <c r="D300" s="3" t="str">
        <f>IFERROR(__xludf.DUMMYFUNCTION("GOOGLETRANSLATE(A300, ""nl"", ""en"")"),"Animals and Organic Forms")</f>
        <v>Animals and Organic Forms</v>
      </c>
      <c r="E300" s="3" t="str">
        <f>IFERROR(__xludf.DUMMYFUNCTION("GOOGLETRANSLATE(B300, ""nl"", ""en"")"),"A squid with extended tentacles")</f>
        <v>A squid with extended tentacles</v>
      </c>
    </row>
    <row r="301" ht="15.75" customHeight="1">
      <c r="A301" s="3" t="s">
        <v>4</v>
      </c>
      <c r="B301" s="3" t="s">
        <v>6</v>
      </c>
      <c r="D301" s="3" t="str">
        <f>IFERROR(__xludf.DUMMYFUNCTION("GOOGLETRANSLATE(A301, ""nl"", ""en"")"),"Architectural and Structural Associations")</f>
        <v>Architectural and Structural Associations</v>
      </c>
      <c r="E301" s="3" t="str">
        <f>IFERROR(__xludf.DUMMYFUNCTION("GOOGLETRANSLATE(B301, ""nl"", ""en"")"),"An endless labyrinth")</f>
        <v>An endless labyrinth</v>
      </c>
    </row>
    <row r="302" ht="15.75" customHeight="1">
      <c r="A302" s="3" t="s">
        <v>4</v>
      </c>
      <c r="B302" s="3" t="s">
        <v>43</v>
      </c>
      <c r="D302" s="3" t="str">
        <f>IFERROR(__xludf.DUMMYFUNCTION("GOOGLETRANSLATE(A302, ""nl"", ""en"")"),"Architectural and Structural Associations")</f>
        <v>Architectural and Structural Associations</v>
      </c>
      <c r="E302" s="3" t="str">
        <f>IFERROR(__xludf.DUMMYFUNCTION("GOOGLETRANSLATE(B302, ""nl"", ""en"")"),"A network of tunnels and passages")</f>
        <v>A network of tunnels and passages</v>
      </c>
    </row>
    <row r="303" ht="15.75" customHeight="1">
      <c r="A303" s="3" t="s">
        <v>9</v>
      </c>
      <c r="B303" s="3" t="s">
        <v>10</v>
      </c>
      <c r="D303" s="3" t="str">
        <f>IFERROR(__xludf.DUMMYFUNCTION("GOOGLETRANSLATE(A303, ""nl"", ""en"")"),"Psychological and Emotional Interpretations")</f>
        <v>Psychological and Emotional Interpretations</v>
      </c>
      <c r="E303" s="3" t="str">
        <f>IFERROR(__xludf.DUMMYFUNCTION("GOOGLETRANSLATE(B303, ""nl"", ""en"")"),"A face transforming in light")</f>
        <v>A face transforming in light</v>
      </c>
    </row>
    <row r="304" ht="15.75" customHeight="1">
      <c r="A304" s="3" t="s">
        <v>12</v>
      </c>
      <c r="B304" s="3" t="s">
        <v>23</v>
      </c>
      <c r="D304" s="3" t="str">
        <f>IFERROR(__xludf.DUMMYFUNCTION("GOOGLETRANSLATE(A304, ""nl"", ""en"")"),"Nature and Elements")</f>
        <v>Nature and Elements</v>
      </c>
      <c r="E304" s="3" t="str">
        <f>IFERROR(__xludf.DUMMYFUNCTION("GOOGLETRANSLATE(B304, ""nl"", ""en"")"),"A storm cloud splitting in two")</f>
        <v>A storm cloud splitting in two</v>
      </c>
    </row>
    <row r="305" ht="15.75" customHeight="1">
      <c r="A305" s="3" t="s">
        <v>12</v>
      </c>
      <c r="B305" s="3" t="s">
        <v>51</v>
      </c>
      <c r="D305" s="3" t="str">
        <f>IFERROR(__xludf.DUMMYFUNCTION("GOOGLETRANSLATE(A305, ""nl"", ""en"")"),"Nature and Elements")</f>
        <v>Nature and Elements</v>
      </c>
      <c r="E305" s="3" t="str">
        <f>IFERROR(__xludf.DUMMYFUNCTION("GOOGLETRANSLATE(B305, ""nl"", ""en"")"),"An evaporating puddle of water")</f>
        <v>An evaporating puddle of water</v>
      </c>
    </row>
    <row r="306" ht="15.75" customHeight="1">
      <c r="A306" s="3" t="s">
        <v>12</v>
      </c>
      <c r="B306" s="3" t="s">
        <v>13</v>
      </c>
      <c r="D306" s="3" t="str">
        <f>IFERROR(__xludf.DUMMYFUNCTION("GOOGLETRANSLATE(A306, ""nl"", ""en"")"),"Nature and Elements")</f>
        <v>Nature and Elements</v>
      </c>
      <c r="E306" s="3" t="str">
        <f>IFERROR(__xludf.DUMMYFUNCTION("GOOGLETRANSLATE(B306, ""nl"", ""en"")"),"A lightning strike in slow motion")</f>
        <v>A lightning strike in slow motion</v>
      </c>
    </row>
    <row r="307" ht="15.75" customHeight="1">
      <c r="A307" s="3" t="s">
        <v>7</v>
      </c>
      <c r="B307" s="3" t="s">
        <v>41</v>
      </c>
      <c r="D307" s="3" t="str">
        <f>IFERROR(__xludf.DUMMYFUNCTION("GOOGLETRANSLATE(A307, ""nl"", ""en"")"),"Human Figures and Physicality")</f>
        <v>Human Figures and Physicality</v>
      </c>
      <c r="E307" s="3" t="str">
        <f>IFERROR(__xludf.DUMMYFUNCTION("GOOGLETRANSLATE(B307, ""nl"", ""en"")"),"A face that fades into abstraction")</f>
        <v>A face that fades into abstraction</v>
      </c>
    </row>
    <row r="308" ht="15.75" customHeight="1">
      <c r="A308" s="3" t="s">
        <v>15</v>
      </c>
      <c r="B308" s="3" t="s">
        <v>16</v>
      </c>
      <c r="D308" s="3" t="str">
        <f>IFERROR(__xludf.DUMMYFUNCTION("GOOGLETRANSLATE(A308, ""nl"", ""en"")"),"Animals and Organic Forms")</f>
        <v>Animals and Organic Forms</v>
      </c>
      <c r="E308" s="3" t="str">
        <f>IFERROR(__xludf.DUMMYFUNCTION("GOOGLETRANSLATE(B308, ""nl"", ""en"")"),"A butterfly in transformation")</f>
        <v>A butterfly in transformation</v>
      </c>
    </row>
    <row r="309" ht="15.75" customHeight="1">
      <c r="A309" s="3" t="s">
        <v>9</v>
      </c>
      <c r="B309" s="3" t="s">
        <v>42</v>
      </c>
      <c r="D309" s="3" t="str">
        <f>IFERROR(__xludf.DUMMYFUNCTION("GOOGLETRANSLATE(A309, ""nl"", ""en"")"),"Psychological and Emotional Interpretations")</f>
        <v>Psychological and Emotional Interpretations</v>
      </c>
      <c r="E309" s="3" t="str">
        <f>IFERROR(__xludf.DUMMYFUNCTION("GOOGLETRANSLATE(B309, ""nl"", ""en"")"),"A mask that slowly disappears")</f>
        <v>A mask that slowly disappears</v>
      </c>
    </row>
    <row r="310" ht="15.75" customHeight="1">
      <c r="A310" s="3" t="s">
        <v>24</v>
      </c>
      <c r="B310" s="3" t="s">
        <v>27</v>
      </c>
      <c r="D310" s="3" t="str">
        <f>IFERROR(__xludf.DUMMYFUNCTION("GOOGLETRANSLATE(A310, ""nl"", ""en"")"),"Cosmic and Abstract Patterns")</f>
        <v>Cosmic and Abstract Patterns</v>
      </c>
      <c r="E310" s="3" t="str">
        <f>IFERROR(__xludf.DUMMYFUNCTION("GOOGLETRANSLATE(B310, ""nl"", ""en"")"),"A pair of black holes in dance")</f>
        <v>A pair of black holes in dance</v>
      </c>
    </row>
    <row r="311" ht="15.75" customHeight="1">
      <c r="A311" s="3" t="s">
        <v>12</v>
      </c>
      <c r="B311" s="3" t="s">
        <v>18</v>
      </c>
      <c r="D311" s="3" t="str">
        <f>IFERROR(__xludf.DUMMYFUNCTION("GOOGLETRANSLATE(A311, ""nl"", ""en"")"),"Nature and Elements")</f>
        <v>Nature and Elements</v>
      </c>
      <c r="E311" s="3" t="str">
        <f>IFERROR(__xludf.DUMMYFUNCTION("GOOGLETRANSLATE(B311, ""nl"", ""en"")"),"A tree with endless branches")</f>
        <v>A tree with endless branches</v>
      </c>
    </row>
    <row r="312" ht="15.75" customHeight="1">
      <c r="A312" s="3" t="s">
        <v>7</v>
      </c>
      <c r="B312" s="3" t="s">
        <v>41</v>
      </c>
      <c r="D312" s="3" t="str">
        <f>IFERROR(__xludf.DUMMYFUNCTION("GOOGLETRANSLATE(A312, ""nl"", ""en"")"),"Human Figures and Physicality")</f>
        <v>Human Figures and Physicality</v>
      </c>
      <c r="E312" s="3" t="str">
        <f>IFERROR(__xludf.DUMMYFUNCTION("GOOGLETRANSLATE(B312, ""nl"", ""en"")"),"A face that fades into abstraction")</f>
        <v>A face that fades into abstraction</v>
      </c>
    </row>
    <row r="313" ht="15.75" customHeight="1">
      <c r="A313" s="3" t="s">
        <v>7</v>
      </c>
      <c r="B313" s="3" t="s">
        <v>28</v>
      </c>
      <c r="D313" s="3" t="str">
        <f>IFERROR(__xludf.DUMMYFUNCTION("GOOGLETRANSLATE(A313, ""nl"", ""en"")"),"Human Figures and Physicality")</f>
        <v>Human Figures and Physicality</v>
      </c>
      <c r="E313" s="3" t="str">
        <f>IFERROR(__xludf.DUMMYFUNCTION("GOOGLETRANSLATE(B313, ""nl"", ""en"")"),"A dancing silhouette")</f>
        <v>A dancing silhouette</v>
      </c>
    </row>
    <row r="314" ht="15.75" customHeight="1">
      <c r="A314" s="3" t="s">
        <v>9</v>
      </c>
      <c r="B314" s="3" t="s">
        <v>10</v>
      </c>
      <c r="D314" s="3" t="str">
        <f>IFERROR(__xludf.DUMMYFUNCTION("GOOGLETRANSLATE(A314, ""nl"", ""en"")"),"Psychological and Emotional Interpretations")</f>
        <v>Psychological and Emotional Interpretations</v>
      </c>
      <c r="E314" s="3" t="str">
        <f>IFERROR(__xludf.DUMMYFUNCTION("GOOGLETRANSLATE(B314, ""nl"", ""en"")"),"A face transforming in light")</f>
        <v>A face transforming in light</v>
      </c>
    </row>
    <row r="315" ht="15.75" customHeight="1">
      <c r="A315" s="3" t="s">
        <v>24</v>
      </c>
      <c r="B315" s="3" t="s">
        <v>25</v>
      </c>
      <c r="D315" s="3" t="str">
        <f>IFERROR(__xludf.DUMMYFUNCTION("GOOGLETRANSLATE(A315, ""nl"", ""en"")"),"Cosmic and Abstract Patterns")</f>
        <v>Cosmic and Abstract Patterns</v>
      </c>
      <c r="E315" s="3" t="str">
        <f>IFERROR(__xludf.DUMMYFUNCTION("GOOGLETRANSLATE(B315, ""nl"", ""en"")"),"A meteor shower dissolving into each other")</f>
        <v>A meteor shower dissolving into each other</v>
      </c>
    </row>
    <row r="316" ht="15.75" customHeight="1">
      <c r="A316" s="3" t="s">
        <v>7</v>
      </c>
      <c r="B316" s="3" t="s">
        <v>8</v>
      </c>
      <c r="D316" s="3" t="str">
        <f>IFERROR(__xludf.DUMMYFUNCTION("GOOGLETRANSLATE(A316, ""nl"", ""en"")"),"Human Figures and Physicality")</f>
        <v>Human Figures and Physicality</v>
      </c>
      <c r="E316" s="3" t="str">
        <f>IFERROR(__xludf.DUMMYFUNCTION("GOOGLETRANSLATE(B316, ""nl"", ""en"")"),"Two figures mirroring each other")</f>
        <v>Two figures mirroring each other</v>
      </c>
    </row>
    <row r="317" ht="15.75" customHeight="1">
      <c r="A317" s="3" t="s">
        <v>15</v>
      </c>
      <c r="B317" s="3" t="s">
        <v>50</v>
      </c>
      <c r="D317" s="3" t="str">
        <f>IFERROR(__xludf.DUMMYFUNCTION("GOOGLETRANSLATE(A317, ""nl"", ""en"")"),"Animals and Organic Forms")</f>
        <v>Animals and Organic Forms</v>
      </c>
      <c r="E317" s="3" t="str">
        <f>IFERROR(__xludf.DUMMYFUNCTION("GOOGLETRANSLATE(B317, ""nl"", ""en"")"),"A squid with extended tentacles")</f>
        <v>A squid with extended tentacles</v>
      </c>
    </row>
    <row r="318" ht="15.75" customHeight="1">
      <c r="A318" s="3" t="s">
        <v>24</v>
      </c>
      <c r="B318" s="3" t="s">
        <v>29</v>
      </c>
      <c r="D318" s="3" t="str">
        <f>IFERROR(__xludf.DUMMYFUNCTION("GOOGLETRANSLATE(A318, ""nl"", ""en"")"),"Cosmic and Abstract Patterns")</f>
        <v>Cosmic and Abstract Patterns</v>
      </c>
      <c r="E318" s="3" t="str">
        <f>IFERROR(__xludf.DUMMYFUNCTION("GOOGLETRANSLATE(B318, ""nl"", ""en"")"),"A galaxy unfolding")</f>
        <v>A galaxy unfolding</v>
      </c>
    </row>
    <row r="319" ht="15.75" customHeight="1">
      <c r="A319" s="3" t="s">
        <v>7</v>
      </c>
      <c r="B319" s="3" t="s">
        <v>41</v>
      </c>
      <c r="D319" s="3" t="str">
        <f>IFERROR(__xludf.DUMMYFUNCTION("GOOGLETRANSLATE(A319, ""nl"", ""en"")"),"Human Figures and Physicality")</f>
        <v>Human Figures and Physicality</v>
      </c>
      <c r="E319" s="3" t="str">
        <f>IFERROR(__xludf.DUMMYFUNCTION("GOOGLETRANSLATE(B319, ""nl"", ""en"")"),"A face that fades into abstraction")</f>
        <v>A face that fades into abstraction</v>
      </c>
    </row>
    <row r="320" ht="15.75" customHeight="1">
      <c r="A320" s="3" t="s">
        <v>24</v>
      </c>
      <c r="B320" s="3" t="s">
        <v>33</v>
      </c>
      <c r="D320" s="3" t="str">
        <f>IFERROR(__xludf.DUMMYFUNCTION("GOOGLETRANSLATE(A320, ""nl"", ""en"")"),"Cosmic and Abstract Patterns")</f>
        <v>Cosmic and Abstract Patterns</v>
      </c>
      <c r="E320" s="3" t="str">
        <f>IFERROR(__xludf.DUMMYFUNCTION("GOOGLETRANSLATE(B320, ""nl"", ""en"")"),"An eye that repeats itself in endless patterns")</f>
        <v>An eye that repeats itself in endless patterns</v>
      </c>
    </row>
    <row r="321" ht="15.75" customHeight="1">
      <c r="A321" s="3" t="s">
        <v>24</v>
      </c>
      <c r="B321" s="3" t="s">
        <v>27</v>
      </c>
      <c r="D321" s="3" t="str">
        <f>IFERROR(__xludf.DUMMYFUNCTION("GOOGLETRANSLATE(A321, ""nl"", ""en"")"),"Cosmic and Abstract Patterns")</f>
        <v>Cosmic and Abstract Patterns</v>
      </c>
      <c r="E321" s="3" t="str">
        <f>IFERROR(__xludf.DUMMYFUNCTION("GOOGLETRANSLATE(B321, ""nl"", ""en"")"),"A pair of black holes in dance")</f>
        <v>A pair of black holes in dance</v>
      </c>
    </row>
    <row r="322" ht="15.75" customHeight="1">
      <c r="A322" s="3" t="s">
        <v>15</v>
      </c>
      <c r="B322" s="3" t="s">
        <v>52</v>
      </c>
      <c r="D322" s="3" t="str">
        <f>IFERROR(__xludf.DUMMYFUNCTION("GOOGLETRANSLATE(A322, ""nl"", ""en"")"),"Animals and Organic Forms")</f>
        <v>Animals and Organic Forms</v>
      </c>
      <c r="E322" s="3" t="str">
        <f>IFERROR(__xludf.DUMMYFUNCTION("GOOGLETRANSLATE(B322, ""nl"", ""en"")"),"A mask made of leaves")</f>
        <v>A mask made of leaves</v>
      </c>
    </row>
    <row r="323" ht="15.75" customHeight="1">
      <c r="A323" s="3" t="s">
        <v>7</v>
      </c>
      <c r="B323" s="3" t="s">
        <v>28</v>
      </c>
      <c r="D323" s="3" t="str">
        <f>IFERROR(__xludf.DUMMYFUNCTION("GOOGLETRANSLATE(A323, ""nl"", ""en"")"),"Human Figures and Physicality")</f>
        <v>Human Figures and Physicality</v>
      </c>
      <c r="E323" s="3" t="str">
        <f>IFERROR(__xludf.DUMMYFUNCTION("GOOGLETRANSLATE(B323, ""nl"", ""en"")"),"A dancing silhouette")</f>
        <v>A dancing silhouette</v>
      </c>
    </row>
    <row r="324" ht="15.75" customHeight="1">
      <c r="A324" s="3" t="s">
        <v>15</v>
      </c>
      <c r="B324" s="3" t="s">
        <v>46</v>
      </c>
      <c r="D324" s="3" t="str">
        <f>IFERROR(__xludf.DUMMYFUNCTION("GOOGLETRANSLATE(A324, ""nl"", ""en"")"),"Animals and Organic Forms")</f>
        <v>Animals and Organic Forms</v>
      </c>
      <c r="E324" s="3" t="str">
        <f>IFERROR(__xludf.DUMMYFUNCTION("GOOGLETRANSLATE(B324, ""nl"", ""en"")"),"A flock of fish moving as one")</f>
        <v>A flock of fish moving as one</v>
      </c>
    </row>
    <row r="325" ht="15.75" customHeight="1">
      <c r="A325" s="3" t="s">
        <v>4</v>
      </c>
      <c r="B325" s="3" t="s">
        <v>21</v>
      </c>
      <c r="D325" s="3" t="str">
        <f>IFERROR(__xludf.DUMMYFUNCTION("GOOGLETRANSLATE(A325, ""nl"", ""en"")"),"Architectural and Structural Associations")</f>
        <v>Architectural and Structural Associations</v>
      </c>
      <c r="E325" s="3" t="str">
        <f>IFERROR(__xludf.DUMMYFUNCTION("GOOGLETRANSLATE(B325, ""nl"", ""en"")"),"A bridge that leads nowhere")</f>
        <v>A bridge that leads nowhere</v>
      </c>
    </row>
    <row r="326" ht="15.75" customHeight="1">
      <c r="A326" s="3" t="s">
        <v>4</v>
      </c>
      <c r="B326" s="3" t="s">
        <v>43</v>
      </c>
      <c r="D326" s="3" t="str">
        <f>IFERROR(__xludf.DUMMYFUNCTION("GOOGLETRANSLATE(A326, ""nl"", ""en"")"),"Architectural and Structural Associations")</f>
        <v>Architectural and Structural Associations</v>
      </c>
      <c r="E326" s="3" t="str">
        <f>IFERROR(__xludf.DUMMYFUNCTION("GOOGLETRANSLATE(B326, ""nl"", ""en"")"),"A network of tunnels and passages")</f>
        <v>A network of tunnels and passages</v>
      </c>
    </row>
    <row r="327" ht="15.75" customHeight="1">
      <c r="A327" s="3" t="s">
        <v>4</v>
      </c>
      <c r="B327" s="3" t="s">
        <v>44</v>
      </c>
      <c r="D327" s="3" t="str">
        <f>IFERROR(__xludf.DUMMYFUNCTION("GOOGLETRANSLATE(A327, ""nl"", ""en"")"),"Architectural and Structural Associations")</f>
        <v>Architectural and Structural Associations</v>
      </c>
      <c r="E327" s="3" t="str">
        <f>IFERROR(__xludf.DUMMYFUNCTION("GOOGLETRANSLATE(B327, ""nl"", ""en"")"),"A structure that pulsates in waves")</f>
        <v>A structure that pulsates in waves</v>
      </c>
    </row>
    <row r="328" ht="15.75" customHeight="1">
      <c r="A328" s="3" t="s">
        <v>15</v>
      </c>
      <c r="B328" s="3" t="s">
        <v>38</v>
      </c>
      <c r="D328" s="3" t="str">
        <f>IFERROR(__xludf.DUMMYFUNCTION("GOOGLETRANSLATE(A328, ""nl"", ""en"")"),"Animals and Organic Forms")</f>
        <v>Animals and Organic Forms</v>
      </c>
      <c r="E328" s="3" t="str">
        <f>IFERROR(__xludf.DUMMYFUNCTION("GOOGLETRANSLATE(B328, ""nl"", ""en"")"),"A lion with an open mouth")</f>
        <v>A lion with an open mouth</v>
      </c>
    </row>
    <row r="329" ht="15.75" customHeight="1">
      <c r="A329" s="3" t="s">
        <v>7</v>
      </c>
      <c r="B329" s="3" t="s">
        <v>39</v>
      </c>
      <c r="D329" s="3" t="str">
        <f>IFERROR(__xludf.DUMMYFUNCTION("GOOGLETRANSLATE(A329, ""nl"", ""en"")"),"Human Figures and Physicality")</f>
        <v>Human Figures and Physicality</v>
      </c>
      <c r="E329" s="3" t="str">
        <f>IFERROR(__xludf.DUMMYFUNCTION("GOOGLETRANSLATE(B329, ""nl"", ""en"")"),"A torso without a head")</f>
        <v>A torso without a head</v>
      </c>
    </row>
    <row r="330" ht="15.75" customHeight="1">
      <c r="A330" s="3" t="s">
        <v>15</v>
      </c>
      <c r="B330" s="3" t="s">
        <v>46</v>
      </c>
      <c r="D330" s="3" t="str">
        <f>IFERROR(__xludf.DUMMYFUNCTION("GOOGLETRANSLATE(A330, ""nl"", ""en"")"),"Animals and Organic Forms")</f>
        <v>Animals and Organic Forms</v>
      </c>
      <c r="E330" s="3" t="str">
        <f>IFERROR(__xludf.DUMMYFUNCTION("GOOGLETRANSLATE(B330, ""nl"", ""en"")"),"A flock of fish moving as one")</f>
        <v>A flock of fish moving as one</v>
      </c>
    </row>
    <row r="331" ht="15.75" customHeight="1">
      <c r="A331" s="3" t="s">
        <v>7</v>
      </c>
      <c r="B331" s="3" t="s">
        <v>41</v>
      </c>
      <c r="D331" s="3" t="str">
        <f>IFERROR(__xludf.DUMMYFUNCTION("GOOGLETRANSLATE(A331, ""nl"", ""en"")"),"Human Figures and Physicality")</f>
        <v>Human Figures and Physicality</v>
      </c>
      <c r="E331" s="3" t="str">
        <f>IFERROR(__xludf.DUMMYFUNCTION("GOOGLETRANSLATE(B331, ""nl"", ""en"")"),"A face that fades into abstraction")</f>
        <v>A face that fades into abstraction</v>
      </c>
    </row>
    <row r="332" ht="15.75" customHeight="1">
      <c r="A332" s="3" t="s">
        <v>24</v>
      </c>
      <c r="B332" s="3" t="s">
        <v>32</v>
      </c>
      <c r="D332" s="3" t="str">
        <f>IFERROR(__xludf.DUMMYFUNCTION("GOOGLETRANSLATE(A332, ""nl"", ""en"")"),"Cosmic and Abstract Patterns")</f>
        <v>Cosmic and Abstract Patterns</v>
      </c>
      <c r="E332" s="3" t="str">
        <f>IFERROR(__xludf.DUMMYFUNCTION("GOOGLETRANSLATE(B332, ""nl"", ""en"")"),"A time loop captured in image")</f>
        <v>A time loop captured in image</v>
      </c>
    </row>
    <row r="333" ht="15.75" customHeight="1">
      <c r="A333" s="3" t="s">
        <v>12</v>
      </c>
      <c r="B333" s="3" t="s">
        <v>23</v>
      </c>
      <c r="D333" s="3" t="str">
        <f>IFERROR(__xludf.DUMMYFUNCTION("GOOGLETRANSLATE(A333, ""nl"", ""en"")"),"Nature and Elements")</f>
        <v>Nature and Elements</v>
      </c>
      <c r="E333" s="3" t="str">
        <f>IFERROR(__xludf.DUMMYFUNCTION("GOOGLETRANSLATE(B333, ""nl"", ""en"")"),"A storm cloud splitting in two")</f>
        <v>A storm cloud splitting in two</v>
      </c>
    </row>
    <row r="334" ht="15.75" customHeight="1">
      <c r="A334" s="3" t="s">
        <v>7</v>
      </c>
      <c r="B334" s="3" t="s">
        <v>39</v>
      </c>
      <c r="D334" s="3" t="str">
        <f>IFERROR(__xludf.DUMMYFUNCTION("GOOGLETRANSLATE(A334, ""nl"", ""en"")"),"Human Figures and Physicality")</f>
        <v>Human Figures and Physicality</v>
      </c>
      <c r="E334" s="3" t="str">
        <f>IFERROR(__xludf.DUMMYFUNCTION("GOOGLETRANSLATE(B334, ""nl"", ""en"")"),"A torso without a head")</f>
        <v>A torso without a head</v>
      </c>
    </row>
    <row r="335" ht="15.75" customHeight="1">
      <c r="A335" s="3" t="s">
        <v>4</v>
      </c>
      <c r="B335" s="3" t="s">
        <v>44</v>
      </c>
      <c r="D335" s="3" t="str">
        <f>IFERROR(__xludf.DUMMYFUNCTION("GOOGLETRANSLATE(A335, ""nl"", ""en"")"),"Architectural and Structural Associations")</f>
        <v>Architectural and Structural Associations</v>
      </c>
      <c r="E335" s="3" t="str">
        <f>IFERROR(__xludf.DUMMYFUNCTION("GOOGLETRANSLATE(B335, ""nl"", ""en"")"),"A structure that pulsates in waves")</f>
        <v>A structure that pulsates in waves</v>
      </c>
    </row>
    <row r="336" ht="15.75" customHeight="1">
      <c r="A336" s="3" t="s">
        <v>7</v>
      </c>
      <c r="B336" s="3" t="s">
        <v>39</v>
      </c>
      <c r="D336" s="3" t="str">
        <f>IFERROR(__xludf.DUMMYFUNCTION("GOOGLETRANSLATE(A336, ""nl"", ""en"")"),"Human Figures and Physicality")</f>
        <v>Human Figures and Physicality</v>
      </c>
      <c r="E336" s="3" t="str">
        <f>IFERROR(__xludf.DUMMYFUNCTION("GOOGLETRANSLATE(B336, ""nl"", ""en"")"),"A torso without a head")</f>
        <v>A torso without a head</v>
      </c>
    </row>
    <row r="337" ht="15.75" customHeight="1">
      <c r="A337" s="3" t="s">
        <v>7</v>
      </c>
      <c r="B337" s="3" t="s">
        <v>40</v>
      </c>
      <c r="D337" s="3" t="str">
        <f>IFERROR(__xludf.DUMMYFUNCTION("GOOGLETRANSLATE(A337, ""nl"", ""en"")"),"Human Figures and Physicality")</f>
        <v>Human Figures and Physicality</v>
      </c>
      <c r="E337" s="3" t="str">
        <f>IFERROR(__xludf.DUMMYFUNCTION("GOOGLETRANSLATE(B337, ""nl"", ""en"")"),"A figure who is withdrawn into himself")</f>
        <v>A figure who is withdrawn into himself</v>
      </c>
    </row>
    <row r="338" ht="15.75" customHeight="1">
      <c r="A338" s="3" t="s">
        <v>9</v>
      </c>
      <c r="B338" s="3" t="s">
        <v>11</v>
      </c>
      <c r="D338" s="3" t="str">
        <f>IFERROR(__xludf.DUMMYFUNCTION("GOOGLETRANSLATE(A338, ""nl"", ""en"")"),"Psychological and Emotional Interpretations")</f>
        <v>Psychological and Emotional Interpretations</v>
      </c>
      <c r="E338" s="3" t="str">
        <f>IFERROR(__xludf.DUMMYFUNCTION("GOOGLETRANSLATE(B338, ""nl"", ""en"")"),"An emotion captured in abstraction")</f>
        <v>An emotion captured in abstraction</v>
      </c>
    </row>
    <row r="339" ht="15.75" customHeight="1">
      <c r="A339" s="3" t="s">
        <v>9</v>
      </c>
      <c r="B339" s="3" t="s">
        <v>14</v>
      </c>
      <c r="D339" s="3" t="str">
        <f>IFERROR(__xludf.DUMMYFUNCTION("GOOGLETRANSLATE(A339, ""nl"", ""en"")"),"Psychological and Emotional Interpretations")</f>
        <v>Psychological and Emotional Interpretations</v>
      </c>
      <c r="E339" s="3" t="str">
        <f>IFERROR(__xludf.DUMMYFUNCTION("GOOGLETRANSLATE(B339, ""nl"", ""en"")"),"An unclear hug")</f>
        <v>An unclear hug</v>
      </c>
    </row>
    <row r="340" ht="15.75" customHeight="1">
      <c r="A340" s="3" t="s">
        <v>7</v>
      </c>
      <c r="B340" s="3" t="s">
        <v>53</v>
      </c>
      <c r="D340" s="3" t="str">
        <f>IFERROR(__xludf.DUMMYFUNCTION("GOOGLETRANSLATE(A340, ""nl"", ""en"")"),"Human Figures and Physicality")</f>
        <v>Human Figures and Physicality</v>
      </c>
      <c r="E340" s="3" t="str">
        <f>IFERROR(__xludf.DUMMYFUNCTION("GOOGLETRANSLATE(B340, ""nl"", ""en"")"),"A face that both smiles and cries")</f>
        <v>A face that both smiles and cries</v>
      </c>
    </row>
    <row r="341" ht="15.75" customHeight="1">
      <c r="A341" s="3" t="s">
        <v>15</v>
      </c>
      <c r="B341" s="3" t="s">
        <v>45</v>
      </c>
      <c r="D341" s="3" t="str">
        <f>IFERROR(__xludf.DUMMYFUNCTION("GOOGLETRANSLATE(A341, ""nl"", ""en"")"),"Animals and Organic Forms")</f>
        <v>Animals and Organic Forms</v>
      </c>
      <c r="E341" s="3" t="str">
        <f>IFERROR(__xludf.DUMMYFUNCTION("GOOGLETRANSLATE(B341, ""nl"", ""en"")"),"A snake biting its own tail")</f>
        <v>A snake biting its own tail</v>
      </c>
    </row>
    <row r="342" ht="15.75" customHeight="1">
      <c r="A342" s="3" t="s">
        <v>9</v>
      </c>
      <c r="B342" s="3" t="s">
        <v>57</v>
      </c>
      <c r="D342" s="3" t="str">
        <f>IFERROR(__xludf.DUMMYFUNCTION("GOOGLETRANSLATE(A342, ""nl"", ""en"")"),"Psychological and Emotional Interpretations")</f>
        <v>Psychological and Emotional Interpretations</v>
      </c>
      <c r="E342" s="3" t="str">
        <f>IFERROR(__xludf.DUMMYFUNCTION("GOOGLETRANSLATE(B342, ""nl"", ""en"")"),"An explosion of colours and feelings")</f>
        <v>An explosion of colours and feelings</v>
      </c>
    </row>
    <row r="343" ht="15.75" customHeight="1">
      <c r="A343" s="3" t="s">
        <v>4</v>
      </c>
      <c r="B343" s="3" t="s">
        <v>21</v>
      </c>
      <c r="D343" s="3" t="str">
        <f>IFERROR(__xludf.DUMMYFUNCTION("GOOGLETRANSLATE(A343, ""nl"", ""en"")"),"Architectural and Structural Associations")</f>
        <v>Architectural and Structural Associations</v>
      </c>
      <c r="E343" s="3" t="str">
        <f>IFERROR(__xludf.DUMMYFUNCTION("GOOGLETRANSLATE(B343, ""nl"", ""en"")"),"A bridge that leads nowhere")</f>
        <v>A bridge that leads nowhere</v>
      </c>
    </row>
    <row r="344" ht="15.75" customHeight="1">
      <c r="A344" s="3" t="s">
        <v>12</v>
      </c>
      <c r="B344" s="3" t="s">
        <v>47</v>
      </c>
      <c r="D344" s="3" t="str">
        <f>IFERROR(__xludf.DUMMYFUNCTION("GOOGLETRANSLATE(A344, ""nl"", ""en"")"),"Nature and Elements")</f>
        <v>Nature and Elements</v>
      </c>
      <c r="E344" s="3" t="str">
        <f>IFERROR(__xludf.DUMMYFUNCTION("GOOGLETRANSLATE(B344, ""nl"", ""en"")"),"A desert landscape that slowly changes")</f>
        <v>A desert landscape that slowly changes</v>
      </c>
    </row>
    <row r="345" ht="15.75" customHeight="1">
      <c r="A345" s="3" t="s">
        <v>12</v>
      </c>
      <c r="B345" s="3" t="s">
        <v>19</v>
      </c>
      <c r="D345" s="3" t="str">
        <f>IFERROR(__xludf.DUMMYFUNCTION("GOOGLETRANSLATE(A345, ""nl"", ""en"")"),"Nature and Elements")</f>
        <v>Nature and Elements</v>
      </c>
      <c r="E345" s="3" t="str">
        <f>IFERROR(__xludf.DUMMYFUNCTION("GOOGLETRANSLATE(B345, ""nl"", ""en"")"),"A mountain range that seems to breathe")</f>
        <v>A mountain range that seems to breathe</v>
      </c>
    </row>
    <row r="346" ht="15.75" customHeight="1">
      <c r="A346" s="3" t="s">
        <v>9</v>
      </c>
      <c r="B346" s="3" t="s">
        <v>37</v>
      </c>
      <c r="D346" s="3" t="str">
        <f>IFERROR(__xludf.DUMMYFUNCTION("GOOGLETRANSLATE(A346, ""nl"", ""en"")"),"Psychological and Emotional Interpretations")</f>
        <v>Psychological and Emotional Interpretations</v>
      </c>
      <c r="E346" s="3" t="str">
        <f>IFERROR(__xludf.DUMMYFUNCTION("GOOGLETRANSLATE(B346, ""nl"", ""en"")"),"A figure looking through itself")</f>
        <v>A figure looking through itself</v>
      </c>
    </row>
    <row r="347" ht="15.75" customHeight="1">
      <c r="A347" s="3" t="s">
        <v>4</v>
      </c>
      <c r="B347" s="3" t="s">
        <v>35</v>
      </c>
      <c r="D347" s="3" t="str">
        <f>IFERROR(__xludf.DUMMYFUNCTION("GOOGLETRANSLATE(A347, ""nl"", ""en"")"),"Architectural and Structural Associations")</f>
        <v>Architectural and Structural Associations</v>
      </c>
      <c r="E347" s="3" t="str">
        <f>IFERROR(__xludf.DUMMYFUNCTION("GOOGLETRANSLATE(B347, ""nl"", ""en"")"),"A floating building without a base")</f>
        <v>A floating building without a base</v>
      </c>
    </row>
    <row r="348" ht="15.75" customHeight="1">
      <c r="A348" s="3" t="s">
        <v>24</v>
      </c>
      <c r="B348" s="3" t="s">
        <v>48</v>
      </c>
      <c r="D348" s="3" t="str">
        <f>IFERROR(__xludf.DUMMYFUNCTION("GOOGLETRANSLATE(A348, ""nl"", ""en"")"),"Cosmic and Abstract Patterns")</f>
        <v>Cosmic and Abstract Patterns</v>
      </c>
      <c r="E348" s="3" t="str">
        <f>IFERROR(__xludf.DUMMYFUNCTION("GOOGLETRANSLATE(B348, ""nl"", ""en"")"),"A fractal that repeats itself")</f>
        <v>A fractal that repeats itself</v>
      </c>
    </row>
    <row r="349" ht="15.75" customHeight="1">
      <c r="A349" s="3" t="s">
        <v>4</v>
      </c>
      <c r="B349" s="3" t="s">
        <v>44</v>
      </c>
      <c r="D349" s="3" t="str">
        <f>IFERROR(__xludf.DUMMYFUNCTION("GOOGLETRANSLATE(A349, ""nl"", ""en"")"),"Architectural and Structural Associations")</f>
        <v>Architectural and Structural Associations</v>
      </c>
      <c r="E349" s="3" t="str">
        <f>IFERROR(__xludf.DUMMYFUNCTION("GOOGLETRANSLATE(B349, ""nl"", ""en"")"),"A structure that pulsates in waves")</f>
        <v>A structure that pulsates in waves</v>
      </c>
    </row>
    <row r="350" ht="15.75" customHeight="1">
      <c r="A350" s="3" t="s">
        <v>15</v>
      </c>
      <c r="B350" s="3" t="s">
        <v>38</v>
      </c>
      <c r="D350" s="3" t="str">
        <f>IFERROR(__xludf.DUMMYFUNCTION("GOOGLETRANSLATE(A350, ""nl"", ""en"")"),"Animals and Organic Forms")</f>
        <v>Animals and Organic Forms</v>
      </c>
      <c r="E350" s="3" t="str">
        <f>IFERROR(__xludf.DUMMYFUNCTION("GOOGLETRANSLATE(B350, ""nl"", ""en"")"),"A lion with an open mouth")</f>
        <v>A lion with an open mouth</v>
      </c>
    </row>
    <row r="351" ht="15.75" customHeight="1">
      <c r="A351" s="3" t="s">
        <v>12</v>
      </c>
      <c r="B351" s="3" t="s">
        <v>18</v>
      </c>
      <c r="D351" s="3" t="str">
        <f>IFERROR(__xludf.DUMMYFUNCTION("GOOGLETRANSLATE(A351, ""nl"", ""en"")"),"Nature and Elements")</f>
        <v>Nature and Elements</v>
      </c>
      <c r="E351" s="3" t="str">
        <f>IFERROR(__xludf.DUMMYFUNCTION("GOOGLETRANSLATE(B351, ""nl"", ""en"")"),"A tree with endless branches")</f>
        <v>A tree with endless branches</v>
      </c>
    </row>
    <row r="352" ht="15.75" customHeight="1">
      <c r="A352" s="3" t="s">
        <v>24</v>
      </c>
      <c r="B352" s="3" t="s">
        <v>48</v>
      </c>
      <c r="D352" s="3" t="str">
        <f>IFERROR(__xludf.DUMMYFUNCTION("GOOGLETRANSLATE(A352, ""nl"", ""en"")"),"Cosmic and Abstract Patterns")</f>
        <v>Cosmic and Abstract Patterns</v>
      </c>
      <c r="E352" s="3" t="str">
        <f>IFERROR(__xludf.DUMMYFUNCTION("GOOGLETRANSLATE(B352, ""nl"", ""en"")"),"A fractal that repeats itself")</f>
        <v>A fractal that repeats itself</v>
      </c>
    </row>
    <row r="353" ht="15.75" customHeight="1">
      <c r="A353" s="3" t="s">
        <v>9</v>
      </c>
      <c r="B353" s="3" t="s">
        <v>42</v>
      </c>
      <c r="D353" s="3" t="str">
        <f>IFERROR(__xludf.DUMMYFUNCTION("GOOGLETRANSLATE(A353, ""nl"", ""en"")"),"Psychological and Emotional Interpretations")</f>
        <v>Psychological and Emotional Interpretations</v>
      </c>
      <c r="E353" s="3" t="str">
        <f>IFERROR(__xludf.DUMMYFUNCTION("GOOGLETRANSLATE(B353, ""nl"", ""en"")"),"A mask that slowly disappears")</f>
        <v>A mask that slowly disappears</v>
      </c>
    </row>
    <row r="354" ht="15.75" customHeight="1">
      <c r="A354" s="3" t="s">
        <v>9</v>
      </c>
      <c r="B354" s="3" t="s">
        <v>10</v>
      </c>
      <c r="D354" s="3" t="str">
        <f>IFERROR(__xludf.DUMMYFUNCTION("GOOGLETRANSLATE(A354, ""nl"", ""en"")"),"Psychological and Emotional Interpretations")</f>
        <v>Psychological and Emotional Interpretations</v>
      </c>
      <c r="E354" s="3" t="str">
        <f>IFERROR(__xludf.DUMMYFUNCTION("GOOGLETRANSLATE(B354, ""nl"", ""en"")"),"A face transforming in light")</f>
        <v>A face transforming in light</v>
      </c>
    </row>
    <row r="355" ht="15.75" customHeight="1">
      <c r="A355" s="3" t="s">
        <v>9</v>
      </c>
      <c r="B355" s="3" t="s">
        <v>11</v>
      </c>
      <c r="D355" s="3" t="str">
        <f>IFERROR(__xludf.DUMMYFUNCTION("GOOGLETRANSLATE(A355, ""nl"", ""en"")"),"Psychological and Emotional Interpretations")</f>
        <v>Psychological and Emotional Interpretations</v>
      </c>
      <c r="E355" s="3" t="str">
        <f>IFERROR(__xludf.DUMMYFUNCTION("GOOGLETRANSLATE(B355, ""nl"", ""en"")"),"An emotion captured in abstraction")</f>
        <v>An emotion captured in abstraction</v>
      </c>
    </row>
    <row r="356" ht="15.75" customHeight="1">
      <c r="A356" s="3" t="s">
        <v>9</v>
      </c>
      <c r="B356" s="3" t="s">
        <v>10</v>
      </c>
      <c r="D356" s="3" t="str">
        <f>IFERROR(__xludf.DUMMYFUNCTION("GOOGLETRANSLATE(A356, ""nl"", ""en"")"),"Psychological and Emotional Interpretations")</f>
        <v>Psychological and Emotional Interpretations</v>
      </c>
      <c r="E356" s="3" t="str">
        <f>IFERROR(__xludf.DUMMYFUNCTION("GOOGLETRANSLATE(B356, ""nl"", ""en"")"),"A face transforming in light")</f>
        <v>A face transforming in light</v>
      </c>
    </row>
    <row r="357" ht="15.75" customHeight="1">
      <c r="A357" s="3" t="s">
        <v>4</v>
      </c>
      <c r="B357" s="3" t="s">
        <v>20</v>
      </c>
      <c r="D357" s="3" t="str">
        <f>IFERROR(__xludf.DUMMYFUNCTION("GOOGLETRANSLATE(A357, ""nl"", ""en"")"),"Architectural and Structural Associations")</f>
        <v>Architectural and Structural Associations</v>
      </c>
      <c r="E357" s="3" t="str">
        <f>IFERROR(__xludf.DUMMYFUNCTION("GOOGLETRANSLATE(B357, ""nl"", ""en"")"),"A tower that grows by itself")</f>
        <v>A tower that grows by itself</v>
      </c>
    </row>
    <row r="358" ht="15.75" customHeight="1">
      <c r="A358" s="3" t="s">
        <v>9</v>
      </c>
      <c r="B358" s="3" t="s">
        <v>57</v>
      </c>
      <c r="D358" s="3" t="str">
        <f>IFERROR(__xludf.DUMMYFUNCTION("GOOGLETRANSLATE(A358, ""nl"", ""en"")"),"Psychological and Emotional Interpretations")</f>
        <v>Psychological and Emotional Interpretations</v>
      </c>
      <c r="E358" s="3" t="str">
        <f>IFERROR(__xludf.DUMMYFUNCTION("GOOGLETRANSLATE(B358, ""nl"", ""en"")"),"An explosion of colours and feelings")</f>
        <v>An explosion of colours and feelings</v>
      </c>
    </row>
    <row r="359" ht="15.75" customHeight="1">
      <c r="A359" s="3" t="s">
        <v>15</v>
      </c>
      <c r="B359" s="3" t="s">
        <v>22</v>
      </c>
      <c r="D359" s="3" t="str">
        <f>IFERROR(__xludf.DUMMYFUNCTION("GOOGLETRANSLATE(A359, ""nl"", ""en"")"),"Animals and Organic Forms")</f>
        <v>Animals and Organic Forms</v>
      </c>
      <c r="E359" s="3" t="str">
        <f>IFERROR(__xludf.DUMMYFUNCTION("GOOGLETRANSLATE(B359, ""nl"", ""en"")"),"A bird taking off")</f>
        <v>A bird taking off</v>
      </c>
    </row>
    <row r="360" ht="15.75" customHeight="1">
      <c r="A360" s="3" t="s">
        <v>9</v>
      </c>
      <c r="B360" s="3" t="s">
        <v>37</v>
      </c>
      <c r="D360" s="3" t="str">
        <f>IFERROR(__xludf.DUMMYFUNCTION("GOOGLETRANSLATE(A360, ""nl"", ""en"")"),"Psychological and Emotional Interpretations")</f>
        <v>Psychological and Emotional Interpretations</v>
      </c>
      <c r="E360" s="3" t="str">
        <f>IFERROR(__xludf.DUMMYFUNCTION("GOOGLETRANSLATE(B360, ""nl"", ""en"")"),"A figure looking through itself")</f>
        <v>A figure looking through itself</v>
      </c>
    </row>
    <row r="361" ht="15.75" customHeight="1">
      <c r="A361" s="3" t="s">
        <v>4</v>
      </c>
      <c r="B361" s="3" t="s">
        <v>35</v>
      </c>
      <c r="D361" s="3" t="str">
        <f>IFERROR(__xludf.DUMMYFUNCTION("GOOGLETRANSLATE(A361, ""nl"", ""en"")"),"Architectural and Structural Associations")</f>
        <v>Architectural and Structural Associations</v>
      </c>
      <c r="E361" s="3" t="str">
        <f>IFERROR(__xludf.DUMMYFUNCTION("GOOGLETRANSLATE(B361, ""nl"", ""en"")"),"A floating building without a base")</f>
        <v>A floating building without a base</v>
      </c>
    </row>
    <row r="362" ht="15.75" customHeight="1">
      <c r="A362" s="3" t="s">
        <v>12</v>
      </c>
      <c r="B362" s="3" t="s">
        <v>51</v>
      </c>
      <c r="D362" s="3" t="str">
        <f>IFERROR(__xludf.DUMMYFUNCTION("GOOGLETRANSLATE(A362, ""nl"", ""en"")"),"Nature and Elements")</f>
        <v>Nature and Elements</v>
      </c>
      <c r="E362" s="3" t="str">
        <f>IFERROR(__xludf.DUMMYFUNCTION("GOOGLETRANSLATE(B362, ""nl"", ""en"")"),"An evaporating puddle of water")</f>
        <v>An evaporating puddle of water</v>
      </c>
    </row>
    <row r="363" ht="15.75" customHeight="1">
      <c r="A363" s="3" t="s">
        <v>15</v>
      </c>
      <c r="B363" s="3" t="s">
        <v>26</v>
      </c>
      <c r="D363" s="3" t="str">
        <f>IFERROR(__xludf.DUMMYFUNCTION("GOOGLETRANSLATE(A363, ""nl"", ""en"")"),"Animals and Organic Forms")</f>
        <v>Animals and Organic Forms</v>
      </c>
      <c r="E363" s="3" t="str">
        <f>IFERROR(__xludf.DUMMYFUNCTION("GOOGLETRANSLATE(B363, ""nl"", ""en"")"),"A frog preparing to jump")</f>
        <v>A frog preparing to jump</v>
      </c>
    </row>
    <row r="364" ht="15.75" customHeight="1">
      <c r="A364" s="3" t="s">
        <v>9</v>
      </c>
      <c r="B364" s="3" t="s">
        <v>10</v>
      </c>
      <c r="D364" s="3" t="str">
        <f>IFERROR(__xludf.DUMMYFUNCTION("GOOGLETRANSLATE(A364, ""nl"", ""en"")"),"Psychological and Emotional Interpretations")</f>
        <v>Psychological and Emotional Interpretations</v>
      </c>
      <c r="E364" s="3" t="str">
        <f>IFERROR(__xludf.DUMMYFUNCTION("GOOGLETRANSLATE(B364, ""nl"", ""en"")"),"A face transforming in light")</f>
        <v>A face transforming in light</v>
      </c>
    </row>
    <row r="365" ht="15.75" customHeight="1">
      <c r="A365" s="3" t="s">
        <v>9</v>
      </c>
      <c r="B365" s="3" t="s">
        <v>10</v>
      </c>
      <c r="D365" s="3" t="str">
        <f>IFERROR(__xludf.DUMMYFUNCTION("GOOGLETRANSLATE(A365, ""nl"", ""en"")"),"Psychological and Emotional Interpretations")</f>
        <v>Psychological and Emotional Interpretations</v>
      </c>
      <c r="E365" s="3" t="str">
        <f>IFERROR(__xludf.DUMMYFUNCTION("GOOGLETRANSLATE(B365, ""nl"", ""en"")"),"A face transforming in light")</f>
        <v>A face transforming in light</v>
      </c>
    </row>
    <row r="366" ht="15.75" customHeight="1">
      <c r="A366" s="3" t="s">
        <v>7</v>
      </c>
      <c r="B366" s="3" t="s">
        <v>8</v>
      </c>
      <c r="D366" s="3" t="str">
        <f>IFERROR(__xludf.DUMMYFUNCTION("GOOGLETRANSLATE(A366, ""nl"", ""en"")"),"Human Figures and Physicality")</f>
        <v>Human Figures and Physicality</v>
      </c>
      <c r="E366" s="3" t="str">
        <f>IFERROR(__xludf.DUMMYFUNCTION("GOOGLETRANSLATE(B366, ""nl"", ""en"")"),"Two figures mirroring each other")</f>
        <v>Two figures mirroring each other</v>
      </c>
    </row>
    <row r="367" ht="15.75" customHeight="1">
      <c r="A367" s="3" t="s">
        <v>24</v>
      </c>
      <c r="B367" s="3" t="s">
        <v>27</v>
      </c>
      <c r="D367" s="3" t="str">
        <f>IFERROR(__xludf.DUMMYFUNCTION("GOOGLETRANSLATE(A367, ""nl"", ""en"")"),"Cosmic and Abstract Patterns")</f>
        <v>Cosmic and Abstract Patterns</v>
      </c>
      <c r="E367" s="3" t="str">
        <f>IFERROR(__xludf.DUMMYFUNCTION("GOOGLETRANSLATE(B367, ""nl"", ""en"")"),"A pair of black holes in dance")</f>
        <v>A pair of black holes in dance</v>
      </c>
    </row>
    <row r="368" ht="15.75" customHeight="1">
      <c r="A368" s="3" t="s">
        <v>7</v>
      </c>
      <c r="B368" s="3" t="s">
        <v>53</v>
      </c>
      <c r="D368" s="3" t="str">
        <f>IFERROR(__xludf.DUMMYFUNCTION("GOOGLETRANSLATE(A368, ""nl"", ""en"")"),"Human Figures and Physicality")</f>
        <v>Human Figures and Physicality</v>
      </c>
      <c r="E368" s="3" t="str">
        <f>IFERROR(__xludf.DUMMYFUNCTION("GOOGLETRANSLATE(B368, ""nl"", ""en"")"),"A face that both smiles and cries")</f>
        <v>A face that both smiles and cries</v>
      </c>
    </row>
    <row r="369" ht="15.75" customHeight="1">
      <c r="A369" s="3" t="s">
        <v>9</v>
      </c>
      <c r="B369" s="3" t="s">
        <v>49</v>
      </c>
      <c r="D369" s="3" t="str">
        <f>IFERROR(__xludf.DUMMYFUNCTION("GOOGLETRANSLATE(A369, ""nl"", ""en"")"),"Psychological and Emotional Interpretations")</f>
        <v>Psychological and Emotional Interpretations</v>
      </c>
      <c r="E369" s="3" t="str">
        <f>IFERROR(__xludf.DUMMYFUNCTION("GOOGLETRANSLATE(B369, ""nl"", ""en"")"),"A spiral that turns inward")</f>
        <v>A spiral that turns inward</v>
      </c>
    </row>
    <row r="370" ht="15.75" customHeight="1">
      <c r="A370" s="3" t="s">
        <v>24</v>
      </c>
      <c r="B370" s="3" t="s">
        <v>33</v>
      </c>
      <c r="D370" s="3" t="str">
        <f>IFERROR(__xludf.DUMMYFUNCTION("GOOGLETRANSLATE(A370, ""nl"", ""en"")"),"Cosmic and Abstract Patterns")</f>
        <v>Cosmic and Abstract Patterns</v>
      </c>
      <c r="E370" s="3" t="str">
        <f>IFERROR(__xludf.DUMMYFUNCTION("GOOGLETRANSLATE(B370, ""nl"", ""en"")"),"An eye that repeats itself in endless patterns")</f>
        <v>An eye that repeats itself in endless patterns</v>
      </c>
    </row>
    <row r="371" ht="15.75" customHeight="1">
      <c r="A371" s="3" t="s">
        <v>15</v>
      </c>
      <c r="B371" s="3" t="s">
        <v>22</v>
      </c>
      <c r="D371" s="3" t="str">
        <f>IFERROR(__xludf.DUMMYFUNCTION("GOOGLETRANSLATE(A371, ""nl"", ""en"")"),"Animals and Organic Forms")</f>
        <v>Animals and Organic Forms</v>
      </c>
      <c r="E371" s="3" t="str">
        <f>IFERROR(__xludf.DUMMYFUNCTION("GOOGLETRANSLATE(B371, ""nl"", ""en"")"),"A bird taking off")</f>
        <v>A bird taking off</v>
      </c>
    </row>
    <row r="372" ht="15.75" customHeight="1">
      <c r="A372" s="3" t="s">
        <v>24</v>
      </c>
      <c r="B372" s="3" t="s">
        <v>27</v>
      </c>
      <c r="D372" s="3" t="str">
        <f>IFERROR(__xludf.DUMMYFUNCTION("GOOGLETRANSLATE(A372, ""nl"", ""en"")"),"Cosmic and Abstract Patterns")</f>
        <v>Cosmic and Abstract Patterns</v>
      </c>
      <c r="E372" s="3" t="str">
        <f>IFERROR(__xludf.DUMMYFUNCTION("GOOGLETRANSLATE(B372, ""nl"", ""en"")"),"A pair of black holes in dance")</f>
        <v>A pair of black holes in dance</v>
      </c>
    </row>
    <row r="373" ht="15.75" customHeight="1">
      <c r="A373" s="3" t="s">
        <v>7</v>
      </c>
      <c r="B373" s="3" t="s">
        <v>28</v>
      </c>
      <c r="D373" s="3" t="str">
        <f>IFERROR(__xludf.DUMMYFUNCTION("GOOGLETRANSLATE(A373, ""nl"", ""en"")"),"Human Figures and Physicality")</f>
        <v>Human Figures and Physicality</v>
      </c>
      <c r="E373" s="3" t="str">
        <f>IFERROR(__xludf.DUMMYFUNCTION("GOOGLETRANSLATE(B373, ""nl"", ""en"")"),"A dancing silhouette")</f>
        <v>A dancing silhouette</v>
      </c>
    </row>
    <row r="374" ht="15.75" customHeight="1">
      <c r="A374" s="3" t="s">
        <v>7</v>
      </c>
      <c r="B374" s="3" t="s">
        <v>53</v>
      </c>
      <c r="D374" s="3" t="str">
        <f>IFERROR(__xludf.DUMMYFUNCTION("GOOGLETRANSLATE(A374, ""nl"", ""en"")"),"Human Figures and Physicality")</f>
        <v>Human Figures and Physicality</v>
      </c>
      <c r="E374" s="3" t="str">
        <f>IFERROR(__xludf.DUMMYFUNCTION("GOOGLETRANSLATE(B374, ""nl"", ""en"")"),"A face that both smiles and cries")</f>
        <v>A face that both smiles and cries</v>
      </c>
    </row>
    <row r="375" ht="15.75" customHeight="1">
      <c r="A375" s="3" t="s">
        <v>9</v>
      </c>
      <c r="B375" s="3" t="s">
        <v>11</v>
      </c>
      <c r="D375" s="3" t="str">
        <f>IFERROR(__xludf.DUMMYFUNCTION("GOOGLETRANSLATE(A375, ""nl"", ""en"")"),"Psychological and Emotional Interpretations")</f>
        <v>Psychological and Emotional Interpretations</v>
      </c>
      <c r="E375" s="3" t="str">
        <f>IFERROR(__xludf.DUMMYFUNCTION("GOOGLETRANSLATE(B375, ""nl"", ""en"")"),"An emotion captured in abstraction")</f>
        <v>An emotion captured in abstraction</v>
      </c>
    </row>
    <row r="376" ht="15.75" customHeight="1">
      <c r="A376" s="3" t="s">
        <v>7</v>
      </c>
      <c r="B376" s="3" t="s">
        <v>40</v>
      </c>
      <c r="D376" s="3" t="str">
        <f>IFERROR(__xludf.DUMMYFUNCTION("GOOGLETRANSLATE(A376, ""nl"", ""en"")"),"Human Figures and Physicality")</f>
        <v>Human Figures and Physicality</v>
      </c>
      <c r="E376" s="3" t="str">
        <f>IFERROR(__xludf.DUMMYFUNCTION("GOOGLETRANSLATE(B376, ""nl"", ""en"")"),"A figure who is withdrawn into himself")</f>
        <v>A figure who is withdrawn into himself</v>
      </c>
    </row>
    <row r="377" ht="15.75" customHeight="1">
      <c r="A377" s="3" t="s">
        <v>12</v>
      </c>
      <c r="B377" s="3" t="s">
        <v>13</v>
      </c>
      <c r="D377" s="3" t="str">
        <f>IFERROR(__xludf.DUMMYFUNCTION("GOOGLETRANSLATE(A377, ""nl"", ""en"")"),"Nature and Elements")</f>
        <v>Nature and Elements</v>
      </c>
      <c r="E377" s="3" t="str">
        <f>IFERROR(__xludf.DUMMYFUNCTION("GOOGLETRANSLATE(B377, ""nl"", ""en"")"),"A lightning strike in slow motion")</f>
        <v>A lightning strike in slow motion</v>
      </c>
    </row>
    <row r="378" ht="15.75" customHeight="1">
      <c r="A378" s="3" t="s">
        <v>24</v>
      </c>
      <c r="B378" s="3" t="s">
        <v>48</v>
      </c>
      <c r="D378" s="3" t="str">
        <f>IFERROR(__xludf.DUMMYFUNCTION("GOOGLETRANSLATE(A378, ""nl"", ""en"")"),"Cosmic and Abstract Patterns")</f>
        <v>Cosmic and Abstract Patterns</v>
      </c>
      <c r="E378" s="3" t="str">
        <f>IFERROR(__xludf.DUMMYFUNCTION("GOOGLETRANSLATE(B378, ""nl"", ""en"")"),"A fractal that repeats itself")</f>
        <v>A fractal that repeats itself</v>
      </c>
    </row>
    <row r="379" ht="15.75" customHeight="1">
      <c r="A379" s="3" t="s">
        <v>9</v>
      </c>
      <c r="B379" s="3" t="s">
        <v>17</v>
      </c>
      <c r="D379" s="3" t="str">
        <f>IFERROR(__xludf.DUMMYFUNCTION("GOOGLETRANSLATE(A379, ""nl"", ""en"")"),"Psychological and Emotional Interpretations")</f>
        <v>Psychological and Emotional Interpretations</v>
      </c>
      <c r="E379" s="3" t="str">
        <f>IFERROR(__xludf.DUMMYFUNCTION("GOOGLETRANSLATE(B379, ""nl"", ""en"")"),"A figure that seems to melt")</f>
        <v>A figure that seems to melt</v>
      </c>
    </row>
    <row r="380" ht="15.75" customHeight="1">
      <c r="A380" s="3" t="s">
        <v>7</v>
      </c>
      <c r="B380" s="3" t="s">
        <v>34</v>
      </c>
      <c r="D380" s="3" t="str">
        <f>IFERROR(__xludf.DUMMYFUNCTION("GOOGLETRANSLATE(A380, ""nl"", ""en"")"),"Human Figures and Physicality")</f>
        <v>Human Figures and Physicality</v>
      </c>
      <c r="E380" s="3" t="str">
        <f>IFERROR(__xludf.DUMMYFUNCTION("GOOGLETRANSLATE(B380, ""nl"", ""en"")"),"Hands almost touching")</f>
        <v>Hands almost touching</v>
      </c>
    </row>
    <row r="381" ht="15.75" customHeight="1">
      <c r="A381" s="3" t="s">
        <v>7</v>
      </c>
      <c r="B381" s="3" t="s">
        <v>28</v>
      </c>
      <c r="D381" s="3" t="str">
        <f>IFERROR(__xludf.DUMMYFUNCTION("GOOGLETRANSLATE(A381, ""nl"", ""en"")"),"Human Figures and Physicality")</f>
        <v>Human Figures and Physicality</v>
      </c>
      <c r="E381" s="3" t="str">
        <f>IFERROR(__xludf.DUMMYFUNCTION("GOOGLETRANSLATE(B381, ""nl"", ""en"")"),"A dancing silhouette")</f>
        <v>A dancing silhouette</v>
      </c>
    </row>
    <row r="382" ht="15.75" customHeight="1">
      <c r="A382" s="3" t="s">
        <v>9</v>
      </c>
      <c r="B382" s="3" t="s">
        <v>14</v>
      </c>
      <c r="D382" s="3" t="str">
        <f>IFERROR(__xludf.DUMMYFUNCTION("GOOGLETRANSLATE(A382, ""nl"", ""en"")"),"Psychological and Emotional Interpretations")</f>
        <v>Psychological and Emotional Interpretations</v>
      </c>
      <c r="E382" s="3" t="str">
        <f>IFERROR(__xludf.DUMMYFUNCTION("GOOGLETRANSLATE(B382, ""nl"", ""en"")"),"An unclear hug")</f>
        <v>An unclear hug</v>
      </c>
    </row>
    <row r="383" ht="15.75" customHeight="1">
      <c r="A383" s="3" t="s">
        <v>24</v>
      </c>
      <c r="B383" s="3" t="s">
        <v>32</v>
      </c>
      <c r="D383" s="3" t="str">
        <f>IFERROR(__xludf.DUMMYFUNCTION("GOOGLETRANSLATE(A383, ""nl"", ""en"")"),"Cosmic and Abstract Patterns")</f>
        <v>Cosmic and Abstract Patterns</v>
      </c>
      <c r="E383" s="3" t="str">
        <f>IFERROR(__xludf.DUMMYFUNCTION("GOOGLETRANSLATE(B383, ""nl"", ""en"")"),"A time loop captured in image")</f>
        <v>A time loop captured in image</v>
      </c>
    </row>
    <row r="384" ht="15.75" customHeight="1">
      <c r="A384" s="3" t="s">
        <v>12</v>
      </c>
      <c r="B384" s="3" t="s">
        <v>18</v>
      </c>
      <c r="D384" s="3" t="str">
        <f>IFERROR(__xludf.DUMMYFUNCTION("GOOGLETRANSLATE(A384, ""nl"", ""en"")"),"Nature and Elements")</f>
        <v>Nature and Elements</v>
      </c>
      <c r="E384" s="3" t="str">
        <f>IFERROR(__xludf.DUMMYFUNCTION("GOOGLETRANSLATE(B384, ""nl"", ""en"")"),"A tree with endless branches")</f>
        <v>A tree with endless branches</v>
      </c>
    </row>
    <row r="385" ht="15.75" customHeight="1">
      <c r="A385" s="3" t="s">
        <v>7</v>
      </c>
      <c r="B385" s="3" t="s">
        <v>56</v>
      </c>
      <c r="D385" s="3" t="str">
        <f>IFERROR(__xludf.DUMMYFUNCTION("GOOGLETRANSLATE(A385, ""nl"", ""en"")"),"Human Figures and Physicality")</f>
        <v>Human Figures and Physicality</v>
      </c>
      <c r="E385" s="3" t="str">
        <f>IFERROR(__xludf.DUMMYFUNCTION("GOOGLETRANSLATE(B385, ""nl"", ""en"")"),"A shadow that seems to move")</f>
        <v>A shadow that seems to move</v>
      </c>
    </row>
    <row r="386" ht="15.75" customHeight="1">
      <c r="A386" s="3" t="s">
        <v>12</v>
      </c>
      <c r="B386" s="3" t="s">
        <v>36</v>
      </c>
      <c r="D386" s="3" t="str">
        <f>IFERROR(__xludf.DUMMYFUNCTION("GOOGLETRANSLATE(A386, ""nl"", ""en"")"),"Nature and Elements")</f>
        <v>Nature and Elements</v>
      </c>
      <c r="E386" s="3" t="str">
        <f>IFERROR(__xludf.DUMMYFUNCTION("GOOGLETRANSLATE(B386, ""nl"", ""en"")"),"A river delta from a bird's-eye view")</f>
        <v>A river delta from a bird's-eye view</v>
      </c>
    </row>
    <row r="387" ht="15.75" customHeight="1">
      <c r="A387" s="3" t="s">
        <v>12</v>
      </c>
      <c r="B387" s="3" t="s">
        <v>23</v>
      </c>
      <c r="D387" s="3" t="str">
        <f>IFERROR(__xludf.DUMMYFUNCTION("GOOGLETRANSLATE(A387, ""nl"", ""en"")"),"Nature and Elements")</f>
        <v>Nature and Elements</v>
      </c>
      <c r="E387" s="3" t="str">
        <f>IFERROR(__xludf.DUMMYFUNCTION("GOOGLETRANSLATE(B387, ""nl"", ""en"")"),"A storm cloud splitting in two")</f>
        <v>A storm cloud splitting in two</v>
      </c>
    </row>
    <row r="388" ht="15.75" customHeight="1">
      <c r="A388" s="3" t="s">
        <v>9</v>
      </c>
      <c r="B388" s="3" t="s">
        <v>14</v>
      </c>
      <c r="D388" s="3" t="str">
        <f>IFERROR(__xludf.DUMMYFUNCTION("GOOGLETRANSLATE(A388, ""nl"", ""en"")"),"Psychological and Emotional Interpretations")</f>
        <v>Psychological and Emotional Interpretations</v>
      </c>
      <c r="E388" s="3" t="str">
        <f>IFERROR(__xludf.DUMMYFUNCTION("GOOGLETRANSLATE(B388, ""nl"", ""en"")"),"An unclear hug")</f>
        <v>An unclear hug</v>
      </c>
    </row>
    <row r="389" ht="15.75" customHeight="1">
      <c r="A389" s="3" t="s">
        <v>24</v>
      </c>
      <c r="B389" s="3" t="s">
        <v>25</v>
      </c>
      <c r="D389" s="3" t="str">
        <f>IFERROR(__xludf.DUMMYFUNCTION("GOOGLETRANSLATE(A389, ""nl"", ""en"")"),"Cosmic and Abstract Patterns")</f>
        <v>Cosmic and Abstract Patterns</v>
      </c>
      <c r="E389" s="3" t="str">
        <f>IFERROR(__xludf.DUMMYFUNCTION("GOOGLETRANSLATE(B389, ""nl"", ""en"")"),"A meteor shower dissolving into each other")</f>
        <v>A meteor shower dissolving into each other</v>
      </c>
    </row>
    <row r="390" ht="15.75" customHeight="1">
      <c r="A390" s="3" t="s">
        <v>7</v>
      </c>
      <c r="B390" s="3" t="s">
        <v>34</v>
      </c>
      <c r="D390" s="3" t="str">
        <f>IFERROR(__xludf.DUMMYFUNCTION("GOOGLETRANSLATE(A390, ""nl"", ""en"")"),"Human Figures and Physicality")</f>
        <v>Human Figures and Physicality</v>
      </c>
      <c r="E390" s="3" t="str">
        <f>IFERROR(__xludf.DUMMYFUNCTION("GOOGLETRANSLATE(B390, ""nl"", ""en"")"),"Hands almost touching")</f>
        <v>Hands almost touching</v>
      </c>
    </row>
    <row r="391" ht="15.75" customHeight="1">
      <c r="A391" s="3" t="s">
        <v>7</v>
      </c>
      <c r="B391" s="3" t="s">
        <v>41</v>
      </c>
      <c r="D391" s="3" t="str">
        <f>IFERROR(__xludf.DUMMYFUNCTION("GOOGLETRANSLATE(A391, ""nl"", ""en"")"),"Human Figures and Physicality")</f>
        <v>Human Figures and Physicality</v>
      </c>
      <c r="E391" s="3" t="str">
        <f>IFERROR(__xludf.DUMMYFUNCTION("GOOGLETRANSLATE(B391, ""nl"", ""en"")"),"A face that fades into abstraction")</f>
        <v>A face that fades into abstraction</v>
      </c>
    </row>
    <row r="392" ht="15.75" customHeight="1">
      <c r="A392" s="3" t="s">
        <v>15</v>
      </c>
      <c r="B392" s="3" t="s">
        <v>50</v>
      </c>
      <c r="D392" s="3" t="str">
        <f>IFERROR(__xludf.DUMMYFUNCTION("GOOGLETRANSLATE(A392, ""nl"", ""en"")"),"Animals and Organic Forms")</f>
        <v>Animals and Organic Forms</v>
      </c>
      <c r="E392" s="3" t="str">
        <f>IFERROR(__xludf.DUMMYFUNCTION("GOOGLETRANSLATE(B392, ""nl"", ""en"")"),"A squid with extended tentacles")</f>
        <v>A squid with extended tentacles</v>
      </c>
    </row>
    <row r="393" ht="15.75" customHeight="1">
      <c r="A393" s="3" t="s">
        <v>12</v>
      </c>
      <c r="B393" s="3" t="s">
        <v>18</v>
      </c>
      <c r="D393" s="3" t="str">
        <f>IFERROR(__xludf.DUMMYFUNCTION("GOOGLETRANSLATE(A393, ""nl"", ""en"")"),"Nature and Elements")</f>
        <v>Nature and Elements</v>
      </c>
      <c r="E393" s="3" t="str">
        <f>IFERROR(__xludf.DUMMYFUNCTION("GOOGLETRANSLATE(B393, ""nl"", ""en"")"),"A tree with endless branches")</f>
        <v>A tree with endless branches</v>
      </c>
    </row>
    <row r="394" ht="15.75" customHeight="1">
      <c r="A394" s="3" t="s">
        <v>24</v>
      </c>
      <c r="B394" s="3" t="s">
        <v>25</v>
      </c>
      <c r="D394" s="3" t="str">
        <f>IFERROR(__xludf.DUMMYFUNCTION("GOOGLETRANSLATE(A394, ""nl"", ""en"")"),"Cosmic and Abstract Patterns")</f>
        <v>Cosmic and Abstract Patterns</v>
      </c>
      <c r="E394" s="3" t="str">
        <f>IFERROR(__xludf.DUMMYFUNCTION("GOOGLETRANSLATE(B394, ""nl"", ""en"")"),"A meteor shower dissolving into each other")</f>
        <v>A meteor shower dissolving into each other</v>
      </c>
    </row>
    <row r="395" ht="15.75" customHeight="1">
      <c r="A395" s="3" t="s">
        <v>15</v>
      </c>
      <c r="B395" s="3" t="s">
        <v>50</v>
      </c>
      <c r="D395" s="3" t="str">
        <f>IFERROR(__xludf.DUMMYFUNCTION("GOOGLETRANSLATE(A395, ""nl"", ""en"")"),"Animals and Organic Forms")</f>
        <v>Animals and Organic Forms</v>
      </c>
      <c r="E395" s="3" t="str">
        <f>IFERROR(__xludf.DUMMYFUNCTION("GOOGLETRANSLATE(B395, ""nl"", ""en"")"),"A squid with extended tentacles")</f>
        <v>A squid with extended tentacles</v>
      </c>
    </row>
    <row r="396" ht="15.75" customHeight="1">
      <c r="A396" s="3" t="s">
        <v>15</v>
      </c>
      <c r="B396" s="3" t="s">
        <v>38</v>
      </c>
      <c r="D396" s="3" t="str">
        <f>IFERROR(__xludf.DUMMYFUNCTION("GOOGLETRANSLATE(A396, ""nl"", ""en"")"),"Animals and Organic Forms")</f>
        <v>Animals and Organic Forms</v>
      </c>
      <c r="E396" s="3" t="str">
        <f>IFERROR(__xludf.DUMMYFUNCTION("GOOGLETRANSLATE(B396, ""nl"", ""en"")"),"A lion with an open mouth")</f>
        <v>A lion with an open mouth</v>
      </c>
    </row>
    <row r="397" ht="15.75" customHeight="1">
      <c r="A397" s="3" t="s">
        <v>24</v>
      </c>
      <c r="B397" s="3" t="s">
        <v>33</v>
      </c>
      <c r="D397" s="3" t="str">
        <f>IFERROR(__xludf.DUMMYFUNCTION("GOOGLETRANSLATE(A397, ""nl"", ""en"")"),"Cosmic and Abstract Patterns")</f>
        <v>Cosmic and Abstract Patterns</v>
      </c>
      <c r="E397" s="3" t="str">
        <f>IFERROR(__xludf.DUMMYFUNCTION("GOOGLETRANSLATE(B397, ""nl"", ""en"")"),"An eye that repeats itself in endless patterns")</f>
        <v>An eye that repeats itself in endless patterns</v>
      </c>
    </row>
    <row r="398" ht="15.75" customHeight="1">
      <c r="A398" s="3" t="s">
        <v>15</v>
      </c>
      <c r="B398" s="3" t="s">
        <v>50</v>
      </c>
      <c r="D398" s="3" t="str">
        <f>IFERROR(__xludf.DUMMYFUNCTION("GOOGLETRANSLATE(A398, ""nl"", ""en"")"),"Animals and Organic Forms")</f>
        <v>Animals and Organic Forms</v>
      </c>
      <c r="E398" s="3" t="str">
        <f>IFERROR(__xludf.DUMMYFUNCTION("GOOGLETRANSLATE(B398, ""nl"", ""en"")"),"A squid with extended tentacles")</f>
        <v>A squid with extended tentacles</v>
      </c>
    </row>
    <row r="399" ht="15.75" customHeight="1">
      <c r="A399" s="3" t="s">
        <v>9</v>
      </c>
      <c r="B399" s="3" t="s">
        <v>49</v>
      </c>
      <c r="D399" s="3" t="str">
        <f>IFERROR(__xludf.DUMMYFUNCTION("GOOGLETRANSLATE(A399, ""nl"", ""en"")"),"Psychological and Emotional Interpretations")</f>
        <v>Psychological and Emotional Interpretations</v>
      </c>
      <c r="E399" s="3" t="str">
        <f>IFERROR(__xludf.DUMMYFUNCTION("GOOGLETRANSLATE(B399, ""nl"", ""en"")"),"A spiral that turns inward")</f>
        <v>A spiral that turns inward</v>
      </c>
    </row>
    <row r="400" ht="15.75" customHeight="1">
      <c r="A400" s="3" t="s">
        <v>7</v>
      </c>
      <c r="B400" s="3" t="s">
        <v>41</v>
      </c>
      <c r="D400" s="3" t="str">
        <f>IFERROR(__xludf.DUMMYFUNCTION("GOOGLETRANSLATE(A400, ""nl"", ""en"")"),"Human Figures and Physicality")</f>
        <v>Human Figures and Physicality</v>
      </c>
      <c r="E400" s="3" t="str">
        <f>IFERROR(__xludf.DUMMYFUNCTION("GOOGLETRANSLATE(B400, ""nl"", ""en"")"),"A face that fades into abstraction")</f>
        <v>A face that fades into abstraction</v>
      </c>
    </row>
    <row r="401" ht="15.75" customHeight="1">
      <c r="A401" s="3" t="s">
        <v>4</v>
      </c>
      <c r="B401" s="3" t="s">
        <v>55</v>
      </c>
      <c r="D401" s="3" t="str">
        <f>IFERROR(__xludf.DUMMYFUNCTION("GOOGLETRANSLATE(A401, ""nl"", ""en"")"),"Architectural and Structural Associations")</f>
        <v>Architectural and Structural Associations</v>
      </c>
      <c r="E401" s="3" t="str">
        <f>IFERROR(__xludf.DUMMYFUNCTION("GOOGLETRANSLATE(B401, ""nl"", ""en"")"),"A prism that splits light into colors")</f>
        <v>A prism that splits light into colors</v>
      </c>
    </row>
    <row r="402" ht="15.75" customHeight="1">
      <c r="A402" s="3" t="s">
        <v>7</v>
      </c>
      <c r="B402" s="3" t="s">
        <v>41</v>
      </c>
      <c r="D402" s="3" t="str">
        <f>IFERROR(__xludf.DUMMYFUNCTION("GOOGLETRANSLATE(A402, ""nl"", ""en"")"),"Human Figures and Physicality")</f>
        <v>Human Figures and Physicality</v>
      </c>
      <c r="E402" s="3" t="str">
        <f>IFERROR(__xludf.DUMMYFUNCTION("GOOGLETRANSLATE(B402, ""nl"", ""en"")"),"A face that fades into abstraction")</f>
        <v>A face that fades into abstraction</v>
      </c>
    </row>
    <row r="403" ht="15.75" customHeight="1">
      <c r="A403" s="3" t="s">
        <v>15</v>
      </c>
      <c r="B403" s="3" t="s">
        <v>46</v>
      </c>
      <c r="D403" s="3" t="str">
        <f>IFERROR(__xludf.DUMMYFUNCTION("GOOGLETRANSLATE(A403, ""nl"", ""en"")"),"Animals and Organic Forms")</f>
        <v>Animals and Organic Forms</v>
      </c>
      <c r="E403" s="3" t="str">
        <f>IFERROR(__xludf.DUMMYFUNCTION("GOOGLETRANSLATE(B403, ""nl"", ""en"")"),"A flock of fish moving as one")</f>
        <v>A flock of fish moving as one</v>
      </c>
    </row>
    <row r="404" ht="15.75" customHeight="1">
      <c r="A404" s="3" t="s">
        <v>12</v>
      </c>
      <c r="B404" s="3" t="s">
        <v>13</v>
      </c>
      <c r="D404" s="3" t="str">
        <f>IFERROR(__xludf.DUMMYFUNCTION("GOOGLETRANSLATE(A404, ""nl"", ""en"")"),"Nature and Elements")</f>
        <v>Nature and Elements</v>
      </c>
      <c r="E404" s="3" t="str">
        <f>IFERROR(__xludf.DUMMYFUNCTION("GOOGLETRANSLATE(B404, ""nl"", ""en"")"),"A lightning strike in slow motion")</f>
        <v>A lightning strike in slow motion</v>
      </c>
    </row>
    <row r="405" ht="15.75" customHeight="1">
      <c r="A405" s="3" t="s">
        <v>24</v>
      </c>
      <c r="B405" s="3" t="s">
        <v>54</v>
      </c>
      <c r="D405" s="3" t="str">
        <f>IFERROR(__xludf.DUMMYFUNCTION("GOOGLETRANSLATE(A405, ""nl"", ""en"")"),"Cosmic and Abstract Patterns")</f>
        <v>Cosmic and Abstract Patterns</v>
      </c>
      <c r="E405" s="3" t="str">
        <f>IFERROR(__xludf.DUMMYFUNCTION("GOOGLETRANSLATE(B405, ""nl"", ""en"")"),"A quantum particle in superposition")</f>
        <v>A quantum particle in superposition</v>
      </c>
    </row>
    <row r="406" ht="15.75" customHeight="1">
      <c r="A406" s="3" t="s">
        <v>12</v>
      </c>
      <c r="B406" s="3" t="s">
        <v>51</v>
      </c>
      <c r="D406" s="3" t="str">
        <f>IFERROR(__xludf.DUMMYFUNCTION("GOOGLETRANSLATE(A406, ""nl"", ""en"")"),"Nature and Elements")</f>
        <v>Nature and Elements</v>
      </c>
      <c r="E406" s="3" t="str">
        <f>IFERROR(__xludf.DUMMYFUNCTION("GOOGLETRANSLATE(B406, ""nl"", ""en"")"),"An evaporating puddle of water")</f>
        <v>An evaporating puddle of water</v>
      </c>
    </row>
    <row r="407" ht="15.75" customHeight="1">
      <c r="A407" s="3" t="s">
        <v>15</v>
      </c>
      <c r="B407" s="3" t="s">
        <v>38</v>
      </c>
      <c r="D407" s="3" t="str">
        <f>IFERROR(__xludf.DUMMYFUNCTION("GOOGLETRANSLATE(A407, ""nl"", ""en"")"),"Animals and Organic Forms")</f>
        <v>Animals and Organic Forms</v>
      </c>
      <c r="E407" s="3" t="str">
        <f>IFERROR(__xludf.DUMMYFUNCTION("GOOGLETRANSLATE(B407, ""nl"", ""en"")"),"A lion with an open mouth")</f>
        <v>A lion with an open mouth</v>
      </c>
    </row>
    <row r="408" ht="15.75" customHeight="1">
      <c r="A408" s="3" t="s">
        <v>15</v>
      </c>
      <c r="B408" s="3" t="s">
        <v>45</v>
      </c>
      <c r="D408" s="3" t="str">
        <f>IFERROR(__xludf.DUMMYFUNCTION("GOOGLETRANSLATE(A408, ""nl"", ""en"")"),"Animals and Organic Forms")</f>
        <v>Animals and Organic Forms</v>
      </c>
      <c r="E408" s="3" t="str">
        <f>IFERROR(__xludf.DUMMYFUNCTION("GOOGLETRANSLATE(B408, ""nl"", ""en"")"),"A snake biting its own tail")</f>
        <v>A snake biting its own tail</v>
      </c>
    </row>
    <row r="409" ht="15.75" customHeight="1">
      <c r="A409" s="3" t="s">
        <v>7</v>
      </c>
      <c r="B409" s="3" t="s">
        <v>39</v>
      </c>
      <c r="D409" s="3" t="str">
        <f>IFERROR(__xludf.DUMMYFUNCTION("GOOGLETRANSLATE(A409, ""nl"", ""en"")"),"Human Figures and Physicality")</f>
        <v>Human Figures and Physicality</v>
      </c>
      <c r="E409" s="3" t="str">
        <f>IFERROR(__xludf.DUMMYFUNCTION("GOOGLETRANSLATE(B409, ""nl"", ""en"")"),"A torso without a head")</f>
        <v>A torso without a head</v>
      </c>
    </row>
    <row r="410" ht="15.75" customHeight="1">
      <c r="A410" s="3" t="s">
        <v>15</v>
      </c>
      <c r="B410" s="3" t="s">
        <v>16</v>
      </c>
      <c r="D410" s="3" t="str">
        <f>IFERROR(__xludf.DUMMYFUNCTION("GOOGLETRANSLATE(A410, ""nl"", ""en"")"),"Animals and Organic Forms")</f>
        <v>Animals and Organic Forms</v>
      </c>
      <c r="E410" s="3" t="str">
        <f>IFERROR(__xludf.DUMMYFUNCTION("GOOGLETRANSLATE(B410, ""nl"", ""en"")"),"A butterfly in transformation")</f>
        <v>A butterfly in transformation</v>
      </c>
    </row>
    <row r="411" ht="15.75" customHeight="1">
      <c r="A411" s="3" t="s">
        <v>7</v>
      </c>
      <c r="B411" s="3" t="s">
        <v>56</v>
      </c>
      <c r="D411" s="3" t="str">
        <f>IFERROR(__xludf.DUMMYFUNCTION("GOOGLETRANSLATE(A411, ""nl"", ""en"")"),"Human Figures and Physicality")</f>
        <v>Human Figures and Physicality</v>
      </c>
      <c r="E411" s="3" t="str">
        <f>IFERROR(__xludf.DUMMYFUNCTION("GOOGLETRANSLATE(B411, ""nl"", ""en"")"),"A shadow that seems to move")</f>
        <v>A shadow that seems to move</v>
      </c>
    </row>
    <row r="412" ht="15.75" customHeight="1">
      <c r="A412" s="3" t="s">
        <v>15</v>
      </c>
      <c r="B412" s="3" t="s">
        <v>38</v>
      </c>
      <c r="D412" s="3" t="str">
        <f>IFERROR(__xludf.DUMMYFUNCTION("GOOGLETRANSLATE(A412, ""nl"", ""en"")"),"Animals and Organic Forms")</f>
        <v>Animals and Organic Forms</v>
      </c>
      <c r="E412" s="3" t="str">
        <f>IFERROR(__xludf.DUMMYFUNCTION("GOOGLETRANSLATE(B412, ""nl"", ""en"")"),"A lion with an open mouth")</f>
        <v>A lion with an open mouth</v>
      </c>
    </row>
    <row r="413" ht="15.75" customHeight="1">
      <c r="A413" s="3" t="s">
        <v>24</v>
      </c>
      <c r="B413" s="3" t="s">
        <v>48</v>
      </c>
      <c r="D413" s="3" t="str">
        <f>IFERROR(__xludf.DUMMYFUNCTION("GOOGLETRANSLATE(A413, ""nl"", ""en"")"),"Cosmic and Abstract Patterns")</f>
        <v>Cosmic and Abstract Patterns</v>
      </c>
      <c r="E413" s="3" t="str">
        <f>IFERROR(__xludf.DUMMYFUNCTION("GOOGLETRANSLATE(B413, ""nl"", ""en"")"),"A fractal that repeats itself")</f>
        <v>A fractal that repeats itself</v>
      </c>
    </row>
    <row r="414" ht="15.75" customHeight="1">
      <c r="A414" s="3" t="s">
        <v>15</v>
      </c>
      <c r="B414" s="3" t="s">
        <v>52</v>
      </c>
      <c r="D414" s="3" t="str">
        <f>IFERROR(__xludf.DUMMYFUNCTION("GOOGLETRANSLATE(A414, ""nl"", ""en"")"),"Animals and Organic Forms")</f>
        <v>Animals and Organic Forms</v>
      </c>
      <c r="E414" s="3" t="str">
        <f>IFERROR(__xludf.DUMMYFUNCTION("GOOGLETRANSLATE(B414, ""nl"", ""en"")"),"A mask made of leaves")</f>
        <v>A mask made of leaves</v>
      </c>
    </row>
    <row r="415" ht="15.75" customHeight="1">
      <c r="A415" s="3" t="s">
        <v>7</v>
      </c>
      <c r="B415" s="3" t="s">
        <v>39</v>
      </c>
      <c r="D415" s="3" t="str">
        <f>IFERROR(__xludf.DUMMYFUNCTION("GOOGLETRANSLATE(A415, ""nl"", ""en"")"),"Human Figures and Physicality")</f>
        <v>Human Figures and Physicality</v>
      </c>
      <c r="E415" s="3" t="str">
        <f>IFERROR(__xludf.DUMMYFUNCTION("GOOGLETRANSLATE(B415, ""nl"", ""en"")"),"A torso without a head")</f>
        <v>A torso without a head</v>
      </c>
    </row>
    <row r="416" ht="15.75" customHeight="1">
      <c r="A416" s="3" t="s">
        <v>15</v>
      </c>
      <c r="B416" s="3" t="s">
        <v>26</v>
      </c>
      <c r="D416" s="3" t="str">
        <f>IFERROR(__xludf.DUMMYFUNCTION("GOOGLETRANSLATE(A416, ""nl"", ""en"")"),"Animals and Organic Forms")</f>
        <v>Animals and Organic Forms</v>
      </c>
      <c r="E416" s="3" t="str">
        <f>IFERROR(__xludf.DUMMYFUNCTION("GOOGLETRANSLATE(B416, ""nl"", ""en"")"),"A frog preparing to jump")</f>
        <v>A frog preparing to jump</v>
      </c>
    </row>
    <row r="417" ht="15.75" customHeight="1">
      <c r="A417" s="3" t="s">
        <v>4</v>
      </c>
      <c r="B417" s="3" t="s">
        <v>6</v>
      </c>
      <c r="D417" s="3" t="str">
        <f>IFERROR(__xludf.DUMMYFUNCTION("GOOGLETRANSLATE(A417, ""nl"", ""en"")"),"Architectural and Structural Associations")</f>
        <v>Architectural and Structural Associations</v>
      </c>
      <c r="E417" s="3" t="str">
        <f>IFERROR(__xludf.DUMMYFUNCTION("GOOGLETRANSLATE(B417, ""nl"", ""en"")"),"An endless labyrinth")</f>
        <v>An endless labyrinth</v>
      </c>
    </row>
    <row r="418" ht="15.75" customHeight="1">
      <c r="A418" s="3" t="s">
        <v>15</v>
      </c>
      <c r="B418" s="3" t="s">
        <v>46</v>
      </c>
      <c r="D418" s="3" t="str">
        <f>IFERROR(__xludf.DUMMYFUNCTION("GOOGLETRANSLATE(A418, ""nl"", ""en"")"),"Animals and Organic Forms")</f>
        <v>Animals and Organic Forms</v>
      </c>
      <c r="E418" s="3" t="str">
        <f>IFERROR(__xludf.DUMMYFUNCTION("GOOGLETRANSLATE(B418, ""nl"", ""en"")"),"A flock of fish moving as one")</f>
        <v>A flock of fish moving as one</v>
      </c>
    </row>
    <row r="419" ht="15.75" customHeight="1">
      <c r="A419" s="3" t="s">
        <v>9</v>
      </c>
      <c r="B419" s="3" t="s">
        <v>10</v>
      </c>
      <c r="D419" s="3" t="str">
        <f>IFERROR(__xludf.DUMMYFUNCTION("GOOGLETRANSLATE(A419, ""nl"", ""en"")"),"Psychological and Emotional Interpretations")</f>
        <v>Psychological and Emotional Interpretations</v>
      </c>
      <c r="E419" s="3" t="str">
        <f>IFERROR(__xludf.DUMMYFUNCTION("GOOGLETRANSLATE(B419, ""nl"", ""en"")"),"A face transforming in light")</f>
        <v>A face transforming in light</v>
      </c>
    </row>
    <row r="420" ht="15.75" customHeight="1">
      <c r="A420" s="3" t="s">
        <v>9</v>
      </c>
      <c r="B420" s="3" t="s">
        <v>42</v>
      </c>
      <c r="D420" s="3" t="str">
        <f>IFERROR(__xludf.DUMMYFUNCTION("GOOGLETRANSLATE(A420, ""nl"", ""en"")"),"Psychological and Emotional Interpretations")</f>
        <v>Psychological and Emotional Interpretations</v>
      </c>
      <c r="E420" s="3" t="str">
        <f>IFERROR(__xludf.DUMMYFUNCTION("GOOGLETRANSLATE(B420, ""nl"", ""en"")"),"A mask that slowly disappears")</f>
        <v>A mask that slowly disappears</v>
      </c>
    </row>
    <row r="421" ht="15.75" customHeight="1">
      <c r="A421" s="3" t="s">
        <v>12</v>
      </c>
      <c r="B421" s="3" t="s">
        <v>18</v>
      </c>
      <c r="D421" s="3" t="str">
        <f>IFERROR(__xludf.DUMMYFUNCTION("GOOGLETRANSLATE(A421, ""nl"", ""en"")"),"Nature and Elements")</f>
        <v>Nature and Elements</v>
      </c>
      <c r="E421" s="3" t="str">
        <f>IFERROR(__xludf.DUMMYFUNCTION("GOOGLETRANSLATE(B421, ""nl"", ""en"")"),"A tree with endless branches")</f>
        <v>A tree with endless branches</v>
      </c>
    </row>
    <row r="422" ht="15.75" customHeight="1">
      <c r="A422" s="3" t="s">
        <v>4</v>
      </c>
      <c r="B422" s="3" t="s">
        <v>6</v>
      </c>
      <c r="D422" s="3" t="str">
        <f>IFERROR(__xludf.DUMMYFUNCTION("GOOGLETRANSLATE(A422, ""nl"", ""en"")"),"Architectural and Structural Associations")</f>
        <v>Architectural and Structural Associations</v>
      </c>
      <c r="E422" s="3" t="str">
        <f>IFERROR(__xludf.DUMMYFUNCTION("GOOGLETRANSLATE(B422, ""nl"", ""en"")"),"An endless labyrinth")</f>
        <v>An endless labyrinth</v>
      </c>
    </row>
    <row r="423" ht="15.75" customHeight="1">
      <c r="A423" s="3" t="s">
        <v>4</v>
      </c>
      <c r="B423" s="3" t="s">
        <v>5</v>
      </c>
      <c r="D423" s="3" t="str">
        <f>IFERROR(__xludf.DUMMYFUNCTION("GOOGLETRANSLATE(A423, ""nl"", ""en"")"),"Architectural and Structural Associations")</f>
        <v>Architectural and Structural Associations</v>
      </c>
      <c r="E423" s="3" t="str">
        <f>IFERROR(__xludf.DUMMYFUNCTION("GOOGLETRANSLATE(B423, ""nl"", ""en"")"),"A cathedral shaped from mist")</f>
        <v>A cathedral shaped from mist</v>
      </c>
    </row>
    <row r="424" ht="15.75" customHeight="1">
      <c r="A424" s="3" t="s">
        <v>12</v>
      </c>
      <c r="B424" s="3" t="s">
        <v>18</v>
      </c>
      <c r="D424" s="3" t="str">
        <f>IFERROR(__xludf.DUMMYFUNCTION("GOOGLETRANSLATE(A424, ""nl"", ""en"")"),"Nature and Elements")</f>
        <v>Nature and Elements</v>
      </c>
      <c r="E424" s="3" t="str">
        <f>IFERROR(__xludf.DUMMYFUNCTION("GOOGLETRANSLATE(B424, ""nl"", ""en"")"),"A tree with endless branches")</f>
        <v>A tree with endless branches</v>
      </c>
    </row>
    <row r="425" ht="15.75" customHeight="1">
      <c r="A425" s="3" t="s">
        <v>9</v>
      </c>
      <c r="B425" s="3" t="s">
        <v>37</v>
      </c>
      <c r="D425" s="3" t="str">
        <f>IFERROR(__xludf.DUMMYFUNCTION("GOOGLETRANSLATE(A425, ""nl"", ""en"")"),"Psychological and Emotional Interpretations")</f>
        <v>Psychological and Emotional Interpretations</v>
      </c>
      <c r="E425" s="3" t="str">
        <f>IFERROR(__xludf.DUMMYFUNCTION("GOOGLETRANSLATE(B425, ""nl"", ""en"")"),"A figure looking through itself")</f>
        <v>A figure looking through itself</v>
      </c>
    </row>
    <row r="426" ht="15.75" customHeight="1">
      <c r="A426" s="3" t="s">
        <v>12</v>
      </c>
      <c r="B426" s="3" t="s">
        <v>51</v>
      </c>
      <c r="D426" s="3" t="str">
        <f>IFERROR(__xludf.DUMMYFUNCTION("GOOGLETRANSLATE(A426, ""nl"", ""en"")"),"Nature and Elements")</f>
        <v>Nature and Elements</v>
      </c>
      <c r="E426" s="3" t="str">
        <f>IFERROR(__xludf.DUMMYFUNCTION("GOOGLETRANSLATE(B426, ""nl"", ""en"")"),"An evaporating puddle of water")</f>
        <v>An evaporating puddle of water</v>
      </c>
    </row>
    <row r="427" ht="15.75" customHeight="1">
      <c r="A427" s="3" t="s">
        <v>9</v>
      </c>
      <c r="B427" s="3" t="s">
        <v>11</v>
      </c>
      <c r="D427" s="3" t="str">
        <f>IFERROR(__xludf.DUMMYFUNCTION("GOOGLETRANSLATE(A427, ""nl"", ""en"")"),"Psychological and Emotional Interpretations")</f>
        <v>Psychological and Emotional Interpretations</v>
      </c>
      <c r="E427" s="3" t="str">
        <f>IFERROR(__xludf.DUMMYFUNCTION("GOOGLETRANSLATE(B427, ""nl"", ""en"")"),"An emotion captured in abstraction")</f>
        <v>An emotion captured in abstraction</v>
      </c>
    </row>
    <row r="428" ht="15.75" customHeight="1">
      <c r="A428" s="3" t="s">
        <v>15</v>
      </c>
      <c r="B428" s="3" t="s">
        <v>45</v>
      </c>
      <c r="D428" s="3" t="str">
        <f>IFERROR(__xludf.DUMMYFUNCTION("GOOGLETRANSLATE(A428, ""nl"", ""en"")"),"Animals and Organic Forms")</f>
        <v>Animals and Organic Forms</v>
      </c>
      <c r="E428" s="3" t="str">
        <f>IFERROR(__xludf.DUMMYFUNCTION("GOOGLETRANSLATE(B428, ""nl"", ""en"")"),"A snake biting its own tail")</f>
        <v>A snake biting its own tail</v>
      </c>
    </row>
    <row r="429" ht="15.75" customHeight="1">
      <c r="A429" s="3" t="s">
        <v>15</v>
      </c>
      <c r="B429" s="3" t="s">
        <v>16</v>
      </c>
      <c r="D429" s="3" t="str">
        <f>IFERROR(__xludf.DUMMYFUNCTION("GOOGLETRANSLATE(A429, ""nl"", ""en"")"),"Animals and Organic Forms")</f>
        <v>Animals and Organic Forms</v>
      </c>
      <c r="E429" s="3" t="str">
        <f>IFERROR(__xludf.DUMMYFUNCTION("GOOGLETRANSLATE(B429, ""nl"", ""en"")"),"A butterfly in transformation")</f>
        <v>A butterfly in transformation</v>
      </c>
    </row>
    <row r="430" ht="15.75" customHeight="1">
      <c r="A430" s="3" t="s">
        <v>4</v>
      </c>
      <c r="B430" s="3" t="s">
        <v>21</v>
      </c>
      <c r="D430" s="3" t="str">
        <f>IFERROR(__xludf.DUMMYFUNCTION("GOOGLETRANSLATE(A430, ""nl"", ""en"")"),"Architectural and Structural Associations")</f>
        <v>Architectural and Structural Associations</v>
      </c>
      <c r="E430" s="3" t="str">
        <f>IFERROR(__xludf.DUMMYFUNCTION("GOOGLETRANSLATE(B430, ""nl"", ""en"")"),"A bridge that leads nowhere")</f>
        <v>A bridge that leads nowhere</v>
      </c>
    </row>
    <row r="431" ht="15.75" customHeight="1">
      <c r="A431" s="3" t="s">
        <v>24</v>
      </c>
      <c r="B431" s="3" t="s">
        <v>33</v>
      </c>
      <c r="D431" s="3" t="str">
        <f>IFERROR(__xludf.DUMMYFUNCTION("GOOGLETRANSLATE(A431, ""nl"", ""en"")"),"Cosmic and Abstract Patterns")</f>
        <v>Cosmic and Abstract Patterns</v>
      </c>
      <c r="E431" s="3" t="str">
        <f>IFERROR(__xludf.DUMMYFUNCTION("GOOGLETRANSLATE(B431, ""nl"", ""en"")"),"An eye that repeats itself in endless patterns")</f>
        <v>An eye that repeats itself in endless patterns</v>
      </c>
    </row>
    <row r="432" ht="15.75" customHeight="1">
      <c r="A432" s="3" t="s">
        <v>15</v>
      </c>
      <c r="B432" s="3" t="s">
        <v>22</v>
      </c>
      <c r="D432" s="3" t="str">
        <f>IFERROR(__xludf.DUMMYFUNCTION("GOOGLETRANSLATE(A432, ""nl"", ""en"")"),"Animals and Organic Forms")</f>
        <v>Animals and Organic Forms</v>
      </c>
      <c r="E432" s="3" t="str">
        <f>IFERROR(__xludf.DUMMYFUNCTION("GOOGLETRANSLATE(B432, ""nl"", ""en"")"),"A bird taking off")</f>
        <v>A bird taking off</v>
      </c>
    </row>
    <row r="433" ht="15.75" customHeight="1">
      <c r="A433" s="3" t="s">
        <v>24</v>
      </c>
      <c r="B433" s="3" t="s">
        <v>48</v>
      </c>
      <c r="D433" s="3" t="str">
        <f>IFERROR(__xludf.DUMMYFUNCTION("GOOGLETRANSLATE(A433, ""nl"", ""en"")"),"Cosmic and Abstract Patterns")</f>
        <v>Cosmic and Abstract Patterns</v>
      </c>
      <c r="E433" s="3" t="str">
        <f>IFERROR(__xludf.DUMMYFUNCTION("GOOGLETRANSLATE(B433, ""nl"", ""en"")"),"A fractal that repeats itself")</f>
        <v>A fractal that repeats itself</v>
      </c>
    </row>
    <row r="434" ht="15.75" customHeight="1">
      <c r="A434" s="3" t="s">
        <v>9</v>
      </c>
      <c r="B434" s="3" t="s">
        <v>14</v>
      </c>
      <c r="D434" s="3" t="str">
        <f>IFERROR(__xludf.DUMMYFUNCTION("GOOGLETRANSLATE(A434, ""nl"", ""en"")"),"Psychological and Emotional Interpretations")</f>
        <v>Psychological and Emotional Interpretations</v>
      </c>
      <c r="E434" s="3" t="str">
        <f>IFERROR(__xludf.DUMMYFUNCTION("GOOGLETRANSLATE(B434, ""nl"", ""en"")"),"An unclear hug")</f>
        <v>An unclear hug</v>
      </c>
    </row>
    <row r="435" ht="15.75" customHeight="1">
      <c r="A435" s="3" t="s">
        <v>15</v>
      </c>
      <c r="B435" s="3" t="s">
        <v>45</v>
      </c>
      <c r="D435" s="3" t="str">
        <f>IFERROR(__xludf.DUMMYFUNCTION("GOOGLETRANSLATE(A435, ""nl"", ""en"")"),"Animals and Organic Forms")</f>
        <v>Animals and Organic Forms</v>
      </c>
      <c r="E435" s="3" t="str">
        <f>IFERROR(__xludf.DUMMYFUNCTION("GOOGLETRANSLATE(B435, ""nl"", ""en"")"),"A snake biting its own tail")</f>
        <v>A snake biting its own tail</v>
      </c>
    </row>
    <row r="436" ht="15.75" customHeight="1">
      <c r="A436" s="3" t="s">
        <v>12</v>
      </c>
      <c r="B436" s="3" t="s">
        <v>51</v>
      </c>
      <c r="D436" s="3" t="str">
        <f>IFERROR(__xludf.DUMMYFUNCTION("GOOGLETRANSLATE(A436, ""nl"", ""en"")"),"Nature and Elements")</f>
        <v>Nature and Elements</v>
      </c>
      <c r="E436" s="3" t="str">
        <f>IFERROR(__xludf.DUMMYFUNCTION("GOOGLETRANSLATE(B436, ""nl"", ""en"")"),"An evaporating puddle of water")</f>
        <v>An evaporating puddle of water</v>
      </c>
    </row>
    <row r="437" ht="15.75" customHeight="1">
      <c r="A437" s="3" t="s">
        <v>15</v>
      </c>
      <c r="B437" s="3" t="s">
        <v>52</v>
      </c>
      <c r="D437" s="3" t="str">
        <f>IFERROR(__xludf.DUMMYFUNCTION("GOOGLETRANSLATE(A437, ""nl"", ""en"")"),"Animals and Organic Forms")</f>
        <v>Animals and Organic Forms</v>
      </c>
      <c r="E437" s="3" t="str">
        <f>IFERROR(__xludf.DUMMYFUNCTION("GOOGLETRANSLATE(B437, ""nl"", ""en"")"),"A mask made of leaves")</f>
        <v>A mask made of leaves</v>
      </c>
    </row>
    <row r="438" ht="15.75" customHeight="1">
      <c r="A438" s="3" t="s">
        <v>4</v>
      </c>
      <c r="B438" s="3" t="s">
        <v>21</v>
      </c>
      <c r="D438" s="3" t="str">
        <f>IFERROR(__xludf.DUMMYFUNCTION("GOOGLETRANSLATE(A438, ""nl"", ""en"")"),"Architectural and Structural Associations")</f>
        <v>Architectural and Structural Associations</v>
      </c>
      <c r="E438" s="3" t="str">
        <f>IFERROR(__xludf.DUMMYFUNCTION("GOOGLETRANSLATE(B438, ""nl"", ""en"")"),"A bridge that leads nowhere")</f>
        <v>A bridge that leads nowhere</v>
      </c>
    </row>
    <row r="439" ht="15.75" customHeight="1">
      <c r="A439" s="3" t="s">
        <v>12</v>
      </c>
      <c r="B439" s="3" t="s">
        <v>18</v>
      </c>
      <c r="D439" s="3" t="str">
        <f>IFERROR(__xludf.DUMMYFUNCTION("GOOGLETRANSLATE(A439, ""nl"", ""en"")"),"Nature and Elements")</f>
        <v>Nature and Elements</v>
      </c>
      <c r="E439" s="3" t="str">
        <f>IFERROR(__xludf.DUMMYFUNCTION("GOOGLETRANSLATE(B439, ""nl"", ""en"")"),"A tree with endless branches")</f>
        <v>A tree with endless branches</v>
      </c>
    </row>
    <row r="440" ht="15.75" customHeight="1">
      <c r="A440" s="3" t="s">
        <v>9</v>
      </c>
      <c r="B440" s="3" t="s">
        <v>42</v>
      </c>
      <c r="D440" s="3" t="str">
        <f>IFERROR(__xludf.DUMMYFUNCTION("GOOGLETRANSLATE(A440, ""nl"", ""en"")"),"Psychological and Emotional Interpretations")</f>
        <v>Psychological and Emotional Interpretations</v>
      </c>
      <c r="E440" s="3" t="str">
        <f>IFERROR(__xludf.DUMMYFUNCTION("GOOGLETRANSLATE(B440, ""nl"", ""en"")"),"A mask that slowly disappears")</f>
        <v>A mask that slowly disappears</v>
      </c>
    </row>
    <row r="441" ht="15.75" customHeight="1">
      <c r="A441" s="3" t="s">
        <v>9</v>
      </c>
      <c r="B441" s="3" t="s">
        <v>37</v>
      </c>
      <c r="D441" s="3" t="str">
        <f>IFERROR(__xludf.DUMMYFUNCTION("GOOGLETRANSLATE(A441, ""nl"", ""en"")"),"Psychological and Emotional Interpretations")</f>
        <v>Psychological and Emotional Interpretations</v>
      </c>
      <c r="E441" s="3" t="str">
        <f>IFERROR(__xludf.DUMMYFUNCTION("GOOGLETRANSLATE(B441, ""nl"", ""en"")"),"A figure looking through itself")</f>
        <v>A figure looking through itself</v>
      </c>
    </row>
    <row r="442" ht="15.75" customHeight="1">
      <c r="A442" s="3" t="s">
        <v>24</v>
      </c>
      <c r="B442" s="3" t="s">
        <v>32</v>
      </c>
      <c r="D442" s="3" t="str">
        <f>IFERROR(__xludf.DUMMYFUNCTION("GOOGLETRANSLATE(A442, ""nl"", ""en"")"),"Cosmic and Abstract Patterns")</f>
        <v>Cosmic and Abstract Patterns</v>
      </c>
      <c r="E442" s="3" t="str">
        <f>IFERROR(__xludf.DUMMYFUNCTION("GOOGLETRANSLATE(B442, ""nl"", ""en"")"),"A time loop captured in image")</f>
        <v>A time loop captured in image</v>
      </c>
    </row>
    <row r="443" ht="15.75" customHeight="1">
      <c r="A443" s="3" t="s">
        <v>4</v>
      </c>
      <c r="B443" s="3" t="s">
        <v>44</v>
      </c>
      <c r="D443" s="3" t="str">
        <f>IFERROR(__xludf.DUMMYFUNCTION("GOOGLETRANSLATE(A443, ""nl"", ""en"")"),"Architectural and Structural Associations")</f>
        <v>Architectural and Structural Associations</v>
      </c>
      <c r="E443" s="3" t="str">
        <f>IFERROR(__xludf.DUMMYFUNCTION("GOOGLETRANSLATE(B443, ""nl"", ""en"")"),"A structure that pulsates in waves")</f>
        <v>A structure that pulsates in waves</v>
      </c>
    </row>
    <row r="444" ht="15.75" customHeight="1">
      <c r="A444" s="3" t="s">
        <v>7</v>
      </c>
      <c r="B444" s="3" t="s">
        <v>56</v>
      </c>
      <c r="D444" s="3" t="str">
        <f>IFERROR(__xludf.DUMMYFUNCTION("GOOGLETRANSLATE(A444, ""nl"", ""en"")"),"Human Figures and Physicality")</f>
        <v>Human Figures and Physicality</v>
      </c>
      <c r="E444" s="3" t="str">
        <f>IFERROR(__xludf.DUMMYFUNCTION("GOOGLETRANSLATE(B444, ""nl"", ""en"")"),"A shadow that seems to move")</f>
        <v>A shadow that seems to move</v>
      </c>
    </row>
    <row r="445" ht="15.75" customHeight="1">
      <c r="A445" s="3" t="s">
        <v>9</v>
      </c>
      <c r="B445" s="3" t="s">
        <v>17</v>
      </c>
      <c r="D445" s="3" t="str">
        <f>IFERROR(__xludf.DUMMYFUNCTION("GOOGLETRANSLATE(A445, ""nl"", ""en"")"),"Psychological and Emotional Interpretations")</f>
        <v>Psychological and Emotional Interpretations</v>
      </c>
      <c r="E445" s="3" t="str">
        <f>IFERROR(__xludf.DUMMYFUNCTION("GOOGLETRANSLATE(B445, ""nl"", ""en"")"),"A figure that seems to melt")</f>
        <v>A figure that seems to melt</v>
      </c>
    </row>
    <row r="446" ht="15.75" customHeight="1">
      <c r="A446" s="3" t="s">
        <v>12</v>
      </c>
      <c r="B446" s="3" t="s">
        <v>18</v>
      </c>
      <c r="D446" s="3" t="str">
        <f>IFERROR(__xludf.DUMMYFUNCTION("GOOGLETRANSLATE(A446, ""nl"", ""en"")"),"Nature and Elements")</f>
        <v>Nature and Elements</v>
      </c>
      <c r="E446" s="3" t="str">
        <f>IFERROR(__xludf.DUMMYFUNCTION("GOOGLETRANSLATE(B446, ""nl"", ""en"")"),"A tree with endless branches")</f>
        <v>A tree with endless branches</v>
      </c>
    </row>
    <row r="447" ht="15.75" customHeight="1">
      <c r="A447" s="3" t="s">
        <v>9</v>
      </c>
      <c r="B447" s="3" t="s">
        <v>57</v>
      </c>
      <c r="D447" s="3" t="str">
        <f>IFERROR(__xludf.DUMMYFUNCTION("GOOGLETRANSLATE(A447, ""nl"", ""en"")"),"Psychological and Emotional Interpretations")</f>
        <v>Psychological and Emotional Interpretations</v>
      </c>
      <c r="E447" s="3" t="str">
        <f>IFERROR(__xludf.DUMMYFUNCTION("GOOGLETRANSLATE(B447, ""nl"", ""en"")"),"An explosion of colours and feelings")</f>
        <v>An explosion of colours and feelings</v>
      </c>
    </row>
    <row r="448" ht="15.75" customHeight="1">
      <c r="A448" s="3" t="s">
        <v>24</v>
      </c>
      <c r="B448" s="3" t="s">
        <v>48</v>
      </c>
      <c r="D448" s="3" t="str">
        <f>IFERROR(__xludf.DUMMYFUNCTION("GOOGLETRANSLATE(A448, ""nl"", ""en"")"),"Cosmic and Abstract Patterns")</f>
        <v>Cosmic and Abstract Patterns</v>
      </c>
      <c r="E448" s="3" t="str">
        <f>IFERROR(__xludf.DUMMYFUNCTION("GOOGLETRANSLATE(B448, ""nl"", ""en"")"),"A fractal that repeats itself")</f>
        <v>A fractal that repeats itself</v>
      </c>
    </row>
    <row r="449" ht="15.75" customHeight="1">
      <c r="A449" s="3" t="s">
        <v>7</v>
      </c>
      <c r="B449" s="3" t="s">
        <v>28</v>
      </c>
      <c r="D449" s="3" t="str">
        <f>IFERROR(__xludf.DUMMYFUNCTION("GOOGLETRANSLATE(A449, ""nl"", ""en"")"),"Human Figures and Physicality")</f>
        <v>Human Figures and Physicality</v>
      </c>
      <c r="E449" s="3" t="str">
        <f>IFERROR(__xludf.DUMMYFUNCTION("GOOGLETRANSLATE(B449, ""nl"", ""en"")"),"A dancing silhouette")</f>
        <v>A dancing silhouette</v>
      </c>
    </row>
    <row r="450" ht="15.75" customHeight="1">
      <c r="A450" s="3" t="s">
        <v>24</v>
      </c>
      <c r="B450" s="3" t="s">
        <v>33</v>
      </c>
      <c r="D450" s="3" t="str">
        <f>IFERROR(__xludf.DUMMYFUNCTION("GOOGLETRANSLATE(A450, ""nl"", ""en"")"),"Cosmic and Abstract Patterns")</f>
        <v>Cosmic and Abstract Patterns</v>
      </c>
      <c r="E450" s="3" t="str">
        <f>IFERROR(__xludf.DUMMYFUNCTION("GOOGLETRANSLATE(B450, ""nl"", ""en"")"),"An eye that repeats itself in endless patterns")</f>
        <v>An eye that repeats itself in endless patterns</v>
      </c>
    </row>
    <row r="451" ht="15.75" customHeight="1">
      <c r="A451" s="3" t="s">
        <v>24</v>
      </c>
      <c r="B451" s="3" t="s">
        <v>31</v>
      </c>
      <c r="D451" s="3" t="str">
        <f>IFERROR(__xludf.DUMMYFUNCTION("GOOGLETRANSLATE(A451, ""nl"", ""en"")"),"Cosmic and Abstract Patterns")</f>
        <v>Cosmic and Abstract Patterns</v>
      </c>
      <c r="E451" s="3" t="str">
        <f>IFERROR(__xludf.DUMMYFUNCTION("GOOGLETRANSLATE(B451, ""nl"", ""en"")"),"A planet with unusual rings")</f>
        <v>A planet with unusual rings</v>
      </c>
    </row>
    <row r="452" ht="15.75" customHeight="1">
      <c r="A452" s="3" t="s">
        <v>7</v>
      </c>
      <c r="B452" s="3" t="s">
        <v>34</v>
      </c>
      <c r="D452" s="3" t="str">
        <f>IFERROR(__xludf.DUMMYFUNCTION("GOOGLETRANSLATE(A452, ""nl"", ""en"")"),"Human Figures and Physicality")</f>
        <v>Human Figures and Physicality</v>
      </c>
      <c r="E452" s="3" t="str">
        <f>IFERROR(__xludf.DUMMYFUNCTION("GOOGLETRANSLATE(B452, ""nl"", ""en"")"),"Hands almost touching")</f>
        <v>Hands almost touching</v>
      </c>
    </row>
    <row r="453" ht="15.75" customHeight="1">
      <c r="A453" s="3" t="s">
        <v>9</v>
      </c>
      <c r="B453" s="3" t="s">
        <v>42</v>
      </c>
      <c r="D453" s="3" t="str">
        <f>IFERROR(__xludf.DUMMYFUNCTION("GOOGLETRANSLATE(A453, ""nl"", ""en"")"),"Psychological and Emotional Interpretations")</f>
        <v>Psychological and Emotional Interpretations</v>
      </c>
      <c r="E453" s="3" t="str">
        <f>IFERROR(__xludf.DUMMYFUNCTION("GOOGLETRANSLATE(B453, ""nl"", ""en"")"),"A mask that slowly disappears")</f>
        <v>A mask that slowly disappears</v>
      </c>
    </row>
    <row r="454" ht="15.75" customHeight="1">
      <c r="A454" s="3" t="s">
        <v>4</v>
      </c>
      <c r="B454" s="3" t="s">
        <v>20</v>
      </c>
      <c r="D454" s="3" t="str">
        <f>IFERROR(__xludf.DUMMYFUNCTION("GOOGLETRANSLATE(A454, ""nl"", ""en"")"),"Architectural and Structural Associations")</f>
        <v>Architectural and Structural Associations</v>
      </c>
      <c r="E454" s="3" t="str">
        <f>IFERROR(__xludf.DUMMYFUNCTION("GOOGLETRANSLATE(B454, ""nl"", ""en"")"),"A tower that grows by itself")</f>
        <v>A tower that grows by itself</v>
      </c>
    </row>
    <row r="455" ht="15.75" customHeight="1">
      <c r="A455" s="3" t="s">
        <v>24</v>
      </c>
      <c r="B455" s="3" t="s">
        <v>48</v>
      </c>
      <c r="D455" s="3" t="str">
        <f>IFERROR(__xludf.DUMMYFUNCTION("GOOGLETRANSLATE(A455, ""nl"", ""en"")"),"Cosmic and Abstract Patterns")</f>
        <v>Cosmic and Abstract Patterns</v>
      </c>
      <c r="E455" s="3" t="str">
        <f>IFERROR(__xludf.DUMMYFUNCTION("GOOGLETRANSLATE(B455, ""nl"", ""en"")"),"A fractal that repeats itself")</f>
        <v>A fractal that repeats itself</v>
      </c>
    </row>
    <row r="456" ht="15.75" customHeight="1">
      <c r="A456" s="3" t="s">
        <v>15</v>
      </c>
      <c r="B456" s="3" t="s">
        <v>26</v>
      </c>
      <c r="D456" s="3" t="str">
        <f>IFERROR(__xludf.DUMMYFUNCTION("GOOGLETRANSLATE(A456, ""nl"", ""en"")"),"Animals and Organic Forms")</f>
        <v>Animals and Organic Forms</v>
      </c>
      <c r="E456" s="3" t="str">
        <f>IFERROR(__xludf.DUMMYFUNCTION("GOOGLETRANSLATE(B456, ""nl"", ""en"")"),"A frog preparing to jump")</f>
        <v>A frog preparing to jump</v>
      </c>
    </row>
    <row r="457" ht="15.75" customHeight="1">
      <c r="A457" s="3" t="s">
        <v>9</v>
      </c>
      <c r="B457" s="3" t="s">
        <v>42</v>
      </c>
      <c r="D457" s="3" t="str">
        <f>IFERROR(__xludf.DUMMYFUNCTION("GOOGLETRANSLATE(A457, ""nl"", ""en"")"),"Psychological and Emotional Interpretations")</f>
        <v>Psychological and Emotional Interpretations</v>
      </c>
      <c r="E457" s="3" t="str">
        <f>IFERROR(__xludf.DUMMYFUNCTION("GOOGLETRANSLATE(B457, ""nl"", ""en"")"),"A mask that slowly disappears")</f>
        <v>A mask that slowly disappears</v>
      </c>
    </row>
    <row r="458" ht="15.75" customHeight="1">
      <c r="A458" s="3" t="s">
        <v>4</v>
      </c>
      <c r="B458" s="3" t="s">
        <v>6</v>
      </c>
      <c r="D458" s="3" t="str">
        <f>IFERROR(__xludf.DUMMYFUNCTION("GOOGLETRANSLATE(A458, ""nl"", ""en"")"),"Architectural and Structural Associations")</f>
        <v>Architectural and Structural Associations</v>
      </c>
      <c r="E458" s="3" t="str">
        <f>IFERROR(__xludf.DUMMYFUNCTION("GOOGLETRANSLATE(B458, ""nl"", ""en"")"),"An endless labyrinth")</f>
        <v>An endless labyrinth</v>
      </c>
    </row>
    <row r="459" ht="15.75" customHeight="1">
      <c r="A459" s="3" t="s">
        <v>15</v>
      </c>
      <c r="B459" s="3" t="s">
        <v>26</v>
      </c>
      <c r="D459" s="3" t="str">
        <f>IFERROR(__xludf.DUMMYFUNCTION("GOOGLETRANSLATE(A459, ""nl"", ""en"")"),"Animals and Organic Forms")</f>
        <v>Animals and Organic Forms</v>
      </c>
      <c r="E459" s="3" t="str">
        <f>IFERROR(__xludf.DUMMYFUNCTION("GOOGLETRANSLATE(B459, ""nl"", ""en"")"),"A frog preparing to jump")</f>
        <v>A frog preparing to jump</v>
      </c>
    </row>
    <row r="460" ht="15.75" customHeight="1">
      <c r="A460" s="3" t="s">
        <v>4</v>
      </c>
      <c r="B460" s="3" t="s">
        <v>44</v>
      </c>
      <c r="D460" s="3" t="str">
        <f>IFERROR(__xludf.DUMMYFUNCTION("GOOGLETRANSLATE(A460, ""nl"", ""en"")"),"Architectural and Structural Associations")</f>
        <v>Architectural and Structural Associations</v>
      </c>
      <c r="E460" s="3" t="str">
        <f>IFERROR(__xludf.DUMMYFUNCTION("GOOGLETRANSLATE(B460, ""nl"", ""en"")"),"A structure that pulsates in waves")</f>
        <v>A structure that pulsates in waves</v>
      </c>
    </row>
    <row r="461" ht="15.75" customHeight="1">
      <c r="A461" s="3" t="s">
        <v>9</v>
      </c>
      <c r="B461" s="3" t="s">
        <v>49</v>
      </c>
      <c r="D461" s="3" t="str">
        <f>IFERROR(__xludf.DUMMYFUNCTION("GOOGLETRANSLATE(A461, ""nl"", ""en"")"),"Psychological and Emotional Interpretations")</f>
        <v>Psychological and Emotional Interpretations</v>
      </c>
      <c r="E461" s="3" t="str">
        <f>IFERROR(__xludf.DUMMYFUNCTION("GOOGLETRANSLATE(B461, ""nl"", ""en"")"),"A spiral that turns inward")</f>
        <v>A spiral that turns inward</v>
      </c>
    </row>
    <row r="462" ht="15.75" customHeight="1">
      <c r="A462" s="3" t="s">
        <v>9</v>
      </c>
      <c r="B462" s="3" t="s">
        <v>17</v>
      </c>
      <c r="D462" s="3" t="str">
        <f>IFERROR(__xludf.DUMMYFUNCTION("GOOGLETRANSLATE(A462, ""nl"", ""en"")"),"Psychological and Emotional Interpretations")</f>
        <v>Psychological and Emotional Interpretations</v>
      </c>
      <c r="E462" s="3" t="str">
        <f>IFERROR(__xludf.DUMMYFUNCTION("GOOGLETRANSLATE(B462, ""nl"", ""en"")"),"A figure that seems to melt")</f>
        <v>A figure that seems to melt</v>
      </c>
    </row>
    <row r="463" ht="15.75" customHeight="1">
      <c r="A463" s="3" t="s">
        <v>4</v>
      </c>
      <c r="B463" s="3" t="s">
        <v>20</v>
      </c>
      <c r="D463" s="3" t="str">
        <f>IFERROR(__xludf.DUMMYFUNCTION("GOOGLETRANSLATE(A463, ""nl"", ""en"")"),"Architectural and Structural Associations")</f>
        <v>Architectural and Structural Associations</v>
      </c>
      <c r="E463" s="3" t="str">
        <f>IFERROR(__xludf.DUMMYFUNCTION("GOOGLETRANSLATE(B463, ""nl"", ""en"")"),"A tower that grows by itself")</f>
        <v>A tower that grows by itself</v>
      </c>
    </row>
    <row r="464" ht="15.75" customHeight="1">
      <c r="A464" s="3" t="s">
        <v>7</v>
      </c>
      <c r="B464" s="3" t="s">
        <v>8</v>
      </c>
      <c r="D464" s="3" t="str">
        <f>IFERROR(__xludf.DUMMYFUNCTION("GOOGLETRANSLATE(A464, ""nl"", ""en"")"),"Human Figures and Physicality")</f>
        <v>Human Figures and Physicality</v>
      </c>
      <c r="E464" s="3" t="str">
        <f>IFERROR(__xludf.DUMMYFUNCTION("GOOGLETRANSLATE(B464, ""nl"", ""en"")"),"Two figures mirroring each other")</f>
        <v>Two figures mirroring each other</v>
      </c>
    </row>
    <row r="465" ht="15.75" customHeight="1">
      <c r="A465" s="3" t="s">
        <v>24</v>
      </c>
      <c r="B465" s="3" t="s">
        <v>27</v>
      </c>
      <c r="D465" s="3" t="str">
        <f>IFERROR(__xludf.DUMMYFUNCTION("GOOGLETRANSLATE(A465, ""nl"", ""en"")"),"Cosmic and Abstract Patterns")</f>
        <v>Cosmic and Abstract Patterns</v>
      </c>
      <c r="E465" s="3" t="str">
        <f>IFERROR(__xludf.DUMMYFUNCTION("GOOGLETRANSLATE(B465, ""nl"", ""en"")"),"A pair of black holes in dance")</f>
        <v>A pair of black holes in dance</v>
      </c>
    </row>
    <row r="466" ht="15.75" customHeight="1">
      <c r="A466" s="3" t="s">
        <v>4</v>
      </c>
      <c r="B466" s="3" t="s">
        <v>35</v>
      </c>
      <c r="D466" s="3" t="str">
        <f>IFERROR(__xludf.DUMMYFUNCTION("GOOGLETRANSLATE(A466, ""nl"", ""en"")"),"Architectural and Structural Associations")</f>
        <v>Architectural and Structural Associations</v>
      </c>
      <c r="E466" s="3" t="str">
        <f>IFERROR(__xludf.DUMMYFUNCTION("GOOGLETRANSLATE(B466, ""nl"", ""en"")"),"A floating building without a base")</f>
        <v>A floating building without a base</v>
      </c>
    </row>
    <row r="467" ht="15.75" customHeight="1">
      <c r="A467" s="3" t="s">
        <v>7</v>
      </c>
      <c r="B467" s="3" t="s">
        <v>8</v>
      </c>
      <c r="D467" s="3" t="str">
        <f>IFERROR(__xludf.DUMMYFUNCTION("GOOGLETRANSLATE(A467, ""nl"", ""en"")"),"Human Figures and Physicality")</f>
        <v>Human Figures and Physicality</v>
      </c>
      <c r="E467" s="3" t="str">
        <f>IFERROR(__xludf.DUMMYFUNCTION("GOOGLETRANSLATE(B467, ""nl"", ""en"")"),"Two figures mirroring each other")</f>
        <v>Two figures mirroring each other</v>
      </c>
    </row>
    <row r="468" ht="15.75" customHeight="1">
      <c r="A468" s="3" t="s">
        <v>24</v>
      </c>
      <c r="B468" s="3" t="s">
        <v>32</v>
      </c>
      <c r="D468" s="3" t="str">
        <f>IFERROR(__xludf.DUMMYFUNCTION("GOOGLETRANSLATE(A468, ""nl"", ""en"")"),"Cosmic and Abstract Patterns")</f>
        <v>Cosmic and Abstract Patterns</v>
      </c>
      <c r="E468" s="3" t="str">
        <f>IFERROR(__xludf.DUMMYFUNCTION("GOOGLETRANSLATE(B468, ""nl"", ""en"")"),"A time loop captured in image")</f>
        <v>A time loop captured in image</v>
      </c>
    </row>
    <row r="469" ht="15.75" customHeight="1">
      <c r="A469" s="3" t="s">
        <v>15</v>
      </c>
      <c r="B469" s="3" t="s">
        <v>46</v>
      </c>
      <c r="D469" s="3" t="str">
        <f>IFERROR(__xludf.DUMMYFUNCTION("GOOGLETRANSLATE(A469, ""nl"", ""en"")"),"Animals and Organic Forms")</f>
        <v>Animals and Organic Forms</v>
      </c>
      <c r="E469" s="3" t="str">
        <f>IFERROR(__xludf.DUMMYFUNCTION("GOOGLETRANSLATE(B469, ""nl"", ""en"")"),"A flock of fish moving as one")</f>
        <v>A flock of fish moving as one</v>
      </c>
    </row>
    <row r="470" ht="15.75" customHeight="1">
      <c r="A470" s="3" t="s">
        <v>4</v>
      </c>
      <c r="B470" s="3" t="s">
        <v>5</v>
      </c>
      <c r="D470" s="3" t="str">
        <f>IFERROR(__xludf.DUMMYFUNCTION("GOOGLETRANSLATE(A470, ""nl"", ""en"")"),"Architectural and Structural Associations")</f>
        <v>Architectural and Structural Associations</v>
      </c>
      <c r="E470" s="3" t="str">
        <f>IFERROR(__xludf.DUMMYFUNCTION("GOOGLETRANSLATE(B470, ""nl"", ""en"")"),"A cathedral shaped from mist")</f>
        <v>A cathedral shaped from mist</v>
      </c>
    </row>
    <row r="471" ht="15.75" customHeight="1">
      <c r="A471" s="3" t="s">
        <v>9</v>
      </c>
      <c r="B471" s="3" t="s">
        <v>10</v>
      </c>
      <c r="D471" s="3" t="str">
        <f>IFERROR(__xludf.DUMMYFUNCTION("GOOGLETRANSLATE(A471, ""nl"", ""en"")"),"Psychological and Emotional Interpretations")</f>
        <v>Psychological and Emotional Interpretations</v>
      </c>
      <c r="E471" s="3" t="str">
        <f>IFERROR(__xludf.DUMMYFUNCTION("GOOGLETRANSLATE(B471, ""nl"", ""en"")"),"A face transforming in light")</f>
        <v>A face transforming in light</v>
      </c>
    </row>
    <row r="472" ht="15.75" customHeight="1">
      <c r="A472" s="3" t="s">
        <v>4</v>
      </c>
      <c r="B472" s="3" t="s">
        <v>6</v>
      </c>
      <c r="D472" s="3" t="str">
        <f>IFERROR(__xludf.DUMMYFUNCTION("GOOGLETRANSLATE(A472, ""nl"", ""en"")"),"Architectural and Structural Associations")</f>
        <v>Architectural and Structural Associations</v>
      </c>
      <c r="E472" s="3" t="str">
        <f>IFERROR(__xludf.DUMMYFUNCTION("GOOGLETRANSLATE(B472, ""nl"", ""en"")"),"An endless labyrinth")</f>
        <v>An endless labyrinth</v>
      </c>
    </row>
    <row r="473" ht="15.75" customHeight="1">
      <c r="A473" s="3" t="s">
        <v>7</v>
      </c>
      <c r="B473" s="3" t="s">
        <v>56</v>
      </c>
      <c r="D473" s="3" t="str">
        <f>IFERROR(__xludf.DUMMYFUNCTION("GOOGLETRANSLATE(A473, ""nl"", ""en"")"),"Human Figures and Physicality")</f>
        <v>Human Figures and Physicality</v>
      </c>
      <c r="E473" s="3" t="str">
        <f>IFERROR(__xludf.DUMMYFUNCTION("GOOGLETRANSLATE(B473, ""nl"", ""en"")"),"A shadow that seems to move")</f>
        <v>A shadow that seems to move</v>
      </c>
    </row>
    <row r="474" ht="15.75" customHeight="1">
      <c r="A474" s="3" t="s">
        <v>9</v>
      </c>
      <c r="B474" s="3" t="s">
        <v>11</v>
      </c>
      <c r="D474" s="3" t="str">
        <f>IFERROR(__xludf.DUMMYFUNCTION("GOOGLETRANSLATE(A474, ""nl"", ""en"")"),"Psychological and Emotional Interpretations")</f>
        <v>Psychological and Emotional Interpretations</v>
      </c>
      <c r="E474" s="3" t="str">
        <f>IFERROR(__xludf.DUMMYFUNCTION("GOOGLETRANSLATE(B474, ""nl"", ""en"")"),"An emotion captured in abstraction")</f>
        <v>An emotion captured in abstraction</v>
      </c>
    </row>
    <row r="475" ht="15.75" customHeight="1">
      <c r="A475" s="3" t="s">
        <v>15</v>
      </c>
      <c r="B475" s="3" t="s">
        <v>26</v>
      </c>
      <c r="D475" s="3" t="str">
        <f>IFERROR(__xludf.DUMMYFUNCTION("GOOGLETRANSLATE(A475, ""nl"", ""en"")"),"Animals and Organic Forms")</f>
        <v>Animals and Organic Forms</v>
      </c>
      <c r="E475" s="3" t="str">
        <f>IFERROR(__xludf.DUMMYFUNCTION("GOOGLETRANSLATE(B475, ""nl"", ""en"")"),"A frog preparing to jump")</f>
        <v>A frog preparing to jump</v>
      </c>
    </row>
    <row r="476" ht="15.75" customHeight="1">
      <c r="A476" s="3" t="s">
        <v>7</v>
      </c>
      <c r="B476" s="3" t="s">
        <v>34</v>
      </c>
      <c r="D476" s="3" t="str">
        <f>IFERROR(__xludf.DUMMYFUNCTION("GOOGLETRANSLATE(A476, ""nl"", ""en"")"),"Human Figures and Physicality")</f>
        <v>Human Figures and Physicality</v>
      </c>
      <c r="E476" s="3" t="str">
        <f>IFERROR(__xludf.DUMMYFUNCTION("GOOGLETRANSLATE(B476, ""nl"", ""en"")"),"Hands almost touching")</f>
        <v>Hands almost touching</v>
      </c>
    </row>
    <row r="477" ht="15.75" customHeight="1">
      <c r="A477" s="3" t="s">
        <v>9</v>
      </c>
      <c r="B477" s="3" t="s">
        <v>17</v>
      </c>
      <c r="D477" s="3" t="str">
        <f>IFERROR(__xludf.DUMMYFUNCTION("GOOGLETRANSLATE(A477, ""nl"", ""en"")"),"Psychological and Emotional Interpretations")</f>
        <v>Psychological and Emotional Interpretations</v>
      </c>
      <c r="E477" s="3" t="str">
        <f>IFERROR(__xludf.DUMMYFUNCTION("GOOGLETRANSLATE(B477, ""nl"", ""en"")"),"A figure that seems to melt")</f>
        <v>A figure that seems to melt</v>
      </c>
    </row>
    <row r="478" ht="15.75" customHeight="1">
      <c r="A478" s="3" t="s">
        <v>15</v>
      </c>
      <c r="B478" s="3" t="s">
        <v>45</v>
      </c>
      <c r="D478" s="3" t="str">
        <f>IFERROR(__xludf.DUMMYFUNCTION("GOOGLETRANSLATE(A478, ""nl"", ""en"")"),"Animals and Organic Forms")</f>
        <v>Animals and Organic Forms</v>
      </c>
      <c r="E478" s="3" t="str">
        <f>IFERROR(__xludf.DUMMYFUNCTION("GOOGLETRANSLATE(B478, ""nl"", ""en"")"),"A snake biting its own tail")</f>
        <v>A snake biting its own tail</v>
      </c>
    </row>
    <row r="479" ht="15.75" customHeight="1">
      <c r="A479" s="3" t="s">
        <v>4</v>
      </c>
      <c r="B479" s="3" t="s">
        <v>20</v>
      </c>
      <c r="D479" s="3" t="str">
        <f>IFERROR(__xludf.DUMMYFUNCTION("GOOGLETRANSLATE(A479, ""nl"", ""en"")"),"Architectural and Structural Associations")</f>
        <v>Architectural and Structural Associations</v>
      </c>
      <c r="E479" s="3" t="str">
        <f>IFERROR(__xludf.DUMMYFUNCTION("GOOGLETRANSLATE(B479, ""nl"", ""en"")"),"A tower that grows by itself")</f>
        <v>A tower that grows by itself</v>
      </c>
    </row>
    <row r="480" ht="15.75" customHeight="1">
      <c r="A480" s="3" t="s">
        <v>4</v>
      </c>
      <c r="B480" s="3" t="s">
        <v>20</v>
      </c>
      <c r="D480" s="3" t="str">
        <f>IFERROR(__xludf.DUMMYFUNCTION("GOOGLETRANSLATE(A480, ""nl"", ""en"")"),"Architectural and Structural Associations")</f>
        <v>Architectural and Structural Associations</v>
      </c>
      <c r="E480" s="3" t="str">
        <f>IFERROR(__xludf.DUMMYFUNCTION("GOOGLETRANSLATE(B480, ""nl"", ""en"")"),"A tower that grows by itself")</f>
        <v>A tower that grows by itself</v>
      </c>
    </row>
    <row r="481" ht="15.75" customHeight="1">
      <c r="A481" s="3" t="s">
        <v>7</v>
      </c>
      <c r="B481" s="3" t="s">
        <v>34</v>
      </c>
      <c r="D481" s="3" t="str">
        <f>IFERROR(__xludf.DUMMYFUNCTION("GOOGLETRANSLATE(A481, ""nl"", ""en"")"),"Human Figures and Physicality")</f>
        <v>Human Figures and Physicality</v>
      </c>
      <c r="E481" s="3" t="str">
        <f>IFERROR(__xludf.DUMMYFUNCTION("GOOGLETRANSLATE(B481, ""nl"", ""en"")"),"Hands almost touching")</f>
        <v>Hands almost touching</v>
      </c>
    </row>
    <row r="482" ht="15.75" customHeight="1">
      <c r="A482" s="3" t="s">
        <v>24</v>
      </c>
      <c r="B482" s="3" t="s">
        <v>31</v>
      </c>
      <c r="D482" s="3" t="str">
        <f>IFERROR(__xludf.DUMMYFUNCTION("GOOGLETRANSLATE(A482, ""nl"", ""en"")"),"Cosmic and Abstract Patterns")</f>
        <v>Cosmic and Abstract Patterns</v>
      </c>
      <c r="E482" s="3" t="str">
        <f>IFERROR(__xludf.DUMMYFUNCTION("GOOGLETRANSLATE(B482, ""nl"", ""en"")"),"A planet with unusual rings")</f>
        <v>A planet with unusual rings</v>
      </c>
    </row>
    <row r="483" ht="15.75" customHeight="1">
      <c r="A483" s="3" t="s">
        <v>12</v>
      </c>
      <c r="B483" s="3" t="s">
        <v>18</v>
      </c>
      <c r="D483" s="3" t="str">
        <f>IFERROR(__xludf.DUMMYFUNCTION("GOOGLETRANSLATE(A483, ""nl"", ""en"")"),"Nature and Elements")</f>
        <v>Nature and Elements</v>
      </c>
      <c r="E483" s="3" t="str">
        <f>IFERROR(__xludf.DUMMYFUNCTION("GOOGLETRANSLATE(B483, ""nl"", ""en"")"),"A tree with endless branches")</f>
        <v>A tree with endless branches</v>
      </c>
    </row>
    <row r="484" ht="15.75" customHeight="1">
      <c r="A484" s="3" t="s">
        <v>7</v>
      </c>
      <c r="B484" s="3" t="s">
        <v>41</v>
      </c>
      <c r="D484" s="3" t="str">
        <f>IFERROR(__xludf.DUMMYFUNCTION("GOOGLETRANSLATE(A484, ""nl"", ""en"")"),"Human Figures and Physicality")</f>
        <v>Human Figures and Physicality</v>
      </c>
      <c r="E484" s="3" t="str">
        <f>IFERROR(__xludf.DUMMYFUNCTION("GOOGLETRANSLATE(B484, ""nl"", ""en"")"),"A face that fades into abstraction")</f>
        <v>A face that fades into abstraction</v>
      </c>
    </row>
    <row r="485" ht="15.75" customHeight="1">
      <c r="A485" s="3" t="s">
        <v>12</v>
      </c>
      <c r="B485" s="3" t="s">
        <v>36</v>
      </c>
      <c r="D485" s="3" t="str">
        <f>IFERROR(__xludf.DUMMYFUNCTION("GOOGLETRANSLATE(A485, ""nl"", ""en"")"),"Nature and Elements")</f>
        <v>Nature and Elements</v>
      </c>
      <c r="E485" s="3" t="str">
        <f>IFERROR(__xludf.DUMMYFUNCTION("GOOGLETRANSLATE(B485, ""nl"", ""en"")"),"A river delta from a bird's-eye view")</f>
        <v>A river delta from a bird's-eye view</v>
      </c>
    </row>
    <row r="486" ht="15.75" customHeight="1">
      <c r="A486" s="3" t="s">
        <v>7</v>
      </c>
      <c r="B486" s="3" t="s">
        <v>40</v>
      </c>
      <c r="D486" s="3" t="str">
        <f>IFERROR(__xludf.DUMMYFUNCTION("GOOGLETRANSLATE(A486, ""nl"", ""en"")"),"Human Figures and Physicality")</f>
        <v>Human Figures and Physicality</v>
      </c>
      <c r="E486" s="3" t="str">
        <f>IFERROR(__xludf.DUMMYFUNCTION("GOOGLETRANSLATE(B486, ""nl"", ""en"")"),"A figure who is withdrawn into himself")</f>
        <v>A figure who is withdrawn into himself</v>
      </c>
    </row>
    <row r="487" ht="15.75" customHeight="1">
      <c r="A487" s="3" t="s">
        <v>4</v>
      </c>
      <c r="B487" s="3" t="s">
        <v>6</v>
      </c>
      <c r="D487" s="3" t="str">
        <f>IFERROR(__xludf.DUMMYFUNCTION("GOOGLETRANSLATE(A487, ""nl"", ""en"")"),"Architectural and Structural Associations")</f>
        <v>Architectural and Structural Associations</v>
      </c>
      <c r="E487" s="3" t="str">
        <f>IFERROR(__xludf.DUMMYFUNCTION("GOOGLETRANSLATE(B487, ""nl"", ""en"")"),"An endless labyrinth")</f>
        <v>An endless labyrinth</v>
      </c>
    </row>
    <row r="488" ht="15.75" customHeight="1">
      <c r="A488" s="3" t="s">
        <v>4</v>
      </c>
      <c r="B488" s="3" t="s">
        <v>43</v>
      </c>
      <c r="D488" s="3" t="str">
        <f>IFERROR(__xludf.DUMMYFUNCTION("GOOGLETRANSLATE(A488, ""nl"", ""en"")"),"Architectural and Structural Associations")</f>
        <v>Architectural and Structural Associations</v>
      </c>
      <c r="E488" s="3" t="str">
        <f>IFERROR(__xludf.DUMMYFUNCTION("GOOGLETRANSLATE(B488, ""nl"", ""en"")"),"A network of tunnels and passages")</f>
        <v>A network of tunnels and passages</v>
      </c>
    </row>
    <row r="489" ht="15.75" customHeight="1">
      <c r="A489" s="3" t="s">
        <v>4</v>
      </c>
      <c r="B489" s="3" t="s">
        <v>5</v>
      </c>
      <c r="D489" s="3" t="str">
        <f>IFERROR(__xludf.DUMMYFUNCTION("GOOGLETRANSLATE(A489, ""nl"", ""en"")"),"Architectural and Structural Associations")</f>
        <v>Architectural and Structural Associations</v>
      </c>
      <c r="E489" s="3" t="str">
        <f>IFERROR(__xludf.DUMMYFUNCTION("GOOGLETRANSLATE(B489, ""nl"", ""en"")"),"A cathedral shaped from mist")</f>
        <v>A cathedral shaped from mist</v>
      </c>
    </row>
    <row r="490" ht="15.75" customHeight="1">
      <c r="A490" s="3" t="s">
        <v>4</v>
      </c>
      <c r="B490" s="3" t="s">
        <v>6</v>
      </c>
      <c r="D490" s="3" t="str">
        <f>IFERROR(__xludf.DUMMYFUNCTION("GOOGLETRANSLATE(A490, ""nl"", ""en"")"),"Architectural and Structural Associations")</f>
        <v>Architectural and Structural Associations</v>
      </c>
      <c r="E490" s="3" t="str">
        <f>IFERROR(__xludf.DUMMYFUNCTION("GOOGLETRANSLATE(B490, ""nl"", ""en"")"),"An endless labyrinth")</f>
        <v>An endless labyrinth</v>
      </c>
    </row>
    <row r="491" ht="15.75" customHeight="1">
      <c r="A491" s="3" t="s">
        <v>12</v>
      </c>
      <c r="B491" s="3" t="s">
        <v>13</v>
      </c>
      <c r="D491" s="3" t="str">
        <f>IFERROR(__xludf.DUMMYFUNCTION("GOOGLETRANSLATE(A491, ""nl"", ""en"")"),"Nature and Elements")</f>
        <v>Nature and Elements</v>
      </c>
      <c r="E491" s="3" t="str">
        <f>IFERROR(__xludf.DUMMYFUNCTION("GOOGLETRANSLATE(B491, ""nl"", ""en"")"),"A lightning strike in slow motion")</f>
        <v>A lightning strike in slow motion</v>
      </c>
    </row>
    <row r="492" ht="15.75" customHeight="1">
      <c r="A492" s="3" t="s">
        <v>4</v>
      </c>
      <c r="B492" s="3" t="s">
        <v>21</v>
      </c>
      <c r="D492" s="3" t="str">
        <f>IFERROR(__xludf.DUMMYFUNCTION("GOOGLETRANSLATE(A492, ""nl"", ""en"")"),"Architectural and Structural Associations")</f>
        <v>Architectural and Structural Associations</v>
      </c>
      <c r="E492" s="3" t="str">
        <f>IFERROR(__xludf.DUMMYFUNCTION("GOOGLETRANSLATE(B492, ""nl"", ""en"")"),"A bridge that leads nowhere")</f>
        <v>A bridge that leads nowhere</v>
      </c>
    </row>
    <row r="493" ht="15.75" customHeight="1">
      <c r="A493" s="3" t="s">
        <v>4</v>
      </c>
      <c r="B493" s="3" t="s">
        <v>44</v>
      </c>
      <c r="D493" s="3" t="str">
        <f>IFERROR(__xludf.DUMMYFUNCTION("GOOGLETRANSLATE(A493, ""nl"", ""en"")"),"Architectural and Structural Associations")</f>
        <v>Architectural and Structural Associations</v>
      </c>
      <c r="E493" s="3" t="str">
        <f>IFERROR(__xludf.DUMMYFUNCTION("GOOGLETRANSLATE(B493, ""nl"", ""en"")"),"A structure that pulsates in waves")</f>
        <v>A structure that pulsates in waves</v>
      </c>
    </row>
    <row r="494" ht="15.75" customHeight="1">
      <c r="A494" s="3" t="s">
        <v>7</v>
      </c>
      <c r="B494" s="3" t="s">
        <v>41</v>
      </c>
      <c r="D494" s="3" t="str">
        <f>IFERROR(__xludf.DUMMYFUNCTION("GOOGLETRANSLATE(A494, ""nl"", ""en"")"),"Human Figures and Physicality")</f>
        <v>Human Figures and Physicality</v>
      </c>
      <c r="E494" s="3" t="str">
        <f>IFERROR(__xludf.DUMMYFUNCTION("GOOGLETRANSLATE(B494, ""nl"", ""en"")"),"A face that fades into abstraction")</f>
        <v>A face that fades into abstraction</v>
      </c>
    </row>
    <row r="495" ht="15.75" customHeight="1">
      <c r="A495" s="3" t="s">
        <v>24</v>
      </c>
      <c r="B495" s="3" t="s">
        <v>25</v>
      </c>
      <c r="D495" s="3" t="str">
        <f>IFERROR(__xludf.DUMMYFUNCTION("GOOGLETRANSLATE(A495, ""nl"", ""en"")"),"Cosmic and Abstract Patterns")</f>
        <v>Cosmic and Abstract Patterns</v>
      </c>
      <c r="E495" s="3" t="str">
        <f>IFERROR(__xludf.DUMMYFUNCTION("GOOGLETRANSLATE(B495, ""nl"", ""en"")"),"A meteor shower dissolving into each other")</f>
        <v>A meteor shower dissolving into each other</v>
      </c>
    </row>
    <row r="496" ht="15.75" customHeight="1">
      <c r="A496" s="3" t="s">
        <v>7</v>
      </c>
      <c r="B496" s="3" t="s">
        <v>56</v>
      </c>
      <c r="D496" s="3" t="str">
        <f>IFERROR(__xludf.DUMMYFUNCTION("GOOGLETRANSLATE(A496, ""nl"", ""en"")"),"Human Figures and Physicality")</f>
        <v>Human Figures and Physicality</v>
      </c>
      <c r="E496" s="3" t="str">
        <f>IFERROR(__xludf.DUMMYFUNCTION("GOOGLETRANSLATE(B496, ""nl"", ""en"")"),"A shadow that seems to move")</f>
        <v>A shadow that seems to move</v>
      </c>
    </row>
    <row r="497" ht="15.75" customHeight="1">
      <c r="A497" s="3" t="s">
        <v>12</v>
      </c>
      <c r="B497" s="3" t="s">
        <v>18</v>
      </c>
      <c r="D497" s="3" t="str">
        <f>IFERROR(__xludf.DUMMYFUNCTION("GOOGLETRANSLATE(A497, ""nl"", ""en"")"),"Nature and Elements")</f>
        <v>Nature and Elements</v>
      </c>
      <c r="E497" s="3" t="str">
        <f>IFERROR(__xludf.DUMMYFUNCTION("GOOGLETRANSLATE(B497, ""nl"", ""en"")"),"A tree with endless branches")</f>
        <v>A tree with endless branches</v>
      </c>
    </row>
    <row r="498" ht="15.75" customHeight="1">
      <c r="A498" s="3" t="s">
        <v>12</v>
      </c>
      <c r="B498" s="3" t="s">
        <v>51</v>
      </c>
      <c r="D498" s="3" t="str">
        <f>IFERROR(__xludf.DUMMYFUNCTION("GOOGLETRANSLATE(A498, ""nl"", ""en"")"),"Nature and Elements")</f>
        <v>Nature and Elements</v>
      </c>
      <c r="E498" s="3" t="str">
        <f>IFERROR(__xludf.DUMMYFUNCTION("GOOGLETRANSLATE(B498, ""nl"", ""en"")"),"An evaporating puddle of water")</f>
        <v>An evaporating puddle of water</v>
      </c>
    </row>
    <row r="499" ht="15.75" customHeight="1">
      <c r="A499" s="3" t="s">
        <v>4</v>
      </c>
      <c r="B499" s="3" t="s">
        <v>35</v>
      </c>
      <c r="D499" s="3" t="str">
        <f>IFERROR(__xludf.DUMMYFUNCTION("GOOGLETRANSLATE(A499, ""nl"", ""en"")"),"Architectural and Structural Associations")</f>
        <v>Architectural and Structural Associations</v>
      </c>
      <c r="E499" s="3" t="str">
        <f>IFERROR(__xludf.DUMMYFUNCTION("GOOGLETRANSLATE(B499, ""nl"", ""en"")"),"A floating building without a base")</f>
        <v>A floating building without a base</v>
      </c>
    </row>
    <row r="500" ht="15.75" customHeight="1">
      <c r="A500" s="3" t="s">
        <v>24</v>
      </c>
      <c r="B500" s="3" t="s">
        <v>32</v>
      </c>
      <c r="D500" s="3" t="str">
        <f>IFERROR(__xludf.DUMMYFUNCTION("GOOGLETRANSLATE(A500, ""nl"", ""en"")"),"Cosmic and Abstract Patterns")</f>
        <v>Cosmic and Abstract Patterns</v>
      </c>
      <c r="E500" s="3" t="str">
        <f>IFERROR(__xludf.DUMMYFUNCTION("GOOGLETRANSLATE(B500, ""nl"", ""en"")"),"A time loop captured in image")</f>
        <v>A time loop captured in image</v>
      </c>
    </row>
    <row r="501" ht="15.75" customHeight="1">
      <c r="A501" s="3" t="s">
        <v>12</v>
      </c>
      <c r="B501" s="3" t="s">
        <v>51</v>
      </c>
      <c r="D501" s="3" t="str">
        <f>IFERROR(__xludf.DUMMYFUNCTION("GOOGLETRANSLATE(A501, ""nl"", ""en"")"),"Nature and Elements")</f>
        <v>Nature and Elements</v>
      </c>
      <c r="E501" s="3" t="str">
        <f>IFERROR(__xludf.DUMMYFUNCTION("GOOGLETRANSLATE(B501, ""nl"", ""en"")"),"An evaporating puddle of water")</f>
        <v>An evaporating puddle of water</v>
      </c>
    </row>
    <row r="502" ht="15.75" customHeight="1">
      <c r="A502" s="3" t="s">
        <v>24</v>
      </c>
      <c r="B502" s="3" t="s">
        <v>48</v>
      </c>
      <c r="D502" s="3" t="str">
        <f>IFERROR(__xludf.DUMMYFUNCTION("GOOGLETRANSLATE(A502, ""nl"", ""en"")"),"Cosmic and Abstract Patterns")</f>
        <v>Cosmic and Abstract Patterns</v>
      </c>
      <c r="E502" s="3" t="str">
        <f>IFERROR(__xludf.DUMMYFUNCTION("GOOGLETRANSLATE(B502, ""nl"", ""en"")"),"A fractal that repeats itself")</f>
        <v>A fractal that repeats itself</v>
      </c>
    </row>
    <row r="503" ht="15.75" customHeight="1">
      <c r="A503" s="3" t="s">
        <v>9</v>
      </c>
      <c r="B503" s="3" t="s">
        <v>14</v>
      </c>
      <c r="D503" s="3" t="str">
        <f>IFERROR(__xludf.DUMMYFUNCTION("GOOGLETRANSLATE(A503, ""nl"", ""en"")"),"Psychological and Emotional Interpretations")</f>
        <v>Psychological and Emotional Interpretations</v>
      </c>
      <c r="E503" s="3" t="str">
        <f>IFERROR(__xludf.DUMMYFUNCTION("GOOGLETRANSLATE(B503, ""nl"", ""en"")"),"An unclear hug")</f>
        <v>An unclear hug</v>
      </c>
    </row>
    <row r="504" ht="15.75" customHeight="1">
      <c r="A504" s="3" t="s">
        <v>9</v>
      </c>
      <c r="B504" s="3" t="s">
        <v>37</v>
      </c>
      <c r="D504" s="3" t="str">
        <f>IFERROR(__xludf.DUMMYFUNCTION("GOOGLETRANSLATE(A504, ""nl"", ""en"")"),"Psychological and Emotional Interpretations")</f>
        <v>Psychological and Emotional Interpretations</v>
      </c>
      <c r="E504" s="3" t="str">
        <f>IFERROR(__xludf.DUMMYFUNCTION("GOOGLETRANSLATE(B504, ""nl"", ""en"")"),"A figure looking through itself")</f>
        <v>A figure looking through itself</v>
      </c>
    </row>
    <row r="505" ht="15.75" customHeight="1">
      <c r="A505" s="3" t="s">
        <v>7</v>
      </c>
      <c r="B505" s="3" t="s">
        <v>34</v>
      </c>
      <c r="D505" s="3" t="str">
        <f>IFERROR(__xludf.DUMMYFUNCTION("GOOGLETRANSLATE(A505, ""nl"", ""en"")"),"Human Figures and Physicality")</f>
        <v>Human Figures and Physicality</v>
      </c>
      <c r="E505" s="3" t="str">
        <f>IFERROR(__xludf.DUMMYFUNCTION("GOOGLETRANSLATE(B505, ""nl"", ""en"")"),"Hands almost touching")</f>
        <v>Hands almost touching</v>
      </c>
    </row>
    <row r="506" ht="15.75" customHeight="1">
      <c r="A506" s="3" t="s">
        <v>15</v>
      </c>
      <c r="B506" s="3" t="s">
        <v>45</v>
      </c>
      <c r="D506" s="3" t="str">
        <f>IFERROR(__xludf.DUMMYFUNCTION("GOOGLETRANSLATE(A506, ""nl"", ""en"")"),"Animals and Organic Forms")</f>
        <v>Animals and Organic Forms</v>
      </c>
      <c r="E506" s="3" t="str">
        <f>IFERROR(__xludf.DUMMYFUNCTION("GOOGLETRANSLATE(B506, ""nl"", ""en"")"),"A snake biting its own tail")</f>
        <v>A snake biting its own tail</v>
      </c>
    </row>
    <row r="507" ht="15.75" customHeight="1">
      <c r="A507" s="3" t="s">
        <v>9</v>
      </c>
      <c r="B507" s="3" t="s">
        <v>10</v>
      </c>
      <c r="D507" s="3" t="str">
        <f>IFERROR(__xludf.DUMMYFUNCTION("GOOGLETRANSLATE(A507, ""nl"", ""en"")"),"Psychological and Emotional Interpretations")</f>
        <v>Psychological and Emotional Interpretations</v>
      </c>
      <c r="E507" s="3" t="str">
        <f>IFERROR(__xludf.DUMMYFUNCTION("GOOGLETRANSLATE(B507, ""nl"", ""en"")"),"A face transforming in light")</f>
        <v>A face transforming in light</v>
      </c>
    </row>
    <row r="508" ht="15.75" customHeight="1">
      <c r="A508" s="3" t="s">
        <v>9</v>
      </c>
      <c r="B508" s="3" t="s">
        <v>37</v>
      </c>
      <c r="D508" s="3" t="str">
        <f>IFERROR(__xludf.DUMMYFUNCTION("GOOGLETRANSLATE(A508, ""nl"", ""en"")"),"Psychological and Emotional Interpretations")</f>
        <v>Psychological and Emotional Interpretations</v>
      </c>
      <c r="E508" s="3" t="str">
        <f>IFERROR(__xludf.DUMMYFUNCTION("GOOGLETRANSLATE(B508, ""nl"", ""en"")"),"A figure looking through itself")</f>
        <v>A figure looking through itself</v>
      </c>
    </row>
    <row r="509" ht="15.75" customHeight="1">
      <c r="A509" s="3" t="s">
        <v>7</v>
      </c>
      <c r="B509" s="3" t="s">
        <v>28</v>
      </c>
      <c r="D509" s="3" t="str">
        <f>IFERROR(__xludf.DUMMYFUNCTION("GOOGLETRANSLATE(A509, ""nl"", ""en"")"),"Human Figures and Physicality")</f>
        <v>Human Figures and Physicality</v>
      </c>
      <c r="E509" s="3" t="str">
        <f>IFERROR(__xludf.DUMMYFUNCTION("GOOGLETRANSLATE(B509, ""nl"", ""en"")"),"A dancing silhouette")</f>
        <v>A dancing silhouette</v>
      </c>
    </row>
    <row r="510" ht="15.75" customHeight="1">
      <c r="A510" s="3" t="s">
        <v>12</v>
      </c>
      <c r="B510" s="3" t="s">
        <v>51</v>
      </c>
      <c r="D510" s="3" t="str">
        <f>IFERROR(__xludf.DUMMYFUNCTION("GOOGLETRANSLATE(A510, ""nl"", ""en"")"),"Nature and Elements")</f>
        <v>Nature and Elements</v>
      </c>
      <c r="E510" s="3" t="str">
        <f>IFERROR(__xludf.DUMMYFUNCTION("GOOGLETRANSLATE(B510, ""nl"", ""en"")"),"An evaporating puddle of water")</f>
        <v>An evaporating puddle of water</v>
      </c>
    </row>
    <row r="511" ht="15.75" customHeight="1">
      <c r="A511" s="3" t="s">
        <v>7</v>
      </c>
      <c r="B511" s="3" t="s">
        <v>28</v>
      </c>
      <c r="D511" s="3" t="str">
        <f>IFERROR(__xludf.DUMMYFUNCTION("GOOGLETRANSLATE(A511, ""nl"", ""en"")"),"Human Figures and Physicality")</f>
        <v>Human Figures and Physicality</v>
      </c>
      <c r="E511" s="3" t="str">
        <f>IFERROR(__xludf.DUMMYFUNCTION("GOOGLETRANSLATE(B511, ""nl"", ""en"")"),"A dancing silhouette")</f>
        <v>A dancing silhouette</v>
      </c>
    </row>
    <row r="512" ht="15.75" customHeight="1">
      <c r="A512" s="3" t="s">
        <v>7</v>
      </c>
      <c r="B512" s="3" t="s">
        <v>40</v>
      </c>
      <c r="D512" s="3" t="str">
        <f>IFERROR(__xludf.DUMMYFUNCTION("GOOGLETRANSLATE(A512, ""nl"", ""en"")"),"Human Figures and Physicality")</f>
        <v>Human Figures and Physicality</v>
      </c>
      <c r="E512" s="3" t="str">
        <f>IFERROR(__xludf.DUMMYFUNCTION("GOOGLETRANSLATE(B512, ""nl"", ""en"")"),"A figure who is withdrawn into himself")</f>
        <v>A figure who is withdrawn into himself</v>
      </c>
    </row>
    <row r="513" ht="15.75" customHeight="1">
      <c r="A513" s="3" t="s">
        <v>4</v>
      </c>
      <c r="B513" s="3" t="s">
        <v>44</v>
      </c>
      <c r="D513" s="3" t="str">
        <f>IFERROR(__xludf.DUMMYFUNCTION("GOOGLETRANSLATE(A513, ""nl"", ""en"")"),"Architectural and Structural Associations")</f>
        <v>Architectural and Structural Associations</v>
      </c>
      <c r="E513" s="3" t="str">
        <f>IFERROR(__xludf.DUMMYFUNCTION("GOOGLETRANSLATE(B513, ""nl"", ""en"")"),"A structure that pulsates in waves")</f>
        <v>A structure that pulsates in waves</v>
      </c>
    </row>
    <row r="514" ht="15.75" customHeight="1">
      <c r="A514" s="3" t="s">
        <v>15</v>
      </c>
      <c r="B514" s="3" t="s">
        <v>22</v>
      </c>
      <c r="D514" s="3" t="str">
        <f>IFERROR(__xludf.DUMMYFUNCTION("GOOGLETRANSLATE(A514, ""nl"", ""en"")"),"Animals and Organic Forms")</f>
        <v>Animals and Organic Forms</v>
      </c>
      <c r="E514" s="3" t="str">
        <f>IFERROR(__xludf.DUMMYFUNCTION("GOOGLETRANSLATE(B514, ""nl"", ""en"")"),"A bird taking off")</f>
        <v>A bird taking off</v>
      </c>
    </row>
    <row r="515" ht="15.75" customHeight="1">
      <c r="A515" s="3" t="s">
        <v>12</v>
      </c>
      <c r="B515" s="3" t="s">
        <v>13</v>
      </c>
      <c r="D515" s="3" t="str">
        <f>IFERROR(__xludf.DUMMYFUNCTION("GOOGLETRANSLATE(A515, ""nl"", ""en"")"),"Nature and Elements")</f>
        <v>Nature and Elements</v>
      </c>
      <c r="E515" s="3" t="str">
        <f>IFERROR(__xludf.DUMMYFUNCTION("GOOGLETRANSLATE(B515, ""nl"", ""en"")"),"A lightning strike in slow motion")</f>
        <v>A lightning strike in slow motion</v>
      </c>
    </row>
    <row r="516" ht="15.75" customHeight="1">
      <c r="A516" s="3" t="s">
        <v>15</v>
      </c>
      <c r="B516" s="3" t="s">
        <v>22</v>
      </c>
      <c r="D516" s="3" t="str">
        <f>IFERROR(__xludf.DUMMYFUNCTION("GOOGLETRANSLATE(A516, ""nl"", ""en"")"),"Animals and Organic Forms")</f>
        <v>Animals and Organic Forms</v>
      </c>
      <c r="E516" s="3" t="str">
        <f>IFERROR(__xludf.DUMMYFUNCTION("GOOGLETRANSLATE(B516, ""nl"", ""en"")"),"A bird taking off")</f>
        <v>A bird taking off</v>
      </c>
    </row>
    <row r="517" ht="15.75" customHeight="1">
      <c r="A517" s="3" t="s">
        <v>4</v>
      </c>
      <c r="B517" s="3" t="s">
        <v>55</v>
      </c>
      <c r="D517" s="3" t="str">
        <f>IFERROR(__xludf.DUMMYFUNCTION("GOOGLETRANSLATE(A517, ""nl"", ""en"")"),"Architectural and Structural Associations")</f>
        <v>Architectural and Structural Associations</v>
      </c>
      <c r="E517" s="3" t="str">
        <f>IFERROR(__xludf.DUMMYFUNCTION("GOOGLETRANSLATE(B517, ""nl"", ""en"")"),"A prism that splits light into colors")</f>
        <v>A prism that splits light into colors</v>
      </c>
    </row>
    <row r="518" ht="15.75" customHeight="1">
      <c r="A518" s="3" t="s">
        <v>9</v>
      </c>
      <c r="B518" s="3" t="s">
        <v>49</v>
      </c>
      <c r="D518" s="3" t="str">
        <f>IFERROR(__xludf.DUMMYFUNCTION("GOOGLETRANSLATE(A518, ""nl"", ""en"")"),"Psychological and Emotional Interpretations")</f>
        <v>Psychological and Emotional Interpretations</v>
      </c>
      <c r="E518" s="3" t="str">
        <f>IFERROR(__xludf.DUMMYFUNCTION("GOOGLETRANSLATE(B518, ""nl"", ""en"")"),"A spiral that turns inward")</f>
        <v>A spiral that turns inward</v>
      </c>
    </row>
    <row r="519" ht="15.75" customHeight="1">
      <c r="A519" s="3" t="s">
        <v>15</v>
      </c>
      <c r="B519" s="3" t="s">
        <v>46</v>
      </c>
      <c r="D519" s="3" t="str">
        <f>IFERROR(__xludf.DUMMYFUNCTION("GOOGLETRANSLATE(A519, ""nl"", ""en"")"),"Animals and Organic Forms")</f>
        <v>Animals and Organic Forms</v>
      </c>
      <c r="E519" s="3" t="str">
        <f>IFERROR(__xludf.DUMMYFUNCTION("GOOGLETRANSLATE(B519, ""nl"", ""en"")"),"A flock of fish moving as one")</f>
        <v>A flock of fish moving as one</v>
      </c>
    </row>
    <row r="520" ht="15.75" customHeight="1">
      <c r="A520" s="3" t="s">
        <v>9</v>
      </c>
      <c r="B520" s="3" t="s">
        <v>37</v>
      </c>
      <c r="D520" s="3" t="str">
        <f>IFERROR(__xludf.DUMMYFUNCTION("GOOGLETRANSLATE(A520, ""nl"", ""en"")"),"Psychological and Emotional Interpretations")</f>
        <v>Psychological and Emotional Interpretations</v>
      </c>
      <c r="E520" s="3" t="str">
        <f>IFERROR(__xludf.DUMMYFUNCTION("GOOGLETRANSLATE(B520, ""nl"", ""en"")"),"A figure looking through itself")</f>
        <v>A figure looking through itself</v>
      </c>
    </row>
    <row r="521" ht="15.75" customHeight="1">
      <c r="A521" s="3" t="s">
        <v>15</v>
      </c>
      <c r="B521" s="3" t="s">
        <v>50</v>
      </c>
      <c r="D521" s="3" t="str">
        <f>IFERROR(__xludf.DUMMYFUNCTION("GOOGLETRANSLATE(A521, ""nl"", ""en"")"),"Animals and Organic Forms")</f>
        <v>Animals and Organic Forms</v>
      </c>
      <c r="E521" s="3" t="str">
        <f>IFERROR(__xludf.DUMMYFUNCTION("GOOGLETRANSLATE(B521, ""nl"", ""en"")"),"A squid with extended tentacles")</f>
        <v>A squid with extended tentacles</v>
      </c>
    </row>
    <row r="522" ht="15.75" customHeight="1">
      <c r="A522" s="3" t="s">
        <v>4</v>
      </c>
      <c r="B522" s="3" t="s">
        <v>35</v>
      </c>
      <c r="D522" s="3" t="str">
        <f>IFERROR(__xludf.DUMMYFUNCTION("GOOGLETRANSLATE(A522, ""nl"", ""en"")"),"Architectural and Structural Associations")</f>
        <v>Architectural and Structural Associations</v>
      </c>
      <c r="E522" s="3" t="str">
        <f>IFERROR(__xludf.DUMMYFUNCTION("GOOGLETRANSLATE(B522, ""nl"", ""en"")"),"A floating building without a base")</f>
        <v>A floating building without a base</v>
      </c>
    </row>
    <row r="523" ht="15.75" customHeight="1">
      <c r="A523" s="3" t="s">
        <v>4</v>
      </c>
      <c r="B523" s="3" t="s">
        <v>6</v>
      </c>
      <c r="D523" s="3" t="str">
        <f>IFERROR(__xludf.DUMMYFUNCTION("GOOGLETRANSLATE(A523, ""nl"", ""en"")"),"Architectural and Structural Associations")</f>
        <v>Architectural and Structural Associations</v>
      </c>
      <c r="E523" s="3" t="str">
        <f>IFERROR(__xludf.DUMMYFUNCTION("GOOGLETRANSLATE(B523, ""nl"", ""en"")"),"An endless labyrinth")</f>
        <v>An endless labyrinth</v>
      </c>
    </row>
    <row r="524" ht="15.75" customHeight="1">
      <c r="A524" s="3" t="s">
        <v>9</v>
      </c>
      <c r="B524" s="3" t="s">
        <v>14</v>
      </c>
      <c r="D524" s="3" t="str">
        <f>IFERROR(__xludf.DUMMYFUNCTION("GOOGLETRANSLATE(A524, ""nl"", ""en"")"),"Psychological and Emotional Interpretations")</f>
        <v>Psychological and Emotional Interpretations</v>
      </c>
      <c r="E524" s="3" t="str">
        <f>IFERROR(__xludf.DUMMYFUNCTION("GOOGLETRANSLATE(B524, ""nl"", ""en"")"),"An unclear hug")</f>
        <v>An unclear hug</v>
      </c>
    </row>
    <row r="525" ht="15.75" customHeight="1">
      <c r="A525" s="3" t="s">
        <v>9</v>
      </c>
      <c r="B525" s="3" t="s">
        <v>57</v>
      </c>
      <c r="D525" s="3" t="str">
        <f>IFERROR(__xludf.DUMMYFUNCTION("GOOGLETRANSLATE(A525, ""nl"", ""en"")"),"Psychological and Emotional Interpretations")</f>
        <v>Psychological and Emotional Interpretations</v>
      </c>
      <c r="E525" s="3" t="str">
        <f>IFERROR(__xludf.DUMMYFUNCTION("GOOGLETRANSLATE(B525, ""nl"", ""en"")"),"An explosion of colours and feelings")</f>
        <v>An explosion of colours and feelings</v>
      </c>
    </row>
    <row r="526" ht="15.75" customHeight="1">
      <c r="A526" s="3" t="s">
        <v>9</v>
      </c>
      <c r="B526" s="3" t="s">
        <v>11</v>
      </c>
      <c r="D526" s="3" t="str">
        <f>IFERROR(__xludf.DUMMYFUNCTION("GOOGLETRANSLATE(A526, ""nl"", ""en"")"),"Psychological and Emotional Interpretations")</f>
        <v>Psychological and Emotional Interpretations</v>
      </c>
      <c r="E526" s="3" t="str">
        <f>IFERROR(__xludf.DUMMYFUNCTION("GOOGLETRANSLATE(B526, ""nl"", ""en"")"),"An emotion captured in abstraction")</f>
        <v>An emotion captured in abstraction</v>
      </c>
    </row>
    <row r="527" ht="15.75" customHeight="1">
      <c r="A527" s="3" t="s">
        <v>15</v>
      </c>
      <c r="B527" s="3" t="s">
        <v>50</v>
      </c>
      <c r="D527" s="3" t="str">
        <f>IFERROR(__xludf.DUMMYFUNCTION("GOOGLETRANSLATE(A527, ""nl"", ""en"")"),"Animals and Organic Forms")</f>
        <v>Animals and Organic Forms</v>
      </c>
      <c r="E527" s="3" t="str">
        <f>IFERROR(__xludf.DUMMYFUNCTION("GOOGLETRANSLATE(B527, ""nl"", ""en"")"),"A squid with extended tentacles")</f>
        <v>A squid with extended tentacles</v>
      </c>
    </row>
    <row r="528" ht="15.75" customHeight="1">
      <c r="A528" s="3" t="s">
        <v>7</v>
      </c>
      <c r="B528" s="3" t="s">
        <v>40</v>
      </c>
      <c r="D528" s="3" t="str">
        <f>IFERROR(__xludf.DUMMYFUNCTION("GOOGLETRANSLATE(A528, ""nl"", ""en"")"),"Human Figures and Physicality")</f>
        <v>Human Figures and Physicality</v>
      </c>
      <c r="E528" s="3" t="str">
        <f>IFERROR(__xludf.DUMMYFUNCTION("GOOGLETRANSLATE(B528, ""nl"", ""en"")"),"A figure who is withdrawn into himself")</f>
        <v>A figure who is withdrawn into himself</v>
      </c>
    </row>
    <row r="529" ht="15.75" customHeight="1">
      <c r="A529" s="3" t="s">
        <v>4</v>
      </c>
      <c r="B529" s="3" t="s">
        <v>5</v>
      </c>
      <c r="D529" s="3" t="str">
        <f>IFERROR(__xludf.DUMMYFUNCTION("GOOGLETRANSLATE(A529, ""nl"", ""en"")"),"Architectural and Structural Associations")</f>
        <v>Architectural and Structural Associations</v>
      </c>
      <c r="E529" s="3" t="str">
        <f>IFERROR(__xludf.DUMMYFUNCTION("GOOGLETRANSLATE(B529, ""nl"", ""en"")"),"A cathedral shaped from mist")</f>
        <v>A cathedral shaped from mist</v>
      </c>
    </row>
    <row r="530" ht="15.75" customHeight="1">
      <c r="A530" s="3" t="s">
        <v>7</v>
      </c>
      <c r="B530" s="3" t="s">
        <v>34</v>
      </c>
      <c r="D530" s="3" t="str">
        <f>IFERROR(__xludf.DUMMYFUNCTION("GOOGLETRANSLATE(A530, ""nl"", ""en"")"),"Human Figures and Physicality")</f>
        <v>Human Figures and Physicality</v>
      </c>
      <c r="E530" s="3" t="str">
        <f>IFERROR(__xludf.DUMMYFUNCTION("GOOGLETRANSLATE(B530, ""nl"", ""en"")"),"Hands almost touching")</f>
        <v>Hands almost touching</v>
      </c>
    </row>
    <row r="531" ht="15.75" customHeight="1">
      <c r="A531" s="3" t="s">
        <v>12</v>
      </c>
      <c r="B531" s="3" t="s">
        <v>23</v>
      </c>
      <c r="D531" s="3" t="str">
        <f>IFERROR(__xludf.DUMMYFUNCTION("GOOGLETRANSLATE(A531, ""nl"", ""en"")"),"Nature and Elements")</f>
        <v>Nature and Elements</v>
      </c>
      <c r="E531" s="3" t="str">
        <f>IFERROR(__xludf.DUMMYFUNCTION("GOOGLETRANSLATE(B531, ""nl"", ""en"")"),"A storm cloud splitting in two")</f>
        <v>A storm cloud splitting in two</v>
      </c>
    </row>
    <row r="532" ht="15.75" customHeight="1">
      <c r="A532" s="3" t="s">
        <v>15</v>
      </c>
      <c r="B532" s="3" t="s">
        <v>16</v>
      </c>
      <c r="D532" s="3" t="str">
        <f>IFERROR(__xludf.DUMMYFUNCTION("GOOGLETRANSLATE(A532, ""nl"", ""en"")"),"Animals and Organic Forms")</f>
        <v>Animals and Organic Forms</v>
      </c>
      <c r="E532" s="3" t="str">
        <f>IFERROR(__xludf.DUMMYFUNCTION("GOOGLETRANSLATE(B532, ""nl"", ""en"")"),"A butterfly in transformation")</f>
        <v>A butterfly in transformation</v>
      </c>
    </row>
    <row r="533" ht="15.75" customHeight="1">
      <c r="A533" s="3" t="s">
        <v>7</v>
      </c>
      <c r="B533" s="3" t="s">
        <v>56</v>
      </c>
      <c r="D533" s="3" t="str">
        <f>IFERROR(__xludf.DUMMYFUNCTION("GOOGLETRANSLATE(A533, ""nl"", ""en"")"),"Human Figures and Physicality")</f>
        <v>Human Figures and Physicality</v>
      </c>
      <c r="E533" s="3" t="str">
        <f>IFERROR(__xludf.DUMMYFUNCTION("GOOGLETRANSLATE(B533, ""nl"", ""en"")"),"A shadow that seems to move")</f>
        <v>A shadow that seems to move</v>
      </c>
    </row>
    <row r="534" ht="15.75" customHeight="1">
      <c r="A534" s="3" t="s">
        <v>12</v>
      </c>
      <c r="B534" s="3" t="s">
        <v>18</v>
      </c>
      <c r="D534" s="3" t="str">
        <f>IFERROR(__xludf.DUMMYFUNCTION("GOOGLETRANSLATE(A534, ""nl"", ""en"")"),"Nature and Elements")</f>
        <v>Nature and Elements</v>
      </c>
      <c r="E534" s="3" t="str">
        <f>IFERROR(__xludf.DUMMYFUNCTION("GOOGLETRANSLATE(B534, ""nl"", ""en"")"),"A tree with endless branches")</f>
        <v>A tree with endless branches</v>
      </c>
    </row>
    <row r="535" ht="15.75" customHeight="1">
      <c r="A535" s="3" t="s">
        <v>9</v>
      </c>
      <c r="B535" s="3" t="s">
        <v>14</v>
      </c>
      <c r="D535" s="3" t="str">
        <f>IFERROR(__xludf.DUMMYFUNCTION("GOOGLETRANSLATE(A535, ""nl"", ""en"")"),"Psychological and Emotional Interpretations")</f>
        <v>Psychological and Emotional Interpretations</v>
      </c>
      <c r="E535" s="3" t="str">
        <f>IFERROR(__xludf.DUMMYFUNCTION("GOOGLETRANSLATE(B535, ""nl"", ""en"")"),"An unclear hug")</f>
        <v>An unclear hug</v>
      </c>
    </row>
    <row r="536" ht="15.75" customHeight="1">
      <c r="A536" s="3" t="s">
        <v>15</v>
      </c>
      <c r="B536" s="3" t="s">
        <v>52</v>
      </c>
      <c r="D536" s="3" t="str">
        <f>IFERROR(__xludf.DUMMYFUNCTION("GOOGLETRANSLATE(A536, ""nl"", ""en"")"),"Animals and Organic Forms")</f>
        <v>Animals and Organic Forms</v>
      </c>
      <c r="E536" s="3" t="str">
        <f>IFERROR(__xludf.DUMMYFUNCTION("GOOGLETRANSLATE(B536, ""nl"", ""en"")"),"A mask made of leaves")</f>
        <v>A mask made of leaves</v>
      </c>
    </row>
    <row r="537" ht="15.75" customHeight="1">
      <c r="A537" s="3" t="s">
        <v>4</v>
      </c>
      <c r="B537" s="3" t="s">
        <v>35</v>
      </c>
      <c r="D537" s="3" t="str">
        <f>IFERROR(__xludf.DUMMYFUNCTION("GOOGLETRANSLATE(A537, ""nl"", ""en"")"),"Architectural and Structural Associations")</f>
        <v>Architectural and Structural Associations</v>
      </c>
      <c r="E537" s="3" t="str">
        <f>IFERROR(__xludf.DUMMYFUNCTION("GOOGLETRANSLATE(B537, ""nl"", ""en"")"),"A floating building without a base")</f>
        <v>A floating building without a base</v>
      </c>
    </row>
    <row r="538" ht="15.75" customHeight="1">
      <c r="A538" s="3" t="s">
        <v>7</v>
      </c>
      <c r="B538" s="3" t="s">
        <v>56</v>
      </c>
      <c r="D538" s="3" t="str">
        <f>IFERROR(__xludf.DUMMYFUNCTION("GOOGLETRANSLATE(A538, ""nl"", ""en"")"),"Human Figures and Physicality")</f>
        <v>Human Figures and Physicality</v>
      </c>
      <c r="E538" s="3" t="str">
        <f>IFERROR(__xludf.DUMMYFUNCTION("GOOGLETRANSLATE(B538, ""nl"", ""en"")"),"A shadow that seems to move")</f>
        <v>A shadow that seems to move</v>
      </c>
    </row>
    <row r="539" ht="15.75" customHeight="1">
      <c r="A539" s="3" t="s">
        <v>7</v>
      </c>
      <c r="B539" s="3" t="s">
        <v>40</v>
      </c>
      <c r="D539" s="3" t="str">
        <f>IFERROR(__xludf.DUMMYFUNCTION("GOOGLETRANSLATE(A539, ""nl"", ""en"")"),"Human Figures and Physicality")</f>
        <v>Human Figures and Physicality</v>
      </c>
      <c r="E539" s="3" t="str">
        <f>IFERROR(__xludf.DUMMYFUNCTION("GOOGLETRANSLATE(B539, ""nl"", ""en"")"),"A figure who is withdrawn into himself")</f>
        <v>A figure who is withdrawn into himself</v>
      </c>
    </row>
    <row r="540" ht="15.75" customHeight="1">
      <c r="A540" s="3" t="s">
        <v>12</v>
      </c>
      <c r="B540" s="3" t="s">
        <v>36</v>
      </c>
      <c r="D540" s="3" t="str">
        <f>IFERROR(__xludf.DUMMYFUNCTION("GOOGLETRANSLATE(A540, ""nl"", ""en"")"),"Nature and Elements")</f>
        <v>Nature and Elements</v>
      </c>
      <c r="E540" s="3" t="str">
        <f>IFERROR(__xludf.DUMMYFUNCTION("GOOGLETRANSLATE(B540, ""nl"", ""en"")"),"A river delta from a bird's-eye view")</f>
        <v>A river delta from a bird's-eye view</v>
      </c>
    </row>
    <row r="541" ht="15.75" customHeight="1">
      <c r="A541" s="3" t="s">
        <v>9</v>
      </c>
      <c r="B541" s="3" t="s">
        <v>17</v>
      </c>
      <c r="D541" s="3" t="str">
        <f>IFERROR(__xludf.DUMMYFUNCTION("GOOGLETRANSLATE(A541, ""nl"", ""en"")"),"Psychological and Emotional Interpretations")</f>
        <v>Psychological and Emotional Interpretations</v>
      </c>
      <c r="E541" s="3" t="str">
        <f>IFERROR(__xludf.DUMMYFUNCTION("GOOGLETRANSLATE(B541, ""nl"", ""en"")"),"A figure that seems to melt")</f>
        <v>A figure that seems to melt</v>
      </c>
    </row>
    <row r="542" ht="15.75" customHeight="1">
      <c r="A542" s="3" t="s">
        <v>24</v>
      </c>
      <c r="B542" s="3" t="s">
        <v>27</v>
      </c>
      <c r="D542" s="3" t="str">
        <f>IFERROR(__xludf.DUMMYFUNCTION("GOOGLETRANSLATE(A542, ""nl"", ""en"")"),"Cosmic and Abstract Patterns")</f>
        <v>Cosmic and Abstract Patterns</v>
      </c>
      <c r="E542" s="3" t="str">
        <f>IFERROR(__xludf.DUMMYFUNCTION("GOOGLETRANSLATE(B542, ""nl"", ""en"")"),"A pair of black holes in dance")</f>
        <v>A pair of black holes in dance</v>
      </c>
    </row>
    <row r="543" ht="15.75" customHeight="1">
      <c r="A543" s="3" t="s">
        <v>9</v>
      </c>
      <c r="B543" s="3" t="s">
        <v>49</v>
      </c>
      <c r="D543" s="3" t="str">
        <f>IFERROR(__xludf.DUMMYFUNCTION("GOOGLETRANSLATE(A543, ""nl"", ""en"")"),"Psychological and Emotional Interpretations")</f>
        <v>Psychological and Emotional Interpretations</v>
      </c>
      <c r="E543" s="3" t="str">
        <f>IFERROR(__xludf.DUMMYFUNCTION("GOOGLETRANSLATE(B543, ""nl"", ""en"")"),"A spiral that turns inward")</f>
        <v>A spiral that turns inward</v>
      </c>
    </row>
    <row r="544" ht="15.75" customHeight="1">
      <c r="A544" s="3" t="s">
        <v>12</v>
      </c>
      <c r="B544" s="3" t="s">
        <v>13</v>
      </c>
      <c r="D544" s="3" t="str">
        <f>IFERROR(__xludf.DUMMYFUNCTION("GOOGLETRANSLATE(A544, ""nl"", ""en"")"),"Nature and Elements")</f>
        <v>Nature and Elements</v>
      </c>
      <c r="E544" s="3" t="str">
        <f>IFERROR(__xludf.DUMMYFUNCTION("GOOGLETRANSLATE(B544, ""nl"", ""en"")"),"A lightning strike in slow motion")</f>
        <v>A lightning strike in slow motion</v>
      </c>
    </row>
    <row r="545" ht="15.75" customHeight="1">
      <c r="A545" s="3" t="s">
        <v>4</v>
      </c>
      <c r="B545" s="3" t="s">
        <v>6</v>
      </c>
      <c r="D545" s="3" t="str">
        <f>IFERROR(__xludf.DUMMYFUNCTION("GOOGLETRANSLATE(A545, ""nl"", ""en"")"),"Architectural and Structural Associations")</f>
        <v>Architectural and Structural Associations</v>
      </c>
      <c r="E545" s="3" t="str">
        <f>IFERROR(__xludf.DUMMYFUNCTION("GOOGLETRANSLATE(B545, ""nl"", ""en"")"),"An endless labyrinth")</f>
        <v>An endless labyrinth</v>
      </c>
    </row>
    <row r="546" ht="15.75" customHeight="1">
      <c r="A546" s="3" t="s">
        <v>4</v>
      </c>
      <c r="B546" s="3" t="s">
        <v>5</v>
      </c>
      <c r="D546" s="3" t="str">
        <f>IFERROR(__xludf.DUMMYFUNCTION("GOOGLETRANSLATE(A546, ""nl"", ""en"")"),"Architectural and Structural Associations")</f>
        <v>Architectural and Structural Associations</v>
      </c>
      <c r="E546" s="3" t="str">
        <f>IFERROR(__xludf.DUMMYFUNCTION("GOOGLETRANSLATE(B546, ""nl"", ""en"")"),"A cathedral shaped from mist")</f>
        <v>A cathedral shaped from mist</v>
      </c>
    </row>
    <row r="547" ht="15.75" customHeight="1">
      <c r="A547" s="3" t="s">
        <v>15</v>
      </c>
      <c r="B547" s="3" t="s">
        <v>52</v>
      </c>
      <c r="D547" s="3" t="str">
        <f>IFERROR(__xludf.DUMMYFUNCTION("GOOGLETRANSLATE(A547, ""nl"", ""en"")"),"Animals and Organic Forms")</f>
        <v>Animals and Organic Forms</v>
      </c>
      <c r="E547" s="3" t="str">
        <f>IFERROR(__xludf.DUMMYFUNCTION("GOOGLETRANSLATE(B547, ""nl"", ""en"")"),"A mask made of leaves")</f>
        <v>A mask made of leaves</v>
      </c>
    </row>
    <row r="548" ht="15.75" customHeight="1">
      <c r="A548" s="3" t="s">
        <v>15</v>
      </c>
      <c r="B548" s="3" t="s">
        <v>26</v>
      </c>
      <c r="D548" s="3" t="str">
        <f>IFERROR(__xludf.DUMMYFUNCTION("GOOGLETRANSLATE(A548, ""nl"", ""en"")"),"Animals and Organic Forms")</f>
        <v>Animals and Organic Forms</v>
      </c>
      <c r="E548" s="3" t="str">
        <f>IFERROR(__xludf.DUMMYFUNCTION("GOOGLETRANSLATE(B548, ""nl"", ""en"")"),"A frog preparing to jump")</f>
        <v>A frog preparing to jump</v>
      </c>
    </row>
    <row r="549" ht="15.75" customHeight="1">
      <c r="A549" s="3" t="s">
        <v>15</v>
      </c>
      <c r="B549" s="3" t="s">
        <v>46</v>
      </c>
      <c r="D549" s="3" t="str">
        <f>IFERROR(__xludf.DUMMYFUNCTION("GOOGLETRANSLATE(A549, ""nl"", ""en"")"),"Animals and Organic Forms")</f>
        <v>Animals and Organic Forms</v>
      </c>
      <c r="E549" s="3" t="str">
        <f>IFERROR(__xludf.DUMMYFUNCTION("GOOGLETRANSLATE(B549, ""nl"", ""en"")"),"A flock of fish moving as one")</f>
        <v>A flock of fish moving as one</v>
      </c>
    </row>
    <row r="550" ht="15.75" customHeight="1">
      <c r="A550" s="3" t="s">
        <v>7</v>
      </c>
      <c r="B550" s="3" t="s">
        <v>41</v>
      </c>
      <c r="D550" s="3" t="str">
        <f>IFERROR(__xludf.DUMMYFUNCTION("GOOGLETRANSLATE(A550, ""nl"", ""en"")"),"Human Figures and Physicality")</f>
        <v>Human Figures and Physicality</v>
      </c>
      <c r="E550" s="3" t="str">
        <f>IFERROR(__xludf.DUMMYFUNCTION("GOOGLETRANSLATE(B550, ""nl"", ""en"")"),"A face that fades into abstraction")</f>
        <v>A face that fades into abstraction</v>
      </c>
    </row>
    <row r="551" ht="15.75" customHeight="1">
      <c r="A551" s="3" t="s">
        <v>7</v>
      </c>
      <c r="B551" s="3" t="s">
        <v>39</v>
      </c>
      <c r="D551" s="3" t="str">
        <f>IFERROR(__xludf.DUMMYFUNCTION("GOOGLETRANSLATE(A551, ""nl"", ""en"")"),"Human Figures and Physicality")</f>
        <v>Human Figures and Physicality</v>
      </c>
      <c r="E551" s="3" t="str">
        <f>IFERROR(__xludf.DUMMYFUNCTION("GOOGLETRANSLATE(B551, ""nl"", ""en"")"),"A torso without a head")</f>
        <v>A torso without a head</v>
      </c>
    </row>
    <row r="552" ht="15.75" customHeight="1">
      <c r="A552" s="3" t="s">
        <v>15</v>
      </c>
      <c r="B552" s="3" t="s">
        <v>45</v>
      </c>
      <c r="D552" s="3" t="str">
        <f>IFERROR(__xludf.DUMMYFUNCTION("GOOGLETRANSLATE(A552, ""nl"", ""en"")"),"Animals and Organic Forms")</f>
        <v>Animals and Organic Forms</v>
      </c>
      <c r="E552" s="3" t="str">
        <f>IFERROR(__xludf.DUMMYFUNCTION("GOOGLETRANSLATE(B552, ""nl"", ""en"")"),"A snake biting its own tail")</f>
        <v>A snake biting its own tail</v>
      </c>
    </row>
    <row r="553" ht="15.75" customHeight="1">
      <c r="A553" s="3" t="s">
        <v>9</v>
      </c>
      <c r="B553" s="3" t="s">
        <v>57</v>
      </c>
      <c r="D553" s="3" t="str">
        <f>IFERROR(__xludf.DUMMYFUNCTION("GOOGLETRANSLATE(A553, ""nl"", ""en"")"),"Psychological and Emotional Interpretations")</f>
        <v>Psychological and Emotional Interpretations</v>
      </c>
      <c r="E553" s="3" t="str">
        <f>IFERROR(__xludf.DUMMYFUNCTION("GOOGLETRANSLATE(B553, ""nl"", ""en"")"),"An explosion of colours and feelings")</f>
        <v>An explosion of colours and feelings</v>
      </c>
    </row>
    <row r="554" ht="15.75" customHeight="1">
      <c r="A554" s="3" t="s">
        <v>9</v>
      </c>
      <c r="B554" s="3" t="s">
        <v>37</v>
      </c>
      <c r="D554" s="3" t="str">
        <f>IFERROR(__xludf.DUMMYFUNCTION("GOOGLETRANSLATE(A554, ""nl"", ""en"")"),"Psychological and Emotional Interpretations")</f>
        <v>Psychological and Emotional Interpretations</v>
      </c>
      <c r="E554" s="3" t="str">
        <f>IFERROR(__xludf.DUMMYFUNCTION("GOOGLETRANSLATE(B554, ""nl"", ""en"")"),"A figure looking through itself")</f>
        <v>A figure looking through itself</v>
      </c>
    </row>
    <row r="555" ht="15.75" customHeight="1">
      <c r="A555" s="3" t="s">
        <v>4</v>
      </c>
      <c r="B555" s="3" t="s">
        <v>21</v>
      </c>
      <c r="D555" s="3" t="str">
        <f>IFERROR(__xludf.DUMMYFUNCTION("GOOGLETRANSLATE(A555, ""nl"", ""en"")"),"Architectural and Structural Associations")</f>
        <v>Architectural and Structural Associations</v>
      </c>
      <c r="E555" s="3" t="str">
        <f>IFERROR(__xludf.DUMMYFUNCTION("GOOGLETRANSLATE(B555, ""nl"", ""en"")"),"A bridge that leads nowhere")</f>
        <v>A bridge that leads nowhere</v>
      </c>
    </row>
    <row r="556" ht="15.75" customHeight="1">
      <c r="A556" s="3" t="s">
        <v>7</v>
      </c>
      <c r="B556" s="3" t="s">
        <v>56</v>
      </c>
      <c r="D556" s="3" t="str">
        <f>IFERROR(__xludf.DUMMYFUNCTION("GOOGLETRANSLATE(A556, ""nl"", ""en"")"),"Human Figures and Physicality")</f>
        <v>Human Figures and Physicality</v>
      </c>
      <c r="E556" s="3" t="str">
        <f>IFERROR(__xludf.DUMMYFUNCTION("GOOGLETRANSLATE(B556, ""nl"", ""en"")"),"A shadow that seems to move")</f>
        <v>A shadow that seems to move</v>
      </c>
    </row>
    <row r="557" ht="15.75" customHeight="1">
      <c r="A557" s="3" t="s">
        <v>4</v>
      </c>
      <c r="B557" s="3" t="s">
        <v>44</v>
      </c>
      <c r="D557" s="3" t="str">
        <f>IFERROR(__xludf.DUMMYFUNCTION("GOOGLETRANSLATE(A557, ""nl"", ""en"")"),"Architectural and Structural Associations")</f>
        <v>Architectural and Structural Associations</v>
      </c>
      <c r="E557" s="3" t="str">
        <f>IFERROR(__xludf.DUMMYFUNCTION("GOOGLETRANSLATE(B557, ""nl"", ""en"")"),"A structure that pulsates in waves")</f>
        <v>A structure that pulsates in waves</v>
      </c>
    </row>
    <row r="558" ht="15.75" customHeight="1">
      <c r="A558" s="3" t="s">
        <v>24</v>
      </c>
      <c r="B558" s="3" t="s">
        <v>48</v>
      </c>
      <c r="D558" s="3" t="str">
        <f>IFERROR(__xludf.DUMMYFUNCTION("GOOGLETRANSLATE(A558, ""nl"", ""en"")"),"Cosmic and Abstract Patterns")</f>
        <v>Cosmic and Abstract Patterns</v>
      </c>
      <c r="E558" s="3" t="str">
        <f>IFERROR(__xludf.DUMMYFUNCTION("GOOGLETRANSLATE(B558, ""nl"", ""en"")"),"A fractal that repeats itself")</f>
        <v>A fractal that repeats itself</v>
      </c>
    </row>
    <row r="559" ht="15.75" customHeight="1">
      <c r="A559" s="3" t="s">
        <v>9</v>
      </c>
      <c r="B559" s="3" t="s">
        <v>42</v>
      </c>
      <c r="D559" s="3" t="str">
        <f>IFERROR(__xludf.DUMMYFUNCTION("GOOGLETRANSLATE(A559, ""nl"", ""en"")"),"Psychological and Emotional Interpretations")</f>
        <v>Psychological and Emotional Interpretations</v>
      </c>
      <c r="E559" s="3" t="str">
        <f>IFERROR(__xludf.DUMMYFUNCTION("GOOGLETRANSLATE(B559, ""nl"", ""en"")"),"A mask that slowly disappears")</f>
        <v>A mask that slowly disappears</v>
      </c>
    </row>
    <row r="560" ht="15.75" customHeight="1">
      <c r="A560" s="3" t="s">
        <v>7</v>
      </c>
      <c r="B560" s="3" t="s">
        <v>40</v>
      </c>
      <c r="D560" s="3" t="str">
        <f>IFERROR(__xludf.DUMMYFUNCTION("GOOGLETRANSLATE(A560, ""nl"", ""en"")"),"Human Figures and Physicality")</f>
        <v>Human Figures and Physicality</v>
      </c>
      <c r="E560" s="3" t="str">
        <f>IFERROR(__xludf.DUMMYFUNCTION("GOOGLETRANSLATE(B560, ""nl"", ""en"")"),"A figure who is withdrawn into himself")</f>
        <v>A figure who is withdrawn into himself</v>
      </c>
    </row>
    <row r="561" ht="15.75" customHeight="1">
      <c r="A561" s="3" t="s">
        <v>4</v>
      </c>
      <c r="B561" s="3" t="s">
        <v>5</v>
      </c>
      <c r="D561" s="3" t="str">
        <f>IFERROR(__xludf.DUMMYFUNCTION("GOOGLETRANSLATE(A561, ""nl"", ""en"")"),"Architectural and Structural Associations")</f>
        <v>Architectural and Structural Associations</v>
      </c>
      <c r="E561" s="3" t="str">
        <f>IFERROR(__xludf.DUMMYFUNCTION("GOOGLETRANSLATE(B561, ""nl"", ""en"")"),"A cathedral shaped from mist")</f>
        <v>A cathedral shaped from mist</v>
      </c>
    </row>
    <row r="562" ht="15.75" customHeight="1">
      <c r="A562" s="3" t="s">
        <v>4</v>
      </c>
      <c r="B562" s="3" t="s">
        <v>43</v>
      </c>
      <c r="D562" s="3" t="str">
        <f>IFERROR(__xludf.DUMMYFUNCTION("GOOGLETRANSLATE(A562, ""nl"", ""en"")"),"Architectural and Structural Associations")</f>
        <v>Architectural and Structural Associations</v>
      </c>
      <c r="E562" s="3" t="str">
        <f>IFERROR(__xludf.DUMMYFUNCTION("GOOGLETRANSLATE(B562, ""nl"", ""en"")"),"A network of tunnels and passages")</f>
        <v>A network of tunnels and passages</v>
      </c>
    </row>
    <row r="563" ht="15.75" customHeight="1">
      <c r="A563" s="3" t="s">
        <v>4</v>
      </c>
      <c r="B563" s="3" t="s">
        <v>20</v>
      </c>
      <c r="D563" s="3" t="str">
        <f>IFERROR(__xludf.DUMMYFUNCTION("GOOGLETRANSLATE(A563, ""nl"", ""en"")"),"Architectural and Structural Associations")</f>
        <v>Architectural and Structural Associations</v>
      </c>
      <c r="E563" s="3" t="str">
        <f>IFERROR(__xludf.DUMMYFUNCTION("GOOGLETRANSLATE(B563, ""nl"", ""en"")"),"A tower that grows by itself")</f>
        <v>A tower that grows by itself</v>
      </c>
    </row>
    <row r="564" ht="15.75" customHeight="1">
      <c r="A564" s="3" t="s">
        <v>15</v>
      </c>
      <c r="B564" s="3" t="s">
        <v>50</v>
      </c>
      <c r="D564" s="3" t="str">
        <f>IFERROR(__xludf.DUMMYFUNCTION("GOOGLETRANSLATE(A564, ""nl"", ""en"")"),"Animals and Organic Forms")</f>
        <v>Animals and Organic Forms</v>
      </c>
      <c r="E564" s="3" t="str">
        <f>IFERROR(__xludf.DUMMYFUNCTION("GOOGLETRANSLATE(B564, ""nl"", ""en"")"),"A squid with extended tentacles")</f>
        <v>A squid with extended tentacles</v>
      </c>
    </row>
    <row r="565" ht="15.75" customHeight="1">
      <c r="A565" s="3" t="s">
        <v>15</v>
      </c>
      <c r="B565" s="3" t="s">
        <v>46</v>
      </c>
      <c r="D565" s="3" t="str">
        <f>IFERROR(__xludf.DUMMYFUNCTION("GOOGLETRANSLATE(A565, ""nl"", ""en"")"),"Animals and Organic Forms")</f>
        <v>Animals and Organic Forms</v>
      </c>
      <c r="E565" s="3" t="str">
        <f>IFERROR(__xludf.DUMMYFUNCTION("GOOGLETRANSLATE(B565, ""nl"", ""en"")"),"A flock of fish moving as one")</f>
        <v>A flock of fish moving as one</v>
      </c>
    </row>
    <row r="566" ht="15.75" customHeight="1">
      <c r="A566" s="3" t="s">
        <v>15</v>
      </c>
      <c r="B566" s="3" t="s">
        <v>46</v>
      </c>
      <c r="D566" s="3" t="str">
        <f>IFERROR(__xludf.DUMMYFUNCTION("GOOGLETRANSLATE(A566, ""nl"", ""en"")"),"Animals and Organic Forms")</f>
        <v>Animals and Organic Forms</v>
      </c>
      <c r="E566" s="3" t="str">
        <f>IFERROR(__xludf.DUMMYFUNCTION("GOOGLETRANSLATE(B566, ""nl"", ""en"")"),"A flock of fish moving as one")</f>
        <v>A flock of fish moving as one</v>
      </c>
    </row>
    <row r="567" ht="15.75" customHeight="1">
      <c r="A567" s="3" t="s">
        <v>24</v>
      </c>
      <c r="B567" s="3" t="s">
        <v>25</v>
      </c>
      <c r="D567" s="3" t="str">
        <f>IFERROR(__xludf.DUMMYFUNCTION("GOOGLETRANSLATE(A567, ""nl"", ""en"")"),"Cosmic and Abstract Patterns")</f>
        <v>Cosmic and Abstract Patterns</v>
      </c>
      <c r="E567" s="3" t="str">
        <f>IFERROR(__xludf.DUMMYFUNCTION("GOOGLETRANSLATE(B567, ""nl"", ""en"")"),"A meteor shower dissolving into each other")</f>
        <v>A meteor shower dissolving into each other</v>
      </c>
    </row>
    <row r="568" ht="15.75" customHeight="1">
      <c r="A568" s="3" t="s">
        <v>24</v>
      </c>
      <c r="B568" s="3" t="s">
        <v>33</v>
      </c>
      <c r="D568" s="3" t="str">
        <f>IFERROR(__xludf.DUMMYFUNCTION("GOOGLETRANSLATE(A568, ""nl"", ""en"")"),"Cosmic and Abstract Patterns")</f>
        <v>Cosmic and Abstract Patterns</v>
      </c>
      <c r="E568" s="3" t="str">
        <f>IFERROR(__xludf.DUMMYFUNCTION("GOOGLETRANSLATE(B568, ""nl"", ""en"")"),"An eye that repeats itself in endless patterns")</f>
        <v>An eye that repeats itself in endless patterns</v>
      </c>
    </row>
    <row r="569" ht="15.75" customHeight="1">
      <c r="A569" s="3" t="s">
        <v>12</v>
      </c>
      <c r="B569" s="3" t="s">
        <v>18</v>
      </c>
      <c r="D569" s="3" t="str">
        <f>IFERROR(__xludf.DUMMYFUNCTION("GOOGLETRANSLATE(A569, ""nl"", ""en"")"),"Nature and Elements")</f>
        <v>Nature and Elements</v>
      </c>
      <c r="E569" s="3" t="str">
        <f>IFERROR(__xludf.DUMMYFUNCTION("GOOGLETRANSLATE(B569, ""nl"", ""en"")"),"A tree with endless branches")</f>
        <v>A tree with endless branches</v>
      </c>
    </row>
    <row r="570" ht="15.75" customHeight="1">
      <c r="A570" s="3" t="s">
        <v>12</v>
      </c>
      <c r="B570" s="3" t="s">
        <v>18</v>
      </c>
      <c r="D570" s="3" t="str">
        <f>IFERROR(__xludf.DUMMYFUNCTION("GOOGLETRANSLATE(A570, ""nl"", ""en"")"),"Nature and Elements")</f>
        <v>Nature and Elements</v>
      </c>
      <c r="E570" s="3" t="str">
        <f>IFERROR(__xludf.DUMMYFUNCTION("GOOGLETRANSLATE(B570, ""nl"", ""en"")"),"A tree with endless branches")</f>
        <v>A tree with endless branches</v>
      </c>
    </row>
    <row r="571" ht="15.75" customHeight="1">
      <c r="A571" s="3" t="s">
        <v>15</v>
      </c>
      <c r="B571" s="3" t="s">
        <v>45</v>
      </c>
      <c r="D571" s="3" t="str">
        <f>IFERROR(__xludf.DUMMYFUNCTION("GOOGLETRANSLATE(A571, ""nl"", ""en"")"),"Animals and Organic Forms")</f>
        <v>Animals and Organic Forms</v>
      </c>
      <c r="E571" s="3" t="str">
        <f>IFERROR(__xludf.DUMMYFUNCTION("GOOGLETRANSLATE(B571, ""nl"", ""en"")"),"A snake biting its own tail")</f>
        <v>A snake biting its own tail</v>
      </c>
    </row>
    <row r="572" ht="15.75" customHeight="1">
      <c r="A572" s="3" t="s">
        <v>12</v>
      </c>
      <c r="B572" s="3" t="s">
        <v>51</v>
      </c>
      <c r="D572" s="3" t="str">
        <f>IFERROR(__xludf.DUMMYFUNCTION("GOOGLETRANSLATE(A572, ""nl"", ""en"")"),"Nature and Elements")</f>
        <v>Nature and Elements</v>
      </c>
      <c r="E572" s="3" t="str">
        <f>IFERROR(__xludf.DUMMYFUNCTION("GOOGLETRANSLATE(B572, ""nl"", ""en"")"),"An evaporating puddle of water")</f>
        <v>An evaporating puddle of water</v>
      </c>
    </row>
    <row r="573" ht="15.75" customHeight="1">
      <c r="A573" s="3" t="s">
        <v>4</v>
      </c>
      <c r="B573" s="3" t="s">
        <v>20</v>
      </c>
      <c r="D573" s="3" t="str">
        <f>IFERROR(__xludf.DUMMYFUNCTION("GOOGLETRANSLATE(A573, ""nl"", ""en"")"),"Architectural and Structural Associations")</f>
        <v>Architectural and Structural Associations</v>
      </c>
      <c r="E573" s="3" t="str">
        <f>IFERROR(__xludf.DUMMYFUNCTION("GOOGLETRANSLATE(B573, ""nl"", ""en"")"),"A tower that grows by itself")</f>
        <v>A tower that grows by itself</v>
      </c>
    </row>
    <row r="574" ht="15.75" customHeight="1">
      <c r="A574" s="3" t="s">
        <v>9</v>
      </c>
      <c r="B574" s="3" t="s">
        <v>37</v>
      </c>
      <c r="D574" s="3" t="str">
        <f>IFERROR(__xludf.DUMMYFUNCTION("GOOGLETRANSLATE(A574, ""nl"", ""en"")"),"Psychological and Emotional Interpretations")</f>
        <v>Psychological and Emotional Interpretations</v>
      </c>
      <c r="E574" s="3" t="str">
        <f>IFERROR(__xludf.DUMMYFUNCTION("GOOGLETRANSLATE(B574, ""nl"", ""en"")"),"A figure looking through itself")</f>
        <v>A figure looking through itself</v>
      </c>
    </row>
    <row r="575" ht="15.75" customHeight="1">
      <c r="A575" s="3" t="s">
        <v>9</v>
      </c>
      <c r="B575" s="3" t="s">
        <v>14</v>
      </c>
      <c r="D575" s="3" t="str">
        <f>IFERROR(__xludf.DUMMYFUNCTION("GOOGLETRANSLATE(A575, ""nl"", ""en"")"),"Psychological and Emotional Interpretations")</f>
        <v>Psychological and Emotional Interpretations</v>
      </c>
      <c r="E575" s="3" t="str">
        <f>IFERROR(__xludf.DUMMYFUNCTION("GOOGLETRANSLATE(B575, ""nl"", ""en"")"),"An unclear hug")</f>
        <v>An unclear hug</v>
      </c>
    </row>
    <row r="576" ht="15.75" customHeight="1">
      <c r="A576" s="3" t="s">
        <v>9</v>
      </c>
      <c r="B576" s="3" t="s">
        <v>57</v>
      </c>
      <c r="D576" s="3" t="str">
        <f>IFERROR(__xludf.DUMMYFUNCTION("GOOGLETRANSLATE(A576, ""nl"", ""en"")"),"Psychological and Emotional Interpretations")</f>
        <v>Psychological and Emotional Interpretations</v>
      </c>
      <c r="E576" s="3" t="str">
        <f>IFERROR(__xludf.DUMMYFUNCTION("GOOGLETRANSLATE(B576, ""nl"", ""en"")"),"An explosion of colours and feelings")</f>
        <v>An explosion of colours and feelings</v>
      </c>
    </row>
    <row r="577" ht="15.75" customHeight="1">
      <c r="A577" s="3" t="s">
        <v>4</v>
      </c>
      <c r="B577" s="3" t="s">
        <v>20</v>
      </c>
      <c r="D577" s="3" t="str">
        <f>IFERROR(__xludf.DUMMYFUNCTION("GOOGLETRANSLATE(A577, ""nl"", ""en"")"),"Architectural and Structural Associations")</f>
        <v>Architectural and Structural Associations</v>
      </c>
      <c r="E577" s="3" t="str">
        <f>IFERROR(__xludf.DUMMYFUNCTION("GOOGLETRANSLATE(B577, ""nl"", ""en"")"),"A tower that grows by itself")</f>
        <v>A tower that grows by itself</v>
      </c>
    </row>
    <row r="578" ht="15.75" customHeight="1">
      <c r="A578" s="3" t="s">
        <v>12</v>
      </c>
      <c r="B578" s="3" t="s">
        <v>13</v>
      </c>
      <c r="D578" s="3" t="str">
        <f>IFERROR(__xludf.DUMMYFUNCTION("GOOGLETRANSLATE(A578, ""nl"", ""en"")"),"Nature and Elements")</f>
        <v>Nature and Elements</v>
      </c>
      <c r="E578" s="3" t="str">
        <f>IFERROR(__xludf.DUMMYFUNCTION("GOOGLETRANSLATE(B578, ""nl"", ""en"")"),"A lightning strike in slow motion")</f>
        <v>A lightning strike in slow motion</v>
      </c>
    </row>
    <row r="579" ht="15.75" customHeight="1">
      <c r="A579" s="3" t="s">
        <v>15</v>
      </c>
      <c r="B579" s="3" t="s">
        <v>46</v>
      </c>
      <c r="D579" s="3" t="str">
        <f>IFERROR(__xludf.DUMMYFUNCTION("GOOGLETRANSLATE(A579, ""nl"", ""en"")"),"Animals and Organic Forms")</f>
        <v>Animals and Organic Forms</v>
      </c>
      <c r="E579" s="3" t="str">
        <f>IFERROR(__xludf.DUMMYFUNCTION("GOOGLETRANSLATE(B579, ""nl"", ""en"")"),"A flock of fish moving as one")</f>
        <v>A flock of fish moving as one</v>
      </c>
    </row>
    <row r="580" ht="15.75" customHeight="1">
      <c r="A580" s="3" t="s">
        <v>12</v>
      </c>
      <c r="B580" s="3" t="s">
        <v>30</v>
      </c>
      <c r="D580" s="3" t="str">
        <f>IFERROR(__xludf.DUMMYFUNCTION("GOOGLETRANSLATE(A580, ""nl"", ""en"")"),"Nature and Elements")</f>
        <v>Nature and Elements</v>
      </c>
      <c r="E580" s="3" t="str">
        <f>IFERROR(__xludf.DUMMYFUNCTION("GOOGLETRANSLATE(B580, ""nl"", ""en"")"),"Waves breaking in fractal patterns")</f>
        <v>Waves breaking in fractal patterns</v>
      </c>
    </row>
    <row r="581" ht="15.75" customHeight="1">
      <c r="A581" s="3" t="s">
        <v>4</v>
      </c>
      <c r="B581" s="3" t="s">
        <v>20</v>
      </c>
      <c r="D581" s="3" t="str">
        <f>IFERROR(__xludf.DUMMYFUNCTION("GOOGLETRANSLATE(A581, ""nl"", ""en"")"),"Architectural and Structural Associations")</f>
        <v>Architectural and Structural Associations</v>
      </c>
      <c r="E581" s="3" t="str">
        <f>IFERROR(__xludf.DUMMYFUNCTION("GOOGLETRANSLATE(B581, ""nl"", ""en"")"),"A tower that grows by itself")</f>
        <v>A tower that grows by itself</v>
      </c>
    </row>
    <row r="582" ht="15.75" customHeight="1">
      <c r="A582" s="3" t="s">
        <v>4</v>
      </c>
      <c r="B582" s="3" t="s">
        <v>5</v>
      </c>
      <c r="D582" s="3" t="str">
        <f>IFERROR(__xludf.DUMMYFUNCTION("GOOGLETRANSLATE(A582, ""nl"", ""en"")"),"Architectural and Structural Associations")</f>
        <v>Architectural and Structural Associations</v>
      </c>
      <c r="E582" s="3" t="str">
        <f>IFERROR(__xludf.DUMMYFUNCTION("GOOGLETRANSLATE(B582, ""nl"", ""en"")"),"A cathedral shaped from mist")</f>
        <v>A cathedral shaped from mist</v>
      </c>
    </row>
    <row r="583" ht="15.75" customHeight="1">
      <c r="A583" s="3" t="s">
        <v>4</v>
      </c>
      <c r="B583" s="3" t="s">
        <v>6</v>
      </c>
      <c r="D583" s="3" t="str">
        <f>IFERROR(__xludf.DUMMYFUNCTION("GOOGLETRANSLATE(A583, ""nl"", ""en"")"),"Architectural and Structural Associations")</f>
        <v>Architectural and Structural Associations</v>
      </c>
      <c r="E583" s="3" t="str">
        <f>IFERROR(__xludf.DUMMYFUNCTION("GOOGLETRANSLATE(B583, ""nl"", ""en"")"),"An endless labyrinth")</f>
        <v>An endless labyrinth</v>
      </c>
    </row>
    <row r="584" ht="15.75" customHeight="1">
      <c r="A584" s="3" t="s">
        <v>7</v>
      </c>
      <c r="B584" s="3" t="s">
        <v>8</v>
      </c>
      <c r="D584" s="3" t="str">
        <f>IFERROR(__xludf.DUMMYFUNCTION("GOOGLETRANSLATE(A584, ""nl"", ""en"")"),"Human Figures and Physicality")</f>
        <v>Human Figures and Physicality</v>
      </c>
      <c r="E584" s="3" t="str">
        <f>IFERROR(__xludf.DUMMYFUNCTION("GOOGLETRANSLATE(B584, ""nl"", ""en"")"),"Two figures mirroring each other")</f>
        <v>Two figures mirroring each other</v>
      </c>
    </row>
    <row r="585" ht="15.75" customHeight="1">
      <c r="A585" s="3" t="s">
        <v>12</v>
      </c>
      <c r="B585" s="3" t="s">
        <v>51</v>
      </c>
      <c r="D585" s="3" t="str">
        <f>IFERROR(__xludf.DUMMYFUNCTION("GOOGLETRANSLATE(A585, ""nl"", ""en"")"),"Nature and Elements")</f>
        <v>Nature and Elements</v>
      </c>
      <c r="E585" s="3" t="str">
        <f>IFERROR(__xludf.DUMMYFUNCTION("GOOGLETRANSLATE(B585, ""nl"", ""en"")"),"An evaporating puddle of water")</f>
        <v>An evaporating puddle of water</v>
      </c>
    </row>
    <row r="586" ht="15.75" customHeight="1">
      <c r="A586" s="3" t="s">
        <v>9</v>
      </c>
      <c r="B586" s="3" t="s">
        <v>14</v>
      </c>
      <c r="D586" s="3" t="str">
        <f>IFERROR(__xludf.DUMMYFUNCTION("GOOGLETRANSLATE(A586, ""nl"", ""en"")"),"Psychological and Emotional Interpretations")</f>
        <v>Psychological and Emotional Interpretations</v>
      </c>
      <c r="E586" s="3" t="str">
        <f>IFERROR(__xludf.DUMMYFUNCTION("GOOGLETRANSLATE(B586, ""nl"", ""en"")"),"An unclear hug")</f>
        <v>An unclear hug</v>
      </c>
    </row>
    <row r="587" ht="15.75" customHeight="1">
      <c r="A587" s="3" t="s">
        <v>9</v>
      </c>
      <c r="B587" s="3" t="s">
        <v>57</v>
      </c>
      <c r="D587" s="3" t="str">
        <f>IFERROR(__xludf.DUMMYFUNCTION("GOOGLETRANSLATE(A587, ""nl"", ""en"")"),"Psychological and Emotional Interpretations")</f>
        <v>Psychological and Emotional Interpretations</v>
      </c>
      <c r="E587" s="3" t="str">
        <f>IFERROR(__xludf.DUMMYFUNCTION("GOOGLETRANSLATE(B587, ""nl"", ""en"")"),"An explosion of colours and feelings")</f>
        <v>An explosion of colours and feelings</v>
      </c>
    </row>
    <row r="588" ht="15.75" customHeight="1">
      <c r="A588" s="3" t="s">
        <v>9</v>
      </c>
      <c r="B588" s="3" t="s">
        <v>17</v>
      </c>
      <c r="D588" s="3" t="str">
        <f>IFERROR(__xludf.DUMMYFUNCTION("GOOGLETRANSLATE(A588, ""nl"", ""en"")"),"Psychological and Emotional Interpretations")</f>
        <v>Psychological and Emotional Interpretations</v>
      </c>
      <c r="E588" s="3" t="str">
        <f>IFERROR(__xludf.DUMMYFUNCTION("GOOGLETRANSLATE(B588, ""nl"", ""en"")"),"A figure that seems to melt")</f>
        <v>A figure that seems to melt</v>
      </c>
    </row>
    <row r="589" ht="15.75" customHeight="1">
      <c r="A589" s="3" t="s">
        <v>4</v>
      </c>
      <c r="B589" s="3" t="s">
        <v>55</v>
      </c>
      <c r="D589" s="3" t="str">
        <f>IFERROR(__xludf.DUMMYFUNCTION("GOOGLETRANSLATE(A589, ""nl"", ""en"")"),"Architectural and Structural Associations")</f>
        <v>Architectural and Structural Associations</v>
      </c>
      <c r="E589" s="3" t="str">
        <f>IFERROR(__xludf.DUMMYFUNCTION("GOOGLETRANSLATE(B589, ""nl"", ""en"")"),"A prism that splits light into colors")</f>
        <v>A prism that splits light into colors</v>
      </c>
    </row>
    <row r="590" ht="15.75" customHeight="1">
      <c r="A590" s="3" t="s">
        <v>7</v>
      </c>
      <c r="B590" s="3" t="s">
        <v>40</v>
      </c>
      <c r="D590" s="3" t="str">
        <f>IFERROR(__xludf.DUMMYFUNCTION("GOOGLETRANSLATE(A590, ""nl"", ""en"")"),"Human Figures and Physicality")</f>
        <v>Human Figures and Physicality</v>
      </c>
      <c r="E590" s="3" t="str">
        <f>IFERROR(__xludf.DUMMYFUNCTION("GOOGLETRANSLATE(B590, ""nl"", ""en"")"),"A figure who is withdrawn into himself")</f>
        <v>A figure who is withdrawn into himself</v>
      </c>
    </row>
    <row r="591" ht="15.75" customHeight="1">
      <c r="A591" s="3" t="s">
        <v>15</v>
      </c>
      <c r="B591" s="3" t="s">
        <v>26</v>
      </c>
      <c r="D591" s="3" t="str">
        <f>IFERROR(__xludf.DUMMYFUNCTION("GOOGLETRANSLATE(A591, ""nl"", ""en"")"),"Animals and Organic Forms")</f>
        <v>Animals and Organic Forms</v>
      </c>
      <c r="E591" s="3" t="str">
        <f>IFERROR(__xludf.DUMMYFUNCTION("GOOGLETRANSLATE(B591, ""nl"", ""en"")"),"A frog preparing to jump")</f>
        <v>A frog preparing to jump</v>
      </c>
    </row>
    <row r="592" ht="15.75" customHeight="1">
      <c r="A592" s="3" t="s">
        <v>12</v>
      </c>
      <c r="B592" s="3" t="s">
        <v>19</v>
      </c>
      <c r="D592" s="3" t="str">
        <f>IFERROR(__xludf.DUMMYFUNCTION("GOOGLETRANSLATE(A592, ""nl"", ""en"")"),"Nature and Elements")</f>
        <v>Nature and Elements</v>
      </c>
      <c r="E592" s="3" t="str">
        <f>IFERROR(__xludf.DUMMYFUNCTION("GOOGLETRANSLATE(B592, ""nl"", ""en"")"),"A mountain range that seems to breathe")</f>
        <v>A mountain range that seems to breathe</v>
      </c>
    </row>
    <row r="593" ht="15.75" customHeight="1">
      <c r="A593" s="3" t="s">
        <v>9</v>
      </c>
      <c r="B593" s="3" t="s">
        <v>10</v>
      </c>
      <c r="D593" s="3" t="str">
        <f>IFERROR(__xludf.DUMMYFUNCTION("GOOGLETRANSLATE(A593, ""nl"", ""en"")"),"Psychological and Emotional Interpretations")</f>
        <v>Psychological and Emotional Interpretations</v>
      </c>
      <c r="E593" s="3" t="str">
        <f>IFERROR(__xludf.DUMMYFUNCTION("GOOGLETRANSLATE(B593, ""nl"", ""en"")"),"A face transforming in light")</f>
        <v>A face transforming in light</v>
      </c>
    </row>
    <row r="594" ht="15.75" customHeight="1">
      <c r="A594" s="3" t="s">
        <v>4</v>
      </c>
      <c r="B594" s="3" t="s">
        <v>5</v>
      </c>
      <c r="D594" s="3" t="str">
        <f>IFERROR(__xludf.DUMMYFUNCTION("GOOGLETRANSLATE(A594, ""nl"", ""en"")"),"Architectural and Structural Associations")</f>
        <v>Architectural and Structural Associations</v>
      </c>
      <c r="E594" s="3" t="str">
        <f>IFERROR(__xludf.DUMMYFUNCTION("GOOGLETRANSLATE(B594, ""nl"", ""en"")"),"A cathedral shaped from mist")</f>
        <v>A cathedral shaped from mist</v>
      </c>
    </row>
    <row r="595" ht="15.75" customHeight="1">
      <c r="A595" s="3" t="s">
        <v>12</v>
      </c>
      <c r="B595" s="3" t="s">
        <v>51</v>
      </c>
      <c r="D595" s="3" t="str">
        <f>IFERROR(__xludf.DUMMYFUNCTION("GOOGLETRANSLATE(A595, ""nl"", ""en"")"),"Nature and Elements")</f>
        <v>Nature and Elements</v>
      </c>
      <c r="E595" s="3" t="str">
        <f>IFERROR(__xludf.DUMMYFUNCTION("GOOGLETRANSLATE(B595, ""nl"", ""en"")"),"An evaporating puddle of water")</f>
        <v>An evaporating puddle of water</v>
      </c>
    </row>
    <row r="596" ht="15.75" customHeight="1">
      <c r="A596" s="3" t="s">
        <v>15</v>
      </c>
      <c r="B596" s="3" t="s">
        <v>46</v>
      </c>
      <c r="D596" s="3" t="str">
        <f>IFERROR(__xludf.DUMMYFUNCTION("GOOGLETRANSLATE(A596, ""nl"", ""en"")"),"Animals and Organic Forms")</f>
        <v>Animals and Organic Forms</v>
      </c>
      <c r="E596" s="3" t="str">
        <f>IFERROR(__xludf.DUMMYFUNCTION("GOOGLETRANSLATE(B596, ""nl"", ""en"")"),"A flock of fish moving as one")</f>
        <v>A flock of fish moving as one</v>
      </c>
    </row>
    <row r="597" ht="15.75" customHeight="1">
      <c r="A597" s="3" t="s">
        <v>12</v>
      </c>
      <c r="B597" s="3" t="s">
        <v>36</v>
      </c>
      <c r="D597" s="3" t="str">
        <f>IFERROR(__xludf.DUMMYFUNCTION("GOOGLETRANSLATE(A597, ""nl"", ""en"")"),"Nature and Elements")</f>
        <v>Nature and Elements</v>
      </c>
      <c r="E597" s="3" t="str">
        <f>IFERROR(__xludf.DUMMYFUNCTION("GOOGLETRANSLATE(B597, ""nl"", ""en"")"),"A river delta from a bird's-eye view")</f>
        <v>A river delta from a bird's-eye view</v>
      </c>
    </row>
    <row r="598" ht="15.75" customHeight="1">
      <c r="A598" s="3" t="s">
        <v>7</v>
      </c>
      <c r="B598" s="3" t="s">
        <v>28</v>
      </c>
      <c r="D598" s="3" t="str">
        <f>IFERROR(__xludf.DUMMYFUNCTION("GOOGLETRANSLATE(A598, ""nl"", ""en"")"),"Human Figures and Physicality")</f>
        <v>Human Figures and Physicality</v>
      </c>
      <c r="E598" s="3" t="str">
        <f>IFERROR(__xludf.DUMMYFUNCTION("GOOGLETRANSLATE(B598, ""nl"", ""en"")"),"A dancing silhouette")</f>
        <v>A dancing silhouette</v>
      </c>
    </row>
    <row r="599" ht="15.75" customHeight="1">
      <c r="A599" s="3" t="s">
        <v>15</v>
      </c>
      <c r="B599" s="3" t="s">
        <v>50</v>
      </c>
      <c r="D599" s="3" t="str">
        <f>IFERROR(__xludf.DUMMYFUNCTION("GOOGLETRANSLATE(A599, ""nl"", ""en"")"),"Animals and Organic Forms")</f>
        <v>Animals and Organic Forms</v>
      </c>
      <c r="E599" s="3" t="str">
        <f>IFERROR(__xludf.DUMMYFUNCTION("GOOGLETRANSLATE(B599, ""nl"", ""en"")"),"A squid with extended tentacles")</f>
        <v>A squid with extended tentacles</v>
      </c>
    </row>
    <row r="600" ht="15.75" customHeight="1">
      <c r="A600" s="3" t="s">
        <v>12</v>
      </c>
      <c r="B600" s="3" t="s">
        <v>13</v>
      </c>
      <c r="D600" s="3" t="str">
        <f>IFERROR(__xludf.DUMMYFUNCTION("GOOGLETRANSLATE(A600, ""nl"", ""en"")"),"Nature and Elements")</f>
        <v>Nature and Elements</v>
      </c>
      <c r="E600" s="3" t="str">
        <f>IFERROR(__xludf.DUMMYFUNCTION("GOOGLETRANSLATE(B600, ""nl"", ""en"")"),"A lightning strike in slow motion")</f>
        <v>A lightning strike in slow motion</v>
      </c>
    </row>
    <row r="601" ht="15.75" customHeight="1">
      <c r="A601" s="3" t="s">
        <v>4</v>
      </c>
      <c r="B601" s="3" t="s">
        <v>44</v>
      </c>
      <c r="D601" s="3" t="str">
        <f>IFERROR(__xludf.DUMMYFUNCTION("GOOGLETRANSLATE(A601, ""nl"", ""en"")"),"Architectural and Structural Associations")</f>
        <v>Architectural and Structural Associations</v>
      </c>
      <c r="E601" s="3" t="str">
        <f>IFERROR(__xludf.DUMMYFUNCTION("GOOGLETRANSLATE(B601, ""nl"", ""en"")"),"A structure that pulsates in waves")</f>
        <v>A structure that pulsates in waves</v>
      </c>
    </row>
    <row r="602" ht="15.75" customHeight="1">
      <c r="A602" s="3" t="s">
        <v>9</v>
      </c>
      <c r="B602" s="3" t="s">
        <v>42</v>
      </c>
      <c r="D602" s="3" t="str">
        <f>IFERROR(__xludf.DUMMYFUNCTION("GOOGLETRANSLATE(A602, ""nl"", ""en"")"),"Psychological and Emotional Interpretations")</f>
        <v>Psychological and Emotional Interpretations</v>
      </c>
      <c r="E602" s="3" t="str">
        <f>IFERROR(__xludf.DUMMYFUNCTION("GOOGLETRANSLATE(B602, ""nl"", ""en"")"),"A mask that slowly disappears")</f>
        <v>A mask that slowly disappears</v>
      </c>
    </row>
    <row r="603" ht="15.75" customHeight="1">
      <c r="A603" s="3" t="s">
        <v>24</v>
      </c>
      <c r="B603" s="3" t="s">
        <v>48</v>
      </c>
      <c r="D603" s="3" t="str">
        <f>IFERROR(__xludf.DUMMYFUNCTION("GOOGLETRANSLATE(A603, ""nl"", ""en"")"),"Cosmic and Abstract Patterns")</f>
        <v>Cosmic and Abstract Patterns</v>
      </c>
      <c r="E603" s="3" t="str">
        <f>IFERROR(__xludf.DUMMYFUNCTION("GOOGLETRANSLATE(B603, ""nl"", ""en"")"),"A fractal that repeats itself")</f>
        <v>A fractal that repeats itself</v>
      </c>
    </row>
    <row r="604" ht="15.75" customHeight="1">
      <c r="A604" s="3" t="s">
        <v>24</v>
      </c>
      <c r="B604" s="3" t="s">
        <v>25</v>
      </c>
      <c r="D604" s="3" t="str">
        <f>IFERROR(__xludf.DUMMYFUNCTION("GOOGLETRANSLATE(A604, ""nl"", ""en"")"),"Cosmic and Abstract Patterns")</f>
        <v>Cosmic and Abstract Patterns</v>
      </c>
      <c r="E604" s="3" t="str">
        <f>IFERROR(__xludf.DUMMYFUNCTION("GOOGLETRANSLATE(B604, ""nl"", ""en"")"),"A meteor shower dissolving into each other")</f>
        <v>A meteor shower dissolving into each other</v>
      </c>
    </row>
    <row r="605" ht="15.75" customHeight="1">
      <c r="A605" s="3" t="s">
        <v>4</v>
      </c>
      <c r="B605" s="3" t="s">
        <v>35</v>
      </c>
      <c r="D605" s="3" t="str">
        <f>IFERROR(__xludf.DUMMYFUNCTION("GOOGLETRANSLATE(A605, ""nl"", ""en"")"),"Architectural and Structural Associations")</f>
        <v>Architectural and Structural Associations</v>
      </c>
      <c r="E605" s="3" t="str">
        <f>IFERROR(__xludf.DUMMYFUNCTION("GOOGLETRANSLATE(B605, ""nl"", ""en"")"),"A floating building without a base")</f>
        <v>A floating building without a base</v>
      </c>
    </row>
    <row r="606" ht="15.75" customHeight="1">
      <c r="A606" s="3" t="s">
        <v>4</v>
      </c>
      <c r="B606" s="3" t="s">
        <v>6</v>
      </c>
      <c r="D606" s="3" t="str">
        <f>IFERROR(__xludf.DUMMYFUNCTION("GOOGLETRANSLATE(A606, ""nl"", ""en"")"),"Architectural and Structural Associations")</f>
        <v>Architectural and Structural Associations</v>
      </c>
      <c r="E606" s="3" t="str">
        <f>IFERROR(__xludf.DUMMYFUNCTION("GOOGLETRANSLATE(B606, ""nl"", ""en"")"),"An endless labyrinth")</f>
        <v>An endless labyrinth</v>
      </c>
    </row>
    <row r="607" ht="15.75" customHeight="1">
      <c r="A607" s="3" t="s">
        <v>24</v>
      </c>
      <c r="B607" s="3" t="s">
        <v>48</v>
      </c>
      <c r="D607" s="3" t="str">
        <f>IFERROR(__xludf.DUMMYFUNCTION("GOOGLETRANSLATE(A607, ""nl"", ""en"")"),"Cosmic and Abstract Patterns")</f>
        <v>Cosmic and Abstract Patterns</v>
      </c>
      <c r="E607" s="3" t="str">
        <f>IFERROR(__xludf.DUMMYFUNCTION("GOOGLETRANSLATE(B607, ""nl"", ""en"")"),"A fractal that repeats itself")</f>
        <v>A fractal that repeats itself</v>
      </c>
    </row>
    <row r="608" ht="15.75" customHeight="1">
      <c r="A608" s="3" t="s">
        <v>24</v>
      </c>
      <c r="B608" s="3" t="s">
        <v>32</v>
      </c>
      <c r="D608" s="3" t="str">
        <f>IFERROR(__xludf.DUMMYFUNCTION("GOOGLETRANSLATE(A608, ""nl"", ""en"")"),"Cosmic and Abstract Patterns")</f>
        <v>Cosmic and Abstract Patterns</v>
      </c>
      <c r="E608" s="3" t="str">
        <f>IFERROR(__xludf.DUMMYFUNCTION("GOOGLETRANSLATE(B608, ""nl"", ""en"")"),"A time loop captured in image")</f>
        <v>A time loop captured in image</v>
      </c>
    </row>
    <row r="609" ht="15.75" customHeight="1">
      <c r="A609" s="3" t="s">
        <v>12</v>
      </c>
      <c r="B609" s="3" t="s">
        <v>51</v>
      </c>
      <c r="D609" s="3" t="str">
        <f>IFERROR(__xludf.DUMMYFUNCTION("GOOGLETRANSLATE(A609, ""nl"", ""en"")"),"Nature and Elements")</f>
        <v>Nature and Elements</v>
      </c>
      <c r="E609" s="3" t="str">
        <f>IFERROR(__xludf.DUMMYFUNCTION("GOOGLETRANSLATE(B609, ""nl"", ""en"")"),"An evaporating puddle of water")</f>
        <v>An evaporating puddle of water</v>
      </c>
    </row>
    <row r="610" ht="15.75" customHeight="1">
      <c r="A610" s="3" t="s">
        <v>4</v>
      </c>
      <c r="B610" s="3" t="s">
        <v>20</v>
      </c>
      <c r="D610" s="3" t="str">
        <f>IFERROR(__xludf.DUMMYFUNCTION("GOOGLETRANSLATE(A610, ""nl"", ""en"")"),"Architectural and Structural Associations")</f>
        <v>Architectural and Structural Associations</v>
      </c>
      <c r="E610" s="3" t="str">
        <f>IFERROR(__xludf.DUMMYFUNCTION("GOOGLETRANSLATE(B610, ""nl"", ""en"")"),"A tower that grows by itself")</f>
        <v>A tower that grows by itself</v>
      </c>
    </row>
    <row r="611" ht="15.75" customHeight="1">
      <c r="A611" s="3" t="s">
        <v>9</v>
      </c>
      <c r="B611" s="3" t="s">
        <v>10</v>
      </c>
      <c r="D611" s="3" t="str">
        <f>IFERROR(__xludf.DUMMYFUNCTION("GOOGLETRANSLATE(A611, ""nl"", ""en"")"),"Psychological and Emotional Interpretations")</f>
        <v>Psychological and Emotional Interpretations</v>
      </c>
      <c r="E611" s="3" t="str">
        <f>IFERROR(__xludf.DUMMYFUNCTION("GOOGLETRANSLATE(B611, ""nl"", ""en"")"),"A face transforming in light")</f>
        <v>A face transforming in light</v>
      </c>
    </row>
    <row r="612" ht="15.75" customHeight="1">
      <c r="A612" s="3" t="s">
        <v>9</v>
      </c>
      <c r="B612" s="3" t="s">
        <v>14</v>
      </c>
      <c r="D612" s="3" t="str">
        <f>IFERROR(__xludf.DUMMYFUNCTION("GOOGLETRANSLATE(A612, ""nl"", ""en"")"),"Psychological and Emotional Interpretations")</f>
        <v>Psychological and Emotional Interpretations</v>
      </c>
      <c r="E612" s="3" t="str">
        <f>IFERROR(__xludf.DUMMYFUNCTION("GOOGLETRANSLATE(B612, ""nl"", ""en"")"),"An unclear hug")</f>
        <v>An unclear hug</v>
      </c>
    </row>
    <row r="613" ht="15.75" customHeight="1">
      <c r="A613" s="3" t="s">
        <v>7</v>
      </c>
      <c r="B613" s="3" t="s">
        <v>8</v>
      </c>
      <c r="D613" s="3" t="str">
        <f>IFERROR(__xludf.DUMMYFUNCTION("GOOGLETRANSLATE(A613, ""nl"", ""en"")"),"Human Figures and Physicality")</f>
        <v>Human Figures and Physicality</v>
      </c>
      <c r="E613" s="3" t="str">
        <f>IFERROR(__xludf.DUMMYFUNCTION("GOOGLETRANSLATE(B613, ""nl"", ""en"")"),"Two figures mirroring each other")</f>
        <v>Two figures mirroring each other</v>
      </c>
    </row>
    <row r="614" ht="15.75" customHeight="1">
      <c r="A614" s="3" t="s">
        <v>12</v>
      </c>
      <c r="B614" s="3" t="s">
        <v>23</v>
      </c>
      <c r="D614" s="3" t="str">
        <f>IFERROR(__xludf.DUMMYFUNCTION("GOOGLETRANSLATE(A614, ""nl"", ""en"")"),"Nature and Elements")</f>
        <v>Nature and Elements</v>
      </c>
      <c r="E614" s="3" t="str">
        <f>IFERROR(__xludf.DUMMYFUNCTION("GOOGLETRANSLATE(B614, ""nl"", ""en"")"),"A storm cloud splitting in two")</f>
        <v>A storm cloud splitting in two</v>
      </c>
    </row>
    <row r="615" ht="15.75" customHeight="1">
      <c r="A615" s="3" t="s">
        <v>9</v>
      </c>
      <c r="B615" s="3" t="s">
        <v>37</v>
      </c>
      <c r="D615" s="3" t="str">
        <f>IFERROR(__xludf.DUMMYFUNCTION("GOOGLETRANSLATE(A615, ""nl"", ""en"")"),"Psychological and Emotional Interpretations")</f>
        <v>Psychological and Emotional Interpretations</v>
      </c>
      <c r="E615" s="3" t="str">
        <f>IFERROR(__xludf.DUMMYFUNCTION("GOOGLETRANSLATE(B615, ""nl"", ""en"")"),"A figure looking through itself")</f>
        <v>A figure looking through itself</v>
      </c>
    </row>
    <row r="616" ht="15.75" customHeight="1">
      <c r="A616" s="3" t="s">
        <v>15</v>
      </c>
      <c r="B616" s="3" t="s">
        <v>26</v>
      </c>
      <c r="D616" s="3" t="str">
        <f>IFERROR(__xludf.DUMMYFUNCTION("GOOGLETRANSLATE(A616, ""nl"", ""en"")"),"Animals and Organic Forms")</f>
        <v>Animals and Organic Forms</v>
      </c>
      <c r="E616" s="3" t="str">
        <f>IFERROR(__xludf.DUMMYFUNCTION("GOOGLETRANSLATE(B616, ""nl"", ""en"")"),"A frog preparing to jump")</f>
        <v>A frog preparing to jump</v>
      </c>
    </row>
    <row r="617" ht="15.75" customHeight="1">
      <c r="A617" s="3" t="s">
        <v>15</v>
      </c>
      <c r="B617" s="3" t="s">
        <v>46</v>
      </c>
      <c r="D617" s="3" t="str">
        <f>IFERROR(__xludf.DUMMYFUNCTION("GOOGLETRANSLATE(A617, ""nl"", ""en"")"),"Animals and Organic Forms")</f>
        <v>Animals and Organic Forms</v>
      </c>
      <c r="E617" s="3" t="str">
        <f>IFERROR(__xludf.DUMMYFUNCTION("GOOGLETRANSLATE(B617, ""nl"", ""en"")"),"A flock of fish moving as one")</f>
        <v>A flock of fish moving as one</v>
      </c>
    </row>
    <row r="618" ht="15.75" customHeight="1">
      <c r="A618" s="3" t="s">
        <v>12</v>
      </c>
      <c r="B618" s="3" t="s">
        <v>51</v>
      </c>
      <c r="D618" s="3" t="str">
        <f>IFERROR(__xludf.DUMMYFUNCTION("GOOGLETRANSLATE(A618, ""nl"", ""en"")"),"Nature and Elements")</f>
        <v>Nature and Elements</v>
      </c>
      <c r="E618" s="3" t="str">
        <f>IFERROR(__xludf.DUMMYFUNCTION("GOOGLETRANSLATE(B618, ""nl"", ""en"")"),"An evaporating puddle of water")</f>
        <v>An evaporating puddle of water</v>
      </c>
    </row>
    <row r="619" ht="15.75" customHeight="1">
      <c r="A619" s="3" t="s">
        <v>15</v>
      </c>
      <c r="B619" s="3" t="s">
        <v>22</v>
      </c>
      <c r="D619" s="3" t="str">
        <f>IFERROR(__xludf.DUMMYFUNCTION("GOOGLETRANSLATE(A619, ""nl"", ""en"")"),"Animals and Organic Forms")</f>
        <v>Animals and Organic Forms</v>
      </c>
      <c r="E619" s="3" t="str">
        <f>IFERROR(__xludf.DUMMYFUNCTION("GOOGLETRANSLATE(B619, ""nl"", ""en"")"),"A bird taking off")</f>
        <v>A bird taking off</v>
      </c>
    </row>
    <row r="620" ht="15.75" customHeight="1">
      <c r="A620" s="3" t="s">
        <v>9</v>
      </c>
      <c r="B620" s="3" t="s">
        <v>37</v>
      </c>
      <c r="D620" s="3" t="str">
        <f>IFERROR(__xludf.DUMMYFUNCTION("GOOGLETRANSLATE(A620, ""nl"", ""en"")"),"Psychological and Emotional Interpretations")</f>
        <v>Psychological and Emotional Interpretations</v>
      </c>
      <c r="E620" s="3" t="str">
        <f>IFERROR(__xludf.DUMMYFUNCTION("GOOGLETRANSLATE(B620, ""nl"", ""en"")"),"A figure looking through itself")</f>
        <v>A figure looking through itself</v>
      </c>
    </row>
    <row r="621" ht="15.75" customHeight="1">
      <c r="A621" s="3" t="s">
        <v>4</v>
      </c>
      <c r="B621" s="3" t="s">
        <v>6</v>
      </c>
      <c r="D621" s="3" t="str">
        <f>IFERROR(__xludf.DUMMYFUNCTION("GOOGLETRANSLATE(A621, ""nl"", ""en"")"),"Architectural and Structural Associations")</f>
        <v>Architectural and Structural Associations</v>
      </c>
      <c r="E621" s="3" t="str">
        <f>IFERROR(__xludf.DUMMYFUNCTION("GOOGLETRANSLATE(B621, ""nl"", ""en"")"),"An endless labyrinth")</f>
        <v>An endless labyrinth</v>
      </c>
    </row>
    <row r="622" ht="15.75" customHeight="1">
      <c r="A622" s="3" t="s">
        <v>24</v>
      </c>
      <c r="B622" s="3" t="s">
        <v>32</v>
      </c>
      <c r="D622" s="3" t="str">
        <f>IFERROR(__xludf.DUMMYFUNCTION("GOOGLETRANSLATE(A622, ""nl"", ""en"")"),"Cosmic and Abstract Patterns")</f>
        <v>Cosmic and Abstract Patterns</v>
      </c>
      <c r="E622" s="3" t="str">
        <f>IFERROR(__xludf.DUMMYFUNCTION("GOOGLETRANSLATE(B622, ""nl"", ""en"")"),"A time loop captured in image")</f>
        <v>A time loop captured in image</v>
      </c>
    </row>
    <row r="623" ht="15.75" customHeight="1">
      <c r="A623" s="3" t="s">
        <v>7</v>
      </c>
      <c r="B623" s="3" t="s">
        <v>28</v>
      </c>
      <c r="D623" s="3" t="str">
        <f>IFERROR(__xludf.DUMMYFUNCTION("GOOGLETRANSLATE(A623, ""nl"", ""en"")"),"Human Figures and Physicality")</f>
        <v>Human Figures and Physicality</v>
      </c>
      <c r="E623" s="3" t="str">
        <f>IFERROR(__xludf.DUMMYFUNCTION("GOOGLETRANSLATE(B623, ""nl"", ""en"")"),"A dancing silhouette")</f>
        <v>A dancing silhouette</v>
      </c>
    </row>
    <row r="624" ht="15.75" customHeight="1">
      <c r="A624" s="3" t="s">
        <v>7</v>
      </c>
      <c r="B624" s="3" t="s">
        <v>8</v>
      </c>
      <c r="D624" s="3" t="str">
        <f>IFERROR(__xludf.DUMMYFUNCTION("GOOGLETRANSLATE(A624, ""nl"", ""en"")"),"Human Figures and Physicality")</f>
        <v>Human Figures and Physicality</v>
      </c>
      <c r="E624" s="3" t="str">
        <f>IFERROR(__xludf.DUMMYFUNCTION("GOOGLETRANSLATE(B624, ""nl"", ""en"")"),"Two figures mirroring each other")</f>
        <v>Two figures mirroring each other</v>
      </c>
    </row>
    <row r="625" ht="15.75" customHeight="1">
      <c r="A625" s="3" t="s">
        <v>7</v>
      </c>
      <c r="B625" s="3" t="s">
        <v>40</v>
      </c>
      <c r="D625" s="3" t="str">
        <f>IFERROR(__xludf.DUMMYFUNCTION("GOOGLETRANSLATE(A625, ""nl"", ""en"")"),"Human Figures and Physicality")</f>
        <v>Human Figures and Physicality</v>
      </c>
      <c r="E625" s="3" t="str">
        <f>IFERROR(__xludf.DUMMYFUNCTION("GOOGLETRANSLATE(B625, ""nl"", ""en"")"),"A figure who is withdrawn into himself")</f>
        <v>A figure who is withdrawn into himself</v>
      </c>
    </row>
    <row r="626" ht="15.75" customHeight="1">
      <c r="A626" s="3" t="s">
        <v>7</v>
      </c>
      <c r="B626" s="3" t="s">
        <v>40</v>
      </c>
      <c r="D626" s="3" t="str">
        <f>IFERROR(__xludf.DUMMYFUNCTION("GOOGLETRANSLATE(A626, ""nl"", ""en"")"),"Human Figures and Physicality")</f>
        <v>Human Figures and Physicality</v>
      </c>
      <c r="E626" s="3" t="str">
        <f>IFERROR(__xludf.DUMMYFUNCTION("GOOGLETRANSLATE(B626, ""nl"", ""en"")"),"A figure who is withdrawn into himself")</f>
        <v>A figure who is withdrawn into himself</v>
      </c>
    </row>
    <row r="627" ht="15.75" customHeight="1">
      <c r="A627" s="3" t="s">
        <v>7</v>
      </c>
      <c r="B627" s="3" t="s">
        <v>40</v>
      </c>
      <c r="D627" s="3" t="str">
        <f>IFERROR(__xludf.DUMMYFUNCTION("GOOGLETRANSLATE(A627, ""nl"", ""en"")"),"Human Figures and Physicality")</f>
        <v>Human Figures and Physicality</v>
      </c>
      <c r="E627" s="3" t="str">
        <f>IFERROR(__xludf.DUMMYFUNCTION("GOOGLETRANSLATE(B627, ""nl"", ""en"")"),"A figure who is withdrawn into himself")</f>
        <v>A figure who is withdrawn into himself</v>
      </c>
    </row>
    <row r="628" ht="15.75" customHeight="1">
      <c r="A628" s="3" t="s">
        <v>9</v>
      </c>
      <c r="B628" s="3" t="s">
        <v>14</v>
      </c>
      <c r="D628" s="3" t="str">
        <f>IFERROR(__xludf.DUMMYFUNCTION("GOOGLETRANSLATE(A628, ""nl"", ""en"")"),"Psychological and Emotional Interpretations")</f>
        <v>Psychological and Emotional Interpretations</v>
      </c>
      <c r="E628" s="3" t="str">
        <f>IFERROR(__xludf.DUMMYFUNCTION("GOOGLETRANSLATE(B628, ""nl"", ""en"")"),"An unclear hug")</f>
        <v>An unclear hug</v>
      </c>
    </row>
    <row r="629" ht="15.75" customHeight="1">
      <c r="A629" s="3" t="s">
        <v>7</v>
      </c>
      <c r="B629" s="3" t="s">
        <v>8</v>
      </c>
      <c r="D629" s="3" t="str">
        <f>IFERROR(__xludf.DUMMYFUNCTION("GOOGLETRANSLATE(A629, ""nl"", ""en"")"),"Human Figures and Physicality")</f>
        <v>Human Figures and Physicality</v>
      </c>
      <c r="E629" s="3" t="str">
        <f>IFERROR(__xludf.DUMMYFUNCTION("GOOGLETRANSLATE(B629, ""nl"", ""en"")"),"Two figures mirroring each other")</f>
        <v>Two figures mirroring each other</v>
      </c>
    </row>
    <row r="630" ht="15.75" customHeight="1">
      <c r="A630" s="3" t="s">
        <v>24</v>
      </c>
      <c r="B630" s="3" t="s">
        <v>33</v>
      </c>
      <c r="D630" s="3" t="str">
        <f>IFERROR(__xludf.DUMMYFUNCTION("GOOGLETRANSLATE(A630, ""nl"", ""en"")"),"Cosmic and Abstract Patterns")</f>
        <v>Cosmic and Abstract Patterns</v>
      </c>
      <c r="E630" s="3" t="str">
        <f>IFERROR(__xludf.DUMMYFUNCTION("GOOGLETRANSLATE(B630, ""nl"", ""en"")"),"An eye that repeats itself in endless patterns")</f>
        <v>An eye that repeats itself in endless patterns</v>
      </c>
    </row>
    <row r="631" ht="15.75" customHeight="1">
      <c r="A631" s="3" t="s">
        <v>4</v>
      </c>
      <c r="B631" s="3" t="s">
        <v>43</v>
      </c>
      <c r="D631" s="3" t="str">
        <f>IFERROR(__xludf.DUMMYFUNCTION("GOOGLETRANSLATE(A631, ""nl"", ""en"")"),"Architectural and Structural Associations")</f>
        <v>Architectural and Structural Associations</v>
      </c>
      <c r="E631" s="3" t="str">
        <f>IFERROR(__xludf.DUMMYFUNCTION("GOOGLETRANSLATE(B631, ""nl"", ""en"")"),"A network of tunnels and passages")</f>
        <v>A network of tunnels and passages</v>
      </c>
    </row>
    <row r="632" ht="15.75" customHeight="1">
      <c r="A632" s="3" t="s">
        <v>7</v>
      </c>
      <c r="B632" s="3" t="s">
        <v>8</v>
      </c>
      <c r="D632" s="3" t="str">
        <f>IFERROR(__xludf.DUMMYFUNCTION("GOOGLETRANSLATE(A632, ""nl"", ""en"")"),"Human Figures and Physicality")</f>
        <v>Human Figures and Physicality</v>
      </c>
      <c r="E632" s="3" t="str">
        <f>IFERROR(__xludf.DUMMYFUNCTION("GOOGLETRANSLATE(B632, ""nl"", ""en"")"),"Two figures mirroring each other")</f>
        <v>Two figures mirroring each other</v>
      </c>
    </row>
    <row r="633" ht="15.75" customHeight="1">
      <c r="A633" s="3" t="s">
        <v>7</v>
      </c>
      <c r="B633" s="3" t="s">
        <v>40</v>
      </c>
      <c r="D633" s="3" t="str">
        <f>IFERROR(__xludf.DUMMYFUNCTION("GOOGLETRANSLATE(A633, ""nl"", ""en"")"),"Human Figures and Physicality")</f>
        <v>Human Figures and Physicality</v>
      </c>
      <c r="E633" s="3" t="str">
        <f>IFERROR(__xludf.DUMMYFUNCTION("GOOGLETRANSLATE(B633, ""nl"", ""en"")"),"A figure who is withdrawn into himself")</f>
        <v>A figure who is withdrawn into himself</v>
      </c>
    </row>
    <row r="634" ht="15.75" customHeight="1">
      <c r="A634" s="3" t="s">
        <v>9</v>
      </c>
      <c r="B634" s="3" t="s">
        <v>37</v>
      </c>
      <c r="D634" s="3" t="str">
        <f>IFERROR(__xludf.DUMMYFUNCTION("GOOGLETRANSLATE(A634, ""nl"", ""en"")"),"Psychological and Emotional Interpretations")</f>
        <v>Psychological and Emotional Interpretations</v>
      </c>
      <c r="E634" s="3" t="str">
        <f>IFERROR(__xludf.DUMMYFUNCTION("GOOGLETRANSLATE(B634, ""nl"", ""en"")"),"A figure looking through itself")</f>
        <v>A figure looking through itself</v>
      </c>
    </row>
    <row r="635" ht="15.75" customHeight="1">
      <c r="A635" s="3" t="s">
        <v>15</v>
      </c>
      <c r="B635" s="3" t="s">
        <v>52</v>
      </c>
      <c r="D635" s="3" t="str">
        <f>IFERROR(__xludf.DUMMYFUNCTION("GOOGLETRANSLATE(A635, ""nl"", ""en"")"),"Animals and Organic Forms")</f>
        <v>Animals and Organic Forms</v>
      </c>
      <c r="E635" s="3" t="str">
        <f>IFERROR(__xludf.DUMMYFUNCTION("GOOGLETRANSLATE(B635, ""nl"", ""en"")"),"A mask made of leaves")</f>
        <v>A mask made of leaves</v>
      </c>
    </row>
    <row r="636" ht="15.75" customHeight="1">
      <c r="A636" s="3" t="s">
        <v>15</v>
      </c>
      <c r="B636" s="3" t="s">
        <v>22</v>
      </c>
      <c r="D636" s="3" t="str">
        <f>IFERROR(__xludf.DUMMYFUNCTION("GOOGLETRANSLATE(A636, ""nl"", ""en"")"),"Animals and Organic Forms")</f>
        <v>Animals and Organic Forms</v>
      </c>
      <c r="E636" s="3" t="str">
        <f>IFERROR(__xludf.DUMMYFUNCTION("GOOGLETRANSLATE(B636, ""nl"", ""en"")"),"A bird taking off")</f>
        <v>A bird taking off</v>
      </c>
    </row>
    <row r="637" ht="15.75" customHeight="1">
      <c r="A637" s="3" t="s">
        <v>12</v>
      </c>
      <c r="B637" s="3" t="s">
        <v>36</v>
      </c>
      <c r="D637" s="3" t="str">
        <f>IFERROR(__xludf.DUMMYFUNCTION("GOOGLETRANSLATE(A637, ""nl"", ""en"")"),"Nature and Elements")</f>
        <v>Nature and Elements</v>
      </c>
      <c r="E637" s="3" t="str">
        <f>IFERROR(__xludf.DUMMYFUNCTION("GOOGLETRANSLATE(B637, ""nl"", ""en"")"),"A river delta from a bird's-eye view")</f>
        <v>A river delta from a bird's-eye view</v>
      </c>
    </row>
    <row r="638" ht="15.75" customHeight="1">
      <c r="A638" s="3" t="s">
        <v>24</v>
      </c>
      <c r="B638" s="3" t="s">
        <v>48</v>
      </c>
      <c r="D638" s="3" t="str">
        <f>IFERROR(__xludf.DUMMYFUNCTION("GOOGLETRANSLATE(A638, ""nl"", ""en"")"),"Cosmic and Abstract Patterns")</f>
        <v>Cosmic and Abstract Patterns</v>
      </c>
      <c r="E638" s="3" t="str">
        <f>IFERROR(__xludf.DUMMYFUNCTION("GOOGLETRANSLATE(B638, ""nl"", ""en"")"),"A fractal that repeats itself")</f>
        <v>A fractal that repeats itself</v>
      </c>
    </row>
    <row r="639" ht="15.75" customHeight="1">
      <c r="A639" s="3" t="s">
        <v>24</v>
      </c>
      <c r="B639" s="3" t="s">
        <v>27</v>
      </c>
      <c r="D639" s="3" t="str">
        <f>IFERROR(__xludf.DUMMYFUNCTION("GOOGLETRANSLATE(A639, ""nl"", ""en"")"),"Cosmic and Abstract Patterns")</f>
        <v>Cosmic and Abstract Patterns</v>
      </c>
      <c r="E639" s="3" t="str">
        <f>IFERROR(__xludf.DUMMYFUNCTION("GOOGLETRANSLATE(B639, ""nl"", ""en"")"),"A pair of black holes in dance")</f>
        <v>A pair of black holes in dance</v>
      </c>
    </row>
    <row r="640" ht="15.75" customHeight="1">
      <c r="A640" s="3" t="s">
        <v>7</v>
      </c>
      <c r="B640" s="3" t="s">
        <v>34</v>
      </c>
      <c r="D640" s="3" t="str">
        <f>IFERROR(__xludf.DUMMYFUNCTION("GOOGLETRANSLATE(A640, ""nl"", ""en"")"),"Human Figures and Physicality")</f>
        <v>Human Figures and Physicality</v>
      </c>
      <c r="E640" s="3" t="str">
        <f>IFERROR(__xludf.DUMMYFUNCTION("GOOGLETRANSLATE(B640, ""nl"", ""en"")"),"Hands almost touching")</f>
        <v>Hands almost touching</v>
      </c>
    </row>
    <row r="641" ht="15.75" customHeight="1">
      <c r="A641" s="3" t="s">
        <v>9</v>
      </c>
      <c r="B641" s="3" t="s">
        <v>42</v>
      </c>
      <c r="D641" s="3" t="str">
        <f>IFERROR(__xludf.DUMMYFUNCTION("GOOGLETRANSLATE(A641, ""nl"", ""en"")"),"Psychological and Emotional Interpretations")</f>
        <v>Psychological and Emotional Interpretations</v>
      </c>
      <c r="E641" s="3" t="str">
        <f>IFERROR(__xludf.DUMMYFUNCTION("GOOGLETRANSLATE(B641, ""nl"", ""en"")"),"A mask that slowly disappears")</f>
        <v>A mask that slowly disappears</v>
      </c>
    </row>
    <row r="642" ht="15.75" customHeight="1">
      <c r="A642" s="3" t="s">
        <v>4</v>
      </c>
      <c r="B642" s="3" t="s">
        <v>21</v>
      </c>
      <c r="D642" s="3" t="str">
        <f>IFERROR(__xludf.DUMMYFUNCTION("GOOGLETRANSLATE(A642, ""nl"", ""en"")"),"Architectural and Structural Associations")</f>
        <v>Architectural and Structural Associations</v>
      </c>
      <c r="E642" s="3" t="str">
        <f>IFERROR(__xludf.DUMMYFUNCTION("GOOGLETRANSLATE(B642, ""nl"", ""en"")"),"A bridge that leads nowhere")</f>
        <v>A bridge that leads nowhere</v>
      </c>
    </row>
    <row r="643" ht="15.75" customHeight="1">
      <c r="A643" s="3" t="s">
        <v>12</v>
      </c>
      <c r="B643" s="3" t="s">
        <v>19</v>
      </c>
      <c r="D643" s="3" t="str">
        <f>IFERROR(__xludf.DUMMYFUNCTION("GOOGLETRANSLATE(A643, ""nl"", ""en"")"),"Nature and Elements")</f>
        <v>Nature and Elements</v>
      </c>
      <c r="E643" s="3" t="str">
        <f>IFERROR(__xludf.DUMMYFUNCTION("GOOGLETRANSLATE(B643, ""nl"", ""en"")"),"A mountain range that seems to breathe")</f>
        <v>A mountain range that seems to breathe</v>
      </c>
    </row>
    <row r="644" ht="15.75" customHeight="1">
      <c r="A644" s="3" t="s">
        <v>7</v>
      </c>
      <c r="B644" s="3" t="s">
        <v>28</v>
      </c>
      <c r="D644" s="3" t="str">
        <f>IFERROR(__xludf.DUMMYFUNCTION("GOOGLETRANSLATE(A644, ""nl"", ""en"")"),"Human Figures and Physicality")</f>
        <v>Human Figures and Physicality</v>
      </c>
      <c r="E644" s="3" t="str">
        <f>IFERROR(__xludf.DUMMYFUNCTION("GOOGLETRANSLATE(B644, ""nl"", ""en"")"),"A dancing silhouette")</f>
        <v>A dancing silhouette</v>
      </c>
    </row>
    <row r="645" ht="15.75" customHeight="1">
      <c r="A645" s="3" t="s">
        <v>12</v>
      </c>
      <c r="B645" s="3" t="s">
        <v>23</v>
      </c>
      <c r="D645" s="3" t="str">
        <f>IFERROR(__xludf.DUMMYFUNCTION("GOOGLETRANSLATE(A645, ""nl"", ""en"")"),"Nature and Elements")</f>
        <v>Nature and Elements</v>
      </c>
      <c r="E645" s="3" t="str">
        <f>IFERROR(__xludf.DUMMYFUNCTION("GOOGLETRANSLATE(B645, ""nl"", ""en"")"),"A storm cloud splitting in two")</f>
        <v>A storm cloud splitting in two</v>
      </c>
    </row>
    <row r="646" ht="15.75" customHeight="1">
      <c r="A646" s="3" t="s">
        <v>9</v>
      </c>
      <c r="B646" s="3" t="s">
        <v>57</v>
      </c>
      <c r="D646" s="3" t="str">
        <f>IFERROR(__xludf.DUMMYFUNCTION("GOOGLETRANSLATE(A646, ""nl"", ""en"")"),"Psychological and Emotional Interpretations")</f>
        <v>Psychological and Emotional Interpretations</v>
      </c>
      <c r="E646" s="3" t="str">
        <f>IFERROR(__xludf.DUMMYFUNCTION("GOOGLETRANSLATE(B646, ""nl"", ""en"")"),"An explosion of colours and feelings")</f>
        <v>An explosion of colours and feelings</v>
      </c>
    </row>
    <row r="647" ht="15.75" customHeight="1">
      <c r="A647" s="3" t="s">
        <v>7</v>
      </c>
      <c r="B647" s="3" t="s">
        <v>40</v>
      </c>
      <c r="D647" s="3" t="str">
        <f>IFERROR(__xludf.DUMMYFUNCTION("GOOGLETRANSLATE(A647, ""nl"", ""en"")"),"Human Figures and Physicality")</f>
        <v>Human Figures and Physicality</v>
      </c>
      <c r="E647" s="3" t="str">
        <f>IFERROR(__xludf.DUMMYFUNCTION("GOOGLETRANSLATE(B647, ""nl"", ""en"")"),"A figure who is withdrawn into himself")</f>
        <v>A figure who is withdrawn into himself</v>
      </c>
    </row>
    <row r="648" ht="15.75" customHeight="1">
      <c r="A648" s="3" t="s">
        <v>9</v>
      </c>
      <c r="B648" s="3" t="s">
        <v>37</v>
      </c>
      <c r="D648" s="3" t="str">
        <f>IFERROR(__xludf.DUMMYFUNCTION("GOOGLETRANSLATE(A648, ""nl"", ""en"")"),"Psychological and Emotional Interpretations")</f>
        <v>Psychological and Emotional Interpretations</v>
      </c>
      <c r="E648" s="3" t="str">
        <f>IFERROR(__xludf.DUMMYFUNCTION("GOOGLETRANSLATE(B648, ""nl"", ""en"")"),"A figure looking through itself")</f>
        <v>A figure looking through itself</v>
      </c>
    </row>
    <row r="649" ht="15.75" customHeight="1">
      <c r="A649" s="3" t="s">
        <v>15</v>
      </c>
      <c r="B649" s="3" t="s">
        <v>38</v>
      </c>
      <c r="D649" s="3" t="str">
        <f>IFERROR(__xludf.DUMMYFUNCTION("GOOGLETRANSLATE(A649, ""nl"", ""en"")"),"Animals and Organic Forms")</f>
        <v>Animals and Organic Forms</v>
      </c>
      <c r="E649" s="3" t="str">
        <f>IFERROR(__xludf.DUMMYFUNCTION("GOOGLETRANSLATE(B649, ""nl"", ""en"")"),"A lion with an open mouth")</f>
        <v>A lion with an open mouth</v>
      </c>
    </row>
    <row r="650" ht="15.75" customHeight="1">
      <c r="A650" s="3" t="s">
        <v>9</v>
      </c>
      <c r="B650" s="3" t="s">
        <v>14</v>
      </c>
      <c r="D650" s="3" t="str">
        <f>IFERROR(__xludf.DUMMYFUNCTION("GOOGLETRANSLATE(A650, ""nl"", ""en"")"),"Psychological and Emotional Interpretations")</f>
        <v>Psychological and Emotional Interpretations</v>
      </c>
      <c r="E650" s="3" t="str">
        <f>IFERROR(__xludf.DUMMYFUNCTION("GOOGLETRANSLATE(B650, ""nl"", ""en"")"),"An unclear hug")</f>
        <v>An unclear hug</v>
      </c>
    </row>
    <row r="651" ht="15.75" customHeight="1">
      <c r="A651" s="3" t="s">
        <v>15</v>
      </c>
      <c r="B651" s="3" t="s">
        <v>46</v>
      </c>
      <c r="D651" s="3" t="str">
        <f>IFERROR(__xludf.DUMMYFUNCTION("GOOGLETRANSLATE(A651, ""nl"", ""en"")"),"Animals and Organic Forms")</f>
        <v>Animals and Organic Forms</v>
      </c>
      <c r="E651" s="3" t="str">
        <f>IFERROR(__xludf.DUMMYFUNCTION("GOOGLETRANSLATE(B651, ""nl"", ""en"")"),"A flock of fish moving as one")</f>
        <v>A flock of fish moving as one</v>
      </c>
    </row>
    <row r="652" ht="15.75" customHeight="1">
      <c r="A652" s="3" t="s">
        <v>12</v>
      </c>
      <c r="B652" s="3" t="s">
        <v>36</v>
      </c>
      <c r="D652" s="3" t="str">
        <f>IFERROR(__xludf.DUMMYFUNCTION("GOOGLETRANSLATE(A652, ""nl"", ""en"")"),"Nature and Elements")</f>
        <v>Nature and Elements</v>
      </c>
      <c r="E652" s="3" t="str">
        <f>IFERROR(__xludf.DUMMYFUNCTION("GOOGLETRANSLATE(B652, ""nl"", ""en"")"),"A river delta from a bird's-eye view")</f>
        <v>A river delta from a bird's-eye view</v>
      </c>
    </row>
    <row r="653" ht="15.75" customHeight="1">
      <c r="A653" s="3" t="s">
        <v>9</v>
      </c>
      <c r="B653" s="3" t="s">
        <v>49</v>
      </c>
      <c r="D653" s="3" t="str">
        <f>IFERROR(__xludf.DUMMYFUNCTION("GOOGLETRANSLATE(A653, ""nl"", ""en"")"),"Psychological and Emotional Interpretations")</f>
        <v>Psychological and Emotional Interpretations</v>
      </c>
      <c r="E653" s="3" t="str">
        <f>IFERROR(__xludf.DUMMYFUNCTION("GOOGLETRANSLATE(B653, ""nl"", ""en"")"),"A spiral that turns inward")</f>
        <v>A spiral that turns inward</v>
      </c>
    </row>
    <row r="654" ht="15.75" customHeight="1">
      <c r="A654" s="3" t="s">
        <v>7</v>
      </c>
      <c r="B654" s="3" t="s">
        <v>56</v>
      </c>
      <c r="D654" s="3" t="str">
        <f>IFERROR(__xludf.DUMMYFUNCTION("GOOGLETRANSLATE(A654, ""nl"", ""en"")"),"Human Figures and Physicality")</f>
        <v>Human Figures and Physicality</v>
      </c>
      <c r="E654" s="3" t="str">
        <f>IFERROR(__xludf.DUMMYFUNCTION("GOOGLETRANSLATE(B654, ""nl"", ""en"")"),"A shadow that seems to move")</f>
        <v>A shadow that seems to move</v>
      </c>
    </row>
    <row r="655" ht="15.75" customHeight="1">
      <c r="A655" s="3" t="s">
        <v>12</v>
      </c>
      <c r="B655" s="3" t="s">
        <v>36</v>
      </c>
      <c r="D655" s="3" t="str">
        <f>IFERROR(__xludf.DUMMYFUNCTION("GOOGLETRANSLATE(A655, ""nl"", ""en"")"),"Nature and Elements")</f>
        <v>Nature and Elements</v>
      </c>
      <c r="E655" s="3" t="str">
        <f>IFERROR(__xludf.DUMMYFUNCTION("GOOGLETRANSLATE(B655, ""nl"", ""en"")"),"A river delta from a bird's-eye view")</f>
        <v>A river delta from a bird's-eye view</v>
      </c>
    </row>
    <row r="656" ht="15.75" customHeight="1">
      <c r="A656" s="3" t="s">
        <v>24</v>
      </c>
      <c r="B656" s="3" t="s">
        <v>32</v>
      </c>
      <c r="D656" s="3" t="str">
        <f>IFERROR(__xludf.DUMMYFUNCTION("GOOGLETRANSLATE(A656, ""nl"", ""en"")"),"Cosmic and Abstract Patterns")</f>
        <v>Cosmic and Abstract Patterns</v>
      </c>
      <c r="E656" s="3" t="str">
        <f>IFERROR(__xludf.DUMMYFUNCTION("GOOGLETRANSLATE(B656, ""nl"", ""en"")"),"A time loop captured in image")</f>
        <v>A time loop captured in image</v>
      </c>
    </row>
    <row r="657" ht="15.75" customHeight="1">
      <c r="A657" s="3" t="s">
        <v>7</v>
      </c>
      <c r="B657" s="3" t="s">
        <v>41</v>
      </c>
      <c r="D657" s="3" t="str">
        <f>IFERROR(__xludf.DUMMYFUNCTION("GOOGLETRANSLATE(A657, ""nl"", ""en"")"),"Human Figures and Physicality")</f>
        <v>Human Figures and Physicality</v>
      </c>
      <c r="E657" s="3" t="str">
        <f>IFERROR(__xludf.DUMMYFUNCTION("GOOGLETRANSLATE(B657, ""nl"", ""en"")"),"A face that fades into abstraction")</f>
        <v>A face that fades into abstraction</v>
      </c>
    </row>
    <row r="658" ht="15.75" customHeight="1">
      <c r="A658" s="3" t="s">
        <v>7</v>
      </c>
      <c r="B658" s="3" t="s">
        <v>56</v>
      </c>
      <c r="D658" s="3" t="str">
        <f>IFERROR(__xludf.DUMMYFUNCTION("GOOGLETRANSLATE(A658, ""nl"", ""en"")"),"Human Figures and Physicality")</f>
        <v>Human Figures and Physicality</v>
      </c>
      <c r="E658" s="3" t="str">
        <f>IFERROR(__xludf.DUMMYFUNCTION("GOOGLETRANSLATE(B658, ""nl"", ""en"")"),"A shadow that seems to move")</f>
        <v>A shadow that seems to move</v>
      </c>
    </row>
    <row r="659" ht="15.75" customHeight="1">
      <c r="A659" s="3" t="s">
        <v>9</v>
      </c>
      <c r="B659" s="3" t="s">
        <v>57</v>
      </c>
      <c r="D659" s="3" t="str">
        <f>IFERROR(__xludf.DUMMYFUNCTION("GOOGLETRANSLATE(A659, ""nl"", ""en"")"),"Psychological and Emotional Interpretations")</f>
        <v>Psychological and Emotional Interpretations</v>
      </c>
      <c r="E659" s="3" t="str">
        <f>IFERROR(__xludf.DUMMYFUNCTION("GOOGLETRANSLATE(B659, ""nl"", ""en"")"),"An explosion of colours and feelings")</f>
        <v>An explosion of colours and feelings</v>
      </c>
    </row>
    <row r="660" ht="15.75" customHeight="1">
      <c r="A660" s="3" t="s">
        <v>4</v>
      </c>
      <c r="B660" s="3" t="s">
        <v>35</v>
      </c>
      <c r="D660" s="3" t="str">
        <f>IFERROR(__xludf.DUMMYFUNCTION("GOOGLETRANSLATE(A660, ""nl"", ""en"")"),"Architectural and Structural Associations")</f>
        <v>Architectural and Structural Associations</v>
      </c>
      <c r="E660" s="3" t="str">
        <f>IFERROR(__xludf.DUMMYFUNCTION("GOOGLETRANSLATE(B660, ""nl"", ""en"")"),"A floating building without a base")</f>
        <v>A floating building without a base</v>
      </c>
    </row>
    <row r="661" ht="15.75" customHeight="1">
      <c r="A661" s="3" t="s">
        <v>24</v>
      </c>
      <c r="B661" s="3" t="s">
        <v>54</v>
      </c>
      <c r="D661" s="3" t="str">
        <f>IFERROR(__xludf.DUMMYFUNCTION("GOOGLETRANSLATE(A661, ""nl"", ""en"")"),"Cosmic and Abstract Patterns")</f>
        <v>Cosmic and Abstract Patterns</v>
      </c>
      <c r="E661" s="3" t="str">
        <f>IFERROR(__xludf.DUMMYFUNCTION("GOOGLETRANSLATE(B661, ""nl"", ""en"")"),"A quantum particle in superposition")</f>
        <v>A quantum particle in superposition</v>
      </c>
    </row>
    <row r="662" ht="15.75" customHeight="1">
      <c r="A662" s="3" t="s">
        <v>12</v>
      </c>
      <c r="B662" s="3" t="s">
        <v>30</v>
      </c>
      <c r="D662" s="3" t="str">
        <f>IFERROR(__xludf.DUMMYFUNCTION("GOOGLETRANSLATE(A662, ""nl"", ""en"")"),"Nature and Elements")</f>
        <v>Nature and Elements</v>
      </c>
      <c r="E662" s="3" t="str">
        <f>IFERROR(__xludf.DUMMYFUNCTION("GOOGLETRANSLATE(B662, ""nl"", ""en"")"),"Waves breaking in fractal patterns")</f>
        <v>Waves breaking in fractal patterns</v>
      </c>
    </row>
    <row r="663" ht="15.75" customHeight="1">
      <c r="A663" s="3" t="s">
        <v>4</v>
      </c>
      <c r="B663" s="3" t="s">
        <v>21</v>
      </c>
      <c r="D663" s="3" t="str">
        <f>IFERROR(__xludf.DUMMYFUNCTION("GOOGLETRANSLATE(A663, ""nl"", ""en"")"),"Architectural and Structural Associations")</f>
        <v>Architectural and Structural Associations</v>
      </c>
      <c r="E663" s="3" t="str">
        <f>IFERROR(__xludf.DUMMYFUNCTION("GOOGLETRANSLATE(B663, ""nl"", ""en"")"),"A bridge that leads nowhere")</f>
        <v>A bridge that leads nowhere</v>
      </c>
    </row>
    <row r="664" ht="15.75" customHeight="1">
      <c r="A664" s="3" t="s">
        <v>7</v>
      </c>
      <c r="B664" s="3" t="s">
        <v>39</v>
      </c>
      <c r="D664" s="3" t="str">
        <f>IFERROR(__xludf.DUMMYFUNCTION("GOOGLETRANSLATE(A664, ""nl"", ""en"")"),"Human Figures and Physicality")</f>
        <v>Human Figures and Physicality</v>
      </c>
      <c r="E664" s="3" t="str">
        <f>IFERROR(__xludf.DUMMYFUNCTION("GOOGLETRANSLATE(B664, ""nl"", ""en"")"),"A torso without a head")</f>
        <v>A torso without a head</v>
      </c>
    </row>
    <row r="665" ht="15.75" customHeight="1">
      <c r="A665" s="3" t="s">
        <v>12</v>
      </c>
      <c r="B665" s="3" t="s">
        <v>36</v>
      </c>
      <c r="D665" s="3" t="str">
        <f>IFERROR(__xludf.DUMMYFUNCTION("GOOGLETRANSLATE(A665, ""nl"", ""en"")"),"Nature and Elements")</f>
        <v>Nature and Elements</v>
      </c>
      <c r="E665" s="3" t="str">
        <f>IFERROR(__xludf.DUMMYFUNCTION("GOOGLETRANSLATE(B665, ""nl"", ""en"")"),"A river delta from a bird's-eye view")</f>
        <v>A river delta from a bird's-eye view</v>
      </c>
    </row>
    <row r="666" ht="15.75" customHeight="1">
      <c r="A666" s="3" t="s">
        <v>4</v>
      </c>
      <c r="B666" s="3" t="s">
        <v>44</v>
      </c>
      <c r="D666" s="3" t="str">
        <f>IFERROR(__xludf.DUMMYFUNCTION("GOOGLETRANSLATE(A666, ""nl"", ""en"")"),"Architectural and Structural Associations")</f>
        <v>Architectural and Structural Associations</v>
      </c>
      <c r="E666" s="3" t="str">
        <f>IFERROR(__xludf.DUMMYFUNCTION("GOOGLETRANSLATE(B666, ""nl"", ""en"")"),"A structure that pulsates in waves")</f>
        <v>A structure that pulsates in waves</v>
      </c>
    </row>
    <row r="667" ht="15.75" customHeight="1">
      <c r="A667" s="3" t="s">
        <v>24</v>
      </c>
      <c r="B667" s="3" t="s">
        <v>48</v>
      </c>
      <c r="D667" s="3" t="str">
        <f>IFERROR(__xludf.DUMMYFUNCTION("GOOGLETRANSLATE(A667, ""nl"", ""en"")"),"Cosmic and Abstract Patterns")</f>
        <v>Cosmic and Abstract Patterns</v>
      </c>
      <c r="E667" s="3" t="str">
        <f>IFERROR(__xludf.DUMMYFUNCTION("GOOGLETRANSLATE(B667, ""nl"", ""en"")"),"A fractal that repeats itself")</f>
        <v>A fractal that repeats itself</v>
      </c>
    </row>
    <row r="668" ht="15.75" customHeight="1">
      <c r="A668" s="3" t="s">
        <v>12</v>
      </c>
      <c r="B668" s="3" t="s">
        <v>19</v>
      </c>
      <c r="D668" s="3" t="str">
        <f>IFERROR(__xludf.DUMMYFUNCTION("GOOGLETRANSLATE(A668, ""nl"", ""en"")"),"Nature and Elements")</f>
        <v>Nature and Elements</v>
      </c>
      <c r="E668" s="3" t="str">
        <f>IFERROR(__xludf.DUMMYFUNCTION("GOOGLETRANSLATE(B668, ""nl"", ""en"")"),"A mountain range that seems to breathe")</f>
        <v>A mountain range that seems to breathe</v>
      </c>
    </row>
    <row r="669" ht="15.75" customHeight="1">
      <c r="A669" s="3" t="s">
        <v>24</v>
      </c>
      <c r="B669" s="3" t="s">
        <v>25</v>
      </c>
      <c r="D669" s="3" t="str">
        <f>IFERROR(__xludf.DUMMYFUNCTION("GOOGLETRANSLATE(A669, ""nl"", ""en"")"),"Cosmic and Abstract Patterns")</f>
        <v>Cosmic and Abstract Patterns</v>
      </c>
      <c r="E669" s="3" t="str">
        <f>IFERROR(__xludf.DUMMYFUNCTION("GOOGLETRANSLATE(B669, ""nl"", ""en"")"),"A meteor shower dissolving into each other")</f>
        <v>A meteor shower dissolving into each other</v>
      </c>
    </row>
    <row r="670" ht="15.75" customHeight="1">
      <c r="A670" s="3" t="s">
        <v>15</v>
      </c>
      <c r="B670" s="3" t="s">
        <v>45</v>
      </c>
      <c r="D670" s="3" t="str">
        <f>IFERROR(__xludf.DUMMYFUNCTION("GOOGLETRANSLATE(A670, ""nl"", ""en"")"),"Animals and Organic Forms")</f>
        <v>Animals and Organic Forms</v>
      </c>
      <c r="E670" s="3" t="str">
        <f>IFERROR(__xludf.DUMMYFUNCTION("GOOGLETRANSLATE(B670, ""nl"", ""en"")"),"A snake biting its own tail")</f>
        <v>A snake biting its own tail</v>
      </c>
    </row>
    <row r="671" ht="15.75" customHeight="1">
      <c r="A671" s="3" t="s">
        <v>15</v>
      </c>
      <c r="B671" s="3" t="s">
        <v>16</v>
      </c>
      <c r="D671" s="3" t="str">
        <f>IFERROR(__xludf.DUMMYFUNCTION("GOOGLETRANSLATE(A671, ""nl"", ""en"")"),"Animals and Organic Forms")</f>
        <v>Animals and Organic Forms</v>
      </c>
      <c r="E671" s="3" t="str">
        <f>IFERROR(__xludf.DUMMYFUNCTION("GOOGLETRANSLATE(B671, ""nl"", ""en"")"),"A butterfly in transformation")</f>
        <v>A butterfly in transformation</v>
      </c>
    </row>
    <row r="672" ht="15.75" customHeight="1">
      <c r="A672" s="3" t="s">
        <v>12</v>
      </c>
      <c r="B672" s="3" t="s">
        <v>30</v>
      </c>
      <c r="D672" s="3" t="str">
        <f>IFERROR(__xludf.DUMMYFUNCTION("GOOGLETRANSLATE(A672, ""nl"", ""en"")"),"Nature and Elements")</f>
        <v>Nature and Elements</v>
      </c>
      <c r="E672" s="3" t="str">
        <f>IFERROR(__xludf.DUMMYFUNCTION("GOOGLETRANSLATE(B672, ""nl"", ""en"")"),"Waves breaking in fractal patterns")</f>
        <v>Waves breaking in fractal patterns</v>
      </c>
    </row>
    <row r="673" ht="15.75" customHeight="1">
      <c r="A673" s="3" t="s">
        <v>9</v>
      </c>
      <c r="B673" s="3" t="s">
        <v>42</v>
      </c>
      <c r="D673" s="3" t="str">
        <f>IFERROR(__xludf.DUMMYFUNCTION("GOOGLETRANSLATE(A673, ""nl"", ""en"")"),"Psychological and Emotional Interpretations")</f>
        <v>Psychological and Emotional Interpretations</v>
      </c>
      <c r="E673" s="3" t="str">
        <f>IFERROR(__xludf.DUMMYFUNCTION("GOOGLETRANSLATE(B673, ""nl"", ""en"")"),"A mask that slowly disappears")</f>
        <v>A mask that slowly disappears</v>
      </c>
    </row>
    <row r="674" ht="15.75" customHeight="1">
      <c r="A674" s="3" t="s">
        <v>12</v>
      </c>
      <c r="B674" s="3" t="s">
        <v>51</v>
      </c>
      <c r="D674" s="3" t="str">
        <f>IFERROR(__xludf.DUMMYFUNCTION("GOOGLETRANSLATE(A674, ""nl"", ""en"")"),"Nature and Elements")</f>
        <v>Nature and Elements</v>
      </c>
      <c r="E674" s="3" t="str">
        <f>IFERROR(__xludf.DUMMYFUNCTION("GOOGLETRANSLATE(B674, ""nl"", ""en"")"),"An evaporating puddle of water")</f>
        <v>An evaporating puddle of water</v>
      </c>
    </row>
    <row r="675" ht="15.75" customHeight="1">
      <c r="A675" s="3" t="s">
        <v>7</v>
      </c>
      <c r="B675" s="3" t="s">
        <v>56</v>
      </c>
      <c r="D675" s="3" t="str">
        <f>IFERROR(__xludf.DUMMYFUNCTION("GOOGLETRANSLATE(A675, ""nl"", ""en"")"),"Human Figures and Physicality")</f>
        <v>Human Figures and Physicality</v>
      </c>
      <c r="E675" s="3" t="str">
        <f>IFERROR(__xludf.DUMMYFUNCTION("GOOGLETRANSLATE(B675, ""nl"", ""en"")"),"A shadow that seems to move")</f>
        <v>A shadow that seems to move</v>
      </c>
    </row>
    <row r="676" ht="15.75" customHeight="1">
      <c r="A676" s="3" t="s">
        <v>7</v>
      </c>
      <c r="B676" s="3" t="s">
        <v>8</v>
      </c>
      <c r="D676" s="3" t="str">
        <f>IFERROR(__xludf.DUMMYFUNCTION("GOOGLETRANSLATE(A676, ""nl"", ""en"")"),"Human Figures and Physicality")</f>
        <v>Human Figures and Physicality</v>
      </c>
      <c r="E676" s="3" t="str">
        <f>IFERROR(__xludf.DUMMYFUNCTION("GOOGLETRANSLATE(B676, ""nl"", ""en"")"),"Two figures mirroring each other")</f>
        <v>Two figures mirroring each other</v>
      </c>
    </row>
    <row r="677" ht="15.75" customHeight="1">
      <c r="A677" s="3" t="s">
        <v>15</v>
      </c>
      <c r="B677" s="3" t="s">
        <v>26</v>
      </c>
      <c r="D677" s="3" t="str">
        <f>IFERROR(__xludf.DUMMYFUNCTION("GOOGLETRANSLATE(A677, ""nl"", ""en"")"),"Animals and Organic Forms")</f>
        <v>Animals and Organic Forms</v>
      </c>
      <c r="E677" s="3" t="str">
        <f>IFERROR(__xludf.DUMMYFUNCTION("GOOGLETRANSLATE(B677, ""nl"", ""en"")"),"A frog preparing to jump")</f>
        <v>A frog preparing to jump</v>
      </c>
    </row>
    <row r="678" ht="15.75" customHeight="1">
      <c r="A678" s="3" t="s">
        <v>12</v>
      </c>
      <c r="B678" s="3" t="s">
        <v>23</v>
      </c>
      <c r="D678" s="3" t="str">
        <f>IFERROR(__xludf.DUMMYFUNCTION("GOOGLETRANSLATE(A678, ""nl"", ""en"")"),"Nature and Elements")</f>
        <v>Nature and Elements</v>
      </c>
      <c r="E678" s="3" t="str">
        <f>IFERROR(__xludf.DUMMYFUNCTION("GOOGLETRANSLATE(B678, ""nl"", ""en"")"),"A storm cloud splitting in two")</f>
        <v>A storm cloud splitting in two</v>
      </c>
    </row>
    <row r="679" ht="15.75" customHeight="1">
      <c r="A679" s="3" t="s">
        <v>15</v>
      </c>
      <c r="B679" s="3" t="s">
        <v>26</v>
      </c>
      <c r="D679" s="3" t="str">
        <f>IFERROR(__xludf.DUMMYFUNCTION("GOOGLETRANSLATE(A679, ""nl"", ""en"")"),"Animals and Organic Forms")</f>
        <v>Animals and Organic Forms</v>
      </c>
      <c r="E679" s="3" t="str">
        <f>IFERROR(__xludf.DUMMYFUNCTION("GOOGLETRANSLATE(B679, ""nl"", ""en"")"),"A frog preparing to jump")</f>
        <v>A frog preparing to jump</v>
      </c>
    </row>
    <row r="680" ht="15.75" customHeight="1">
      <c r="A680" s="3" t="s">
        <v>24</v>
      </c>
      <c r="B680" s="3" t="s">
        <v>25</v>
      </c>
      <c r="D680" s="3" t="str">
        <f>IFERROR(__xludf.DUMMYFUNCTION("GOOGLETRANSLATE(A680, ""nl"", ""en"")"),"Cosmic and Abstract Patterns")</f>
        <v>Cosmic and Abstract Patterns</v>
      </c>
      <c r="E680" s="3" t="str">
        <f>IFERROR(__xludf.DUMMYFUNCTION("GOOGLETRANSLATE(B680, ""nl"", ""en"")"),"A meteor shower dissolving into each other")</f>
        <v>A meteor shower dissolving into each other</v>
      </c>
    </row>
    <row r="681" ht="15.75" customHeight="1">
      <c r="A681" s="3" t="s">
        <v>4</v>
      </c>
      <c r="B681" s="3" t="s">
        <v>6</v>
      </c>
      <c r="D681" s="3" t="str">
        <f>IFERROR(__xludf.DUMMYFUNCTION("GOOGLETRANSLATE(A681, ""nl"", ""en"")"),"Architectural and Structural Associations")</f>
        <v>Architectural and Structural Associations</v>
      </c>
      <c r="E681" s="3" t="str">
        <f>IFERROR(__xludf.DUMMYFUNCTION("GOOGLETRANSLATE(B681, ""nl"", ""en"")"),"An endless labyrinth")</f>
        <v>An endless labyrinth</v>
      </c>
    </row>
    <row r="682" ht="15.75" customHeight="1">
      <c r="A682" s="3" t="s">
        <v>7</v>
      </c>
      <c r="B682" s="3" t="s">
        <v>34</v>
      </c>
      <c r="D682" s="3" t="str">
        <f>IFERROR(__xludf.DUMMYFUNCTION("GOOGLETRANSLATE(A682, ""nl"", ""en"")"),"Human Figures and Physicality")</f>
        <v>Human Figures and Physicality</v>
      </c>
      <c r="E682" s="3" t="str">
        <f>IFERROR(__xludf.DUMMYFUNCTION("GOOGLETRANSLATE(B682, ""nl"", ""en"")"),"Hands almost touching")</f>
        <v>Hands almost touching</v>
      </c>
    </row>
    <row r="683" ht="15.75" customHeight="1">
      <c r="A683" s="3" t="s">
        <v>12</v>
      </c>
      <c r="B683" s="3" t="s">
        <v>13</v>
      </c>
      <c r="D683" s="3" t="str">
        <f>IFERROR(__xludf.DUMMYFUNCTION("GOOGLETRANSLATE(A683, ""nl"", ""en"")"),"Nature and Elements")</f>
        <v>Nature and Elements</v>
      </c>
      <c r="E683" s="3" t="str">
        <f>IFERROR(__xludf.DUMMYFUNCTION("GOOGLETRANSLATE(B683, ""nl"", ""en"")"),"A lightning strike in slow motion")</f>
        <v>A lightning strike in slow motion</v>
      </c>
    </row>
    <row r="684" ht="15.75" customHeight="1">
      <c r="A684" s="3" t="s">
        <v>12</v>
      </c>
      <c r="B684" s="3" t="s">
        <v>51</v>
      </c>
      <c r="D684" s="3" t="str">
        <f>IFERROR(__xludf.DUMMYFUNCTION("GOOGLETRANSLATE(A684, ""nl"", ""en"")"),"Nature and Elements")</f>
        <v>Nature and Elements</v>
      </c>
      <c r="E684" s="3" t="str">
        <f>IFERROR(__xludf.DUMMYFUNCTION("GOOGLETRANSLATE(B684, ""nl"", ""en"")"),"An evaporating puddle of water")</f>
        <v>An evaporating puddle of water</v>
      </c>
    </row>
    <row r="685" ht="15.75" customHeight="1">
      <c r="A685" s="3" t="s">
        <v>15</v>
      </c>
      <c r="B685" s="3" t="s">
        <v>38</v>
      </c>
      <c r="D685" s="3" t="str">
        <f>IFERROR(__xludf.DUMMYFUNCTION("GOOGLETRANSLATE(A685, ""nl"", ""en"")"),"Animals and Organic Forms")</f>
        <v>Animals and Organic Forms</v>
      </c>
      <c r="E685" s="3" t="str">
        <f>IFERROR(__xludf.DUMMYFUNCTION("GOOGLETRANSLATE(B685, ""nl"", ""en"")"),"A lion with an open mouth")</f>
        <v>A lion with an open mouth</v>
      </c>
    </row>
    <row r="686" ht="15.75" customHeight="1">
      <c r="A686" s="3" t="s">
        <v>15</v>
      </c>
      <c r="B686" s="3" t="s">
        <v>38</v>
      </c>
      <c r="D686" s="3" t="str">
        <f>IFERROR(__xludf.DUMMYFUNCTION("GOOGLETRANSLATE(A686, ""nl"", ""en"")"),"Animals and Organic Forms")</f>
        <v>Animals and Organic Forms</v>
      </c>
      <c r="E686" s="3" t="str">
        <f>IFERROR(__xludf.DUMMYFUNCTION("GOOGLETRANSLATE(B686, ""nl"", ""en"")"),"A lion with an open mouth")</f>
        <v>A lion with an open mouth</v>
      </c>
    </row>
    <row r="687" ht="15.75" customHeight="1">
      <c r="A687" s="3" t="s">
        <v>9</v>
      </c>
      <c r="B687" s="3" t="s">
        <v>37</v>
      </c>
      <c r="D687" s="3" t="str">
        <f>IFERROR(__xludf.DUMMYFUNCTION("GOOGLETRANSLATE(A687, ""nl"", ""en"")"),"Psychological and Emotional Interpretations")</f>
        <v>Psychological and Emotional Interpretations</v>
      </c>
      <c r="E687" s="3" t="str">
        <f>IFERROR(__xludf.DUMMYFUNCTION("GOOGLETRANSLATE(B687, ""nl"", ""en"")"),"A figure looking through itself")</f>
        <v>A figure looking through itself</v>
      </c>
    </row>
    <row r="688" ht="15.75" customHeight="1">
      <c r="A688" s="3" t="s">
        <v>15</v>
      </c>
      <c r="B688" s="3" t="s">
        <v>52</v>
      </c>
      <c r="D688" s="3" t="str">
        <f>IFERROR(__xludf.DUMMYFUNCTION("GOOGLETRANSLATE(A688, ""nl"", ""en"")"),"Animals and Organic Forms")</f>
        <v>Animals and Organic Forms</v>
      </c>
      <c r="E688" s="3" t="str">
        <f>IFERROR(__xludf.DUMMYFUNCTION("GOOGLETRANSLATE(B688, ""nl"", ""en"")"),"A mask made of leaves")</f>
        <v>A mask made of leaves</v>
      </c>
    </row>
    <row r="689" ht="15.75" customHeight="1">
      <c r="A689" s="3" t="s">
        <v>9</v>
      </c>
      <c r="B689" s="3" t="s">
        <v>57</v>
      </c>
      <c r="D689" s="3" t="str">
        <f>IFERROR(__xludf.DUMMYFUNCTION("GOOGLETRANSLATE(A689, ""nl"", ""en"")"),"Psychological and Emotional Interpretations")</f>
        <v>Psychological and Emotional Interpretations</v>
      </c>
      <c r="E689" s="3" t="str">
        <f>IFERROR(__xludf.DUMMYFUNCTION("GOOGLETRANSLATE(B689, ""nl"", ""en"")"),"An explosion of colours and feelings")</f>
        <v>An explosion of colours and feelings</v>
      </c>
    </row>
    <row r="690" ht="15.75" customHeight="1">
      <c r="A690" s="3" t="s">
        <v>7</v>
      </c>
      <c r="B690" s="3" t="s">
        <v>28</v>
      </c>
      <c r="D690" s="3" t="str">
        <f>IFERROR(__xludf.DUMMYFUNCTION("GOOGLETRANSLATE(A690, ""nl"", ""en"")"),"Human Figures and Physicality")</f>
        <v>Human Figures and Physicality</v>
      </c>
      <c r="E690" s="3" t="str">
        <f>IFERROR(__xludf.DUMMYFUNCTION("GOOGLETRANSLATE(B690, ""nl"", ""en"")"),"A dancing silhouette")</f>
        <v>A dancing silhouette</v>
      </c>
    </row>
    <row r="691" ht="15.75" customHeight="1">
      <c r="A691" s="3" t="s">
        <v>12</v>
      </c>
      <c r="B691" s="3" t="s">
        <v>19</v>
      </c>
      <c r="D691" s="3" t="str">
        <f>IFERROR(__xludf.DUMMYFUNCTION("GOOGLETRANSLATE(A691, ""nl"", ""en"")"),"Nature and Elements")</f>
        <v>Nature and Elements</v>
      </c>
      <c r="E691" s="3" t="str">
        <f>IFERROR(__xludf.DUMMYFUNCTION("GOOGLETRANSLATE(B691, ""nl"", ""en"")"),"A mountain range that seems to breathe")</f>
        <v>A mountain range that seems to breathe</v>
      </c>
    </row>
    <row r="692" ht="15.75" customHeight="1">
      <c r="A692" s="3" t="s">
        <v>24</v>
      </c>
      <c r="B692" s="3" t="s">
        <v>32</v>
      </c>
      <c r="D692" s="3" t="str">
        <f>IFERROR(__xludf.DUMMYFUNCTION("GOOGLETRANSLATE(A692, ""nl"", ""en"")"),"Cosmic and Abstract Patterns")</f>
        <v>Cosmic and Abstract Patterns</v>
      </c>
      <c r="E692" s="3" t="str">
        <f>IFERROR(__xludf.DUMMYFUNCTION("GOOGLETRANSLATE(B692, ""nl"", ""en"")"),"A time loop captured in image")</f>
        <v>A time loop captured in image</v>
      </c>
    </row>
    <row r="693" ht="15.75" customHeight="1">
      <c r="A693" s="3" t="s">
        <v>24</v>
      </c>
      <c r="B693" s="3" t="s">
        <v>54</v>
      </c>
      <c r="D693" s="3" t="str">
        <f>IFERROR(__xludf.DUMMYFUNCTION("GOOGLETRANSLATE(A693, ""nl"", ""en"")"),"Cosmic and Abstract Patterns")</f>
        <v>Cosmic and Abstract Patterns</v>
      </c>
      <c r="E693" s="3" t="str">
        <f>IFERROR(__xludf.DUMMYFUNCTION("GOOGLETRANSLATE(B693, ""nl"", ""en"")"),"A quantum particle in superposition")</f>
        <v>A quantum particle in superposition</v>
      </c>
    </row>
    <row r="694" ht="15.75" customHeight="1">
      <c r="A694" s="3" t="s">
        <v>9</v>
      </c>
      <c r="B694" s="3" t="s">
        <v>11</v>
      </c>
      <c r="D694" s="3" t="str">
        <f>IFERROR(__xludf.DUMMYFUNCTION("GOOGLETRANSLATE(A694, ""nl"", ""en"")"),"Psychological and Emotional Interpretations")</f>
        <v>Psychological and Emotional Interpretations</v>
      </c>
      <c r="E694" s="3" t="str">
        <f>IFERROR(__xludf.DUMMYFUNCTION("GOOGLETRANSLATE(B694, ""nl"", ""en"")"),"An emotion captured in abstraction")</f>
        <v>An emotion captured in abstraction</v>
      </c>
    </row>
    <row r="695" ht="15.75" customHeight="1">
      <c r="A695" s="3" t="s">
        <v>24</v>
      </c>
      <c r="B695" s="3" t="s">
        <v>32</v>
      </c>
      <c r="D695" s="3" t="str">
        <f>IFERROR(__xludf.DUMMYFUNCTION("GOOGLETRANSLATE(A695, ""nl"", ""en"")"),"Cosmic and Abstract Patterns")</f>
        <v>Cosmic and Abstract Patterns</v>
      </c>
      <c r="E695" s="3" t="str">
        <f>IFERROR(__xludf.DUMMYFUNCTION("GOOGLETRANSLATE(B695, ""nl"", ""en"")"),"A time loop captured in image")</f>
        <v>A time loop captured in image</v>
      </c>
    </row>
    <row r="696" ht="15.75" customHeight="1">
      <c r="A696" s="3" t="s">
        <v>7</v>
      </c>
      <c r="B696" s="3" t="s">
        <v>40</v>
      </c>
      <c r="D696" s="3" t="str">
        <f>IFERROR(__xludf.DUMMYFUNCTION("GOOGLETRANSLATE(A696, ""nl"", ""en"")"),"Human Figures and Physicality")</f>
        <v>Human Figures and Physicality</v>
      </c>
      <c r="E696" s="3" t="str">
        <f>IFERROR(__xludf.DUMMYFUNCTION("GOOGLETRANSLATE(B696, ""nl"", ""en"")"),"A figure who is withdrawn into himself")</f>
        <v>A figure who is withdrawn into himself</v>
      </c>
    </row>
    <row r="697" ht="15.75" customHeight="1">
      <c r="A697" s="3" t="s">
        <v>4</v>
      </c>
      <c r="B697" s="3" t="s">
        <v>55</v>
      </c>
      <c r="D697" s="3" t="str">
        <f>IFERROR(__xludf.DUMMYFUNCTION("GOOGLETRANSLATE(A697, ""nl"", ""en"")"),"Architectural and Structural Associations")</f>
        <v>Architectural and Structural Associations</v>
      </c>
      <c r="E697" s="3" t="str">
        <f>IFERROR(__xludf.DUMMYFUNCTION("GOOGLETRANSLATE(B697, ""nl"", ""en"")"),"A prism that splits light into colors")</f>
        <v>A prism that splits light into colors</v>
      </c>
    </row>
    <row r="698" ht="15.75" customHeight="1">
      <c r="A698" s="3" t="s">
        <v>24</v>
      </c>
      <c r="B698" s="3" t="s">
        <v>32</v>
      </c>
      <c r="D698" s="3" t="str">
        <f>IFERROR(__xludf.DUMMYFUNCTION("GOOGLETRANSLATE(A698, ""nl"", ""en"")"),"Cosmic and Abstract Patterns")</f>
        <v>Cosmic and Abstract Patterns</v>
      </c>
      <c r="E698" s="3" t="str">
        <f>IFERROR(__xludf.DUMMYFUNCTION("GOOGLETRANSLATE(B698, ""nl"", ""en"")"),"A time loop captured in image")</f>
        <v>A time loop captured in image</v>
      </c>
    </row>
    <row r="699" ht="15.75" customHeight="1">
      <c r="A699" s="3" t="s">
        <v>4</v>
      </c>
      <c r="B699" s="3" t="s">
        <v>5</v>
      </c>
      <c r="D699" s="3" t="str">
        <f>IFERROR(__xludf.DUMMYFUNCTION("GOOGLETRANSLATE(A699, ""nl"", ""en"")"),"Architectural and Structural Associations")</f>
        <v>Architectural and Structural Associations</v>
      </c>
      <c r="E699" s="3" t="str">
        <f>IFERROR(__xludf.DUMMYFUNCTION("GOOGLETRANSLATE(B699, ""nl"", ""en"")"),"A cathedral shaped from mist")</f>
        <v>A cathedral shaped from mist</v>
      </c>
    </row>
    <row r="700" ht="15.75" customHeight="1">
      <c r="A700" s="3" t="s">
        <v>4</v>
      </c>
      <c r="B700" s="3" t="s">
        <v>5</v>
      </c>
      <c r="D700" s="3" t="str">
        <f>IFERROR(__xludf.DUMMYFUNCTION("GOOGLETRANSLATE(A700, ""nl"", ""en"")"),"Architectural and Structural Associations")</f>
        <v>Architectural and Structural Associations</v>
      </c>
      <c r="E700" s="3" t="str">
        <f>IFERROR(__xludf.DUMMYFUNCTION("GOOGLETRANSLATE(B700, ""nl"", ""en"")"),"A cathedral shaped from mist")</f>
        <v>A cathedral shaped from mist</v>
      </c>
    </row>
    <row r="701" ht="15.75" customHeight="1">
      <c r="A701" s="3" t="s">
        <v>7</v>
      </c>
      <c r="B701" s="3" t="s">
        <v>34</v>
      </c>
      <c r="D701" s="3" t="str">
        <f>IFERROR(__xludf.DUMMYFUNCTION("GOOGLETRANSLATE(A701, ""nl"", ""en"")"),"Human Figures and Physicality")</f>
        <v>Human Figures and Physicality</v>
      </c>
      <c r="E701" s="3" t="str">
        <f>IFERROR(__xludf.DUMMYFUNCTION("GOOGLETRANSLATE(B701, ""nl"", ""en"")"),"Hands almost touching")</f>
        <v>Hands almost touching</v>
      </c>
    </row>
    <row r="702" ht="15.75" customHeight="1">
      <c r="A702" s="3" t="s">
        <v>12</v>
      </c>
      <c r="B702" s="3" t="s">
        <v>51</v>
      </c>
      <c r="D702" s="3" t="str">
        <f>IFERROR(__xludf.DUMMYFUNCTION("GOOGLETRANSLATE(A702, ""nl"", ""en"")"),"Nature and Elements")</f>
        <v>Nature and Elements</v>
      </c>
      <c r="E702" s="3" t="str">
        <f>IFERROR(__xludf.DUMMYFUNCTION("GOOGLETRANSLATE(B702, ""nl"", ""en"")"),"An evaporating puddle of water")</f>
        <v>An evaporating puddle of water</v>
      </c>
    </row>
    <row r="703" ht="15.75" customHeight="1">
      <c r="A703" s="3" t="s">
        <v>9</v>
      </c>
      <c r="B703" s="3" t="s">
        <v>42</v>
      </c>
      <c r="D703" s="3" t="str">
        <f>IFERROR(__xludf.DUMMYFUNCTION("GOOGLETRANSLATE(A703, ""nl"", ""en"")"),"Psychological and Emotional Interpretations")</f>
        <v>Psychological and Emotional Interpretations</v>
      </c>
      <c r="E703" s="3" t="str">
        <f>IFERROR(__xludf.DUMMYFUNCTION("GOOGLETRANSLATE(B703, ""nl"", ""en"")"),"A mask that slowly disappears")</f>
        <v>A mask that slowly disappears</v>
      </c>
    </row>
    <row r="704" ht="15.75" customHeight="1">
      <c r="A704" s="3" t="s">
        <v>12</v>
      </c>
      <c r="B704" s="3" t="s">
        <v>30</v>
      </c>
      <c r="D704" s="3" t="str">
        <f>IFERROR(__xludf.DUMMYFUNCTION("GOOGLETRANSLATE(A704, ""nl"", ""en"")"),"Nature and Elements")</f>
        <v>Nature and Elements</v>
      </c>
      <c r="E704" s="3" t="str">
        <f>IFERROR(__xludf.DUMMYFUNCTION("GOOGLETRANSLATE(B704, ""nl"", ""en"")"),"Waves breaking in fractal patterns")</f>
        <v>Waves breaking in fractal patterns</v>
      </c>
    </row>
    <row r="705" ht="15.75" customHeight="1">
      <c r="A705" s="3" t="s">
        <v>12</v>
      </c>
      <c r="B705" s="3" t="s">
        <v>47</v>
      </c>
      <c r="D705" s="3" t="str">
        <f>IFERROR(__xludf.DUMMYFUNCTION("GOOGLETRANSLATE(A705, ""nl"", ""en"")"),"Nature and Elements")</f>
        <v>Nature and Elements</v>
      </c>
      <c r="E705" s="3" t="str">
        <f>IFERROR(__xludf.DUMMYFUNCTION("GOOGLETRANSLATE(B705, ""nl"", ""en"")"),"A desert landscape that slowly changes")</f>
        <v>A desert landscape that slowly changes</v>
      </c>
    </row>
    <row r="706" ht="15.75" customHeight="1">
      <c r="A706" s="3" t="s">
        <v>9</v>
      </c>
      <c r="B706" s="3" t="s">
        <v>17</v>
      </c>
      <c r="D706" s="3" t="str">
        <f>IFERROR(__xludf.DUMMYFUNCTION("GOOGLETRANSLATE(A706, ""nl"", ""en"")"),"Psychological and Emotional Interpretations")</f>
        <v>Psychological and Emotional Interpretations</v>
      </c>
      <c r="E706" s="3" t="str">
        <f>IFERROR(__xludf.DUMMYFUNCTION("GOOGLETRANSLATE(B706, ""nl"", ""en"")"),"A figure that seems to melt")</f>
        <v>A figure that seems to melt</v>
      </c>
    </row>
    <row r="707" ht="15.75" customHeight="1">
      <c r="A707" s="3" t="s">
        <v>9</v>
      </c>
      <c r="B707" s="3" t="s">
        <v>11</v>
      </c>
      <c r="D707" s="3" t="str">
        <f>IFERROR(__xludf.DUMMYFUNCTION("GOOGLETRANSLATE(A707, ""nl"", ""en"")"),"Psychological and Emotional Interpretations")</f>
        <v>Psychological and Emotional Interpretations</v>
      </c>
      <c r="E707" s="3" t="str">
        <f>IFERROR(__xludf.DUMMYFUNCTION("GOOGLETRANSLATE(B707, ""nl"", ""en"")"),"An emotion captured in abstraction")</f>
        <v>An emotion captured in abstraction</v>
      </c>
    </row>
    <row r="708" ht="15.75" customHeight="1">
      <c r="A708" s="3" t="s">
        <v>12</v>
      </c>
      <c r="B708" s="3" t="s">
        <v>19</v>
      </c>
      <c r="D708" s="3" t="str">
        <f>IFERROR(__xludf.DUMMYFUNCTION("GOOGLETRANSLATE(A708, ""nl"", ""en"")"),"Nature and Elements")</f>
        <v>Nature and Elements</v>
      </c>
      <c r="E708" s="3" t="str">
        <f>IFERROR(__xludf.DUMMYFUNCTION("GOOGLETRANSLATE(B708, ""nl"", ""en"")"),"A mountain range that seems to breathe")</f>
        <v>A mountain range that seems to breathe</v>
      </c>
    </row>
    <row r="709" ht="15.75" customHeight="1">
      <c r="A709" s="3" t="s">
        <v>12</v>
      </c>
      <c r="B709" s="3" t="s">
        <v>47</v>
      </c>
      <c r="D709" s="3" t="str">
        <f>IFERROR(__xludf.DUMMYFUNCTION("GOOGLETRANSLATE(A709, ""nl"", ""en"")"),"Nature and Elements")</f>
        <v>Nature and Elements</v>
      </c>
      <c r="E709" s="3" t="str">
        <f>IFERROR(__xludf.DUMMYFUNCTION("GOOGLETRANSLATE(B709, ""nl"", ""en"")"),"A desert landscape that slowly changes")</f>
        <v>A desert landscape that slowly changes</v>
      </c>
    </row>
    <row r="710" ht="15.75" customHeight="1">
      <c r="A710" s="3" t="s">
        <v>12</v>
      </c>
      <c r="B710" s="3" t="s">
        <v>23</v>
      </c>
      <c r="D710" s="3" t="str">
        <f>IFERROR(__xludf.DUMMYFUNCTION("GOOGLETRANSLATE(A710, ""nl"", ""en"")"),"Nature and Elements")</f>
        <v>Nature and Elements</v>
      </c>
      <c r="E710" s="3" t="str">
        <f>IFERROR(__xludf.DUMMYFUNCTION("GOOGLETRANSLATE(B710, ""nl"", ""en"")"),"A storm cloud splitting in two")</f>
        <v>A storm cloud splitting in two</v>
      </c>
    </row>
    <row r="711" ht="15.75" customHeight="1">
      <c r="A711" s="3" t="s">
        <v>24</v>
      </c>
      <c r="B711" s="3" t="s">
        <v>25</v>
      </c>
      <c r="D711" s="3" t="str">
        <f>IFERROR(__xludf.DUMMYFUNCTION("GOOGLETRANSLATE(A711, ""nl"", ""en"")"),"Cosmic and Abstract Patterns")</f>
        <v>Cosmic and Abstract Patterns</v>
      </c>
      <c r="E711" s="3" t="str">
        <f>IFERROR(__xludf.DUMMYFUNCTION("GOOGLETRANSLATE(B711, ""nl"", ""en"")"),"A meteor shower dissolving into each other")</f>
        <v>A meteor shower dissolving into each other</v>
      </c>
    </row>
    <row r="712" ht="15.75" customHeight="1">
      <c r="A712" s="3" t="s">
        <v>12</v>
      </c>
      <c r="B712" s="3" t="s">
        <v>51</v>
      </c>
      <c r="D712" s="3" t="str">
        <f>IFERROR(__xludf.DUMMYFUNCTION("GOOGLETRANSLATE(A712, ""nl"", ""en"")"),"Nature and Elements")</f>
        <v>Nature and Elements</v>
      </c>
      <c r="E712" s="3" t="str">
        <f>IFERROR(__xludf.DUMMYFUNCTION("GOOGLETRANSLATE(B712, ""nl"", ""en"")"),"An evaporating puddle of water")</f>
        <v>An evaporating puddle of water</v>
      </c>
    </row>
    <row r="713" ht="15.75" customHeight="1">
      <c r="A713" s="3" t="s">
        <v>7</v>
      </c>
      <c r="B713" s="3" t="s">
        <v>8</v>
      </c>
      <c r="D713" s="3" t="str">
        <f>IFERROR(__xludf.DUMMYFUNCTION("GOOGLETRANSLATE(A713, ""nl"", ""en"")"),"Human Figures and Physicality")</f>
        <v>Human Figures and Physicality</v>
      </c>
      <c r="E713" s="3" t="str">
        <f>IFERROR(__xludf.DUMMYFUNCTION("GOOGLETRANSLATE(B713, ""nl"", ""en"")"),"Two figures mirroring each other")</f>
        <v>Two figures mirroring each other</v>
      </c>
    </row>
    <row r="714" ht="15.75" customHeight="1">
      <c r="A714" s="3" t="s">
        <v>7</v>
      </c>
      <c r="B714" s="3" t="s">
        <v>28</v>
      </c>
      <c r="D714" s="3" t="str">
        <f>IFERROR(__xludf.DUMMYFUNCTION("GOOGLETRANSLATE(A714, ""nl"", ""en"")"),"Human Figures and Physicality")</f>
        <v>Human Figures and Physicality</v>
      </c>
      <c r="E714" s="3" t="str">
        <f>IFERROR(__xludf.DUMMYFUNCTION("GOOGLETRANSLATE(B714, ""nl"", ""en"")"),"A dancing silhouette")</f>
        <v>A dancing silhouette</v>
      </c>
    </row>
    <row r="715" ht="15.75" customHeight="1">
      <c r="A715" s="3" t="s">
        <v>12</v>
      </c>
      <c r="B715" s="3" t="s">
        <v>23</v>
      </c>
      <c r="D715" s="3" t="str">
        <f>IFERROR(__xludf.DUMMYFUNCTION("GOOGLETRANSLATE(A715, ""nl"", ""en"")"),"Nature and Elements")</f>
        <v>Nature and Elements</v>
      </c>
      <c r="E715" s="3" t="str">
        <f>IFERROR(__xludf.DUMMYFUNCTION("GOOGLETRANSLATE(B715, ""nl"", ""en"")"),"A storm cloud splitting in two")</f>
        <v>A storm cloud splitting in two</v>
      </c>
    </row>
    <row r="716" ht="15.75" customHeight="1">
      <c r="A716" s="3" t="s">
        <v>24</v>
      </c>
      <c r="B716" s="3" t="s">
        <v>25</v>
      </c>
      <c r="D716" s="3" t="str">
        <f>IFERROR(__xludf.DUMMYFUNCTION("GOOGLETRANSLATE(A716, ""nl"", ""en"")"),"Cosmic and Abstract Patterns")</f>
        <v>Cosmic and Abstract Patterns</v>
      </c>
      <c r="E716" s="3" t="str">
        <f>IFERROR(__xludf.DUMMYFUNCTION("GOOGLETRANSLATE(B716, ""nl"", ""en"")"),"A meteor shower dissolving into each other")</f>
        <v>A meteor shower dissolving into each other</v>
      </c>
    </row>
    <row r="717" ht="15.75" customHeight="1">
      <c r="A717" s="3" t="s">
        <v>15</v>
      </c>
      <c r="B717" s="3" t="s">
        <v>52</v>
      </c>
      <c r="D717" s="3" t="str">
        <f>IFERROR(__xludf.DUMMYFUNCTION("GOOGLETRANSLATE(A717, ""nl"", ""en"")"),"Animals and Organic Forms")</f>
        <v>Animals and Organic Forms</v>
      </c>
      <c r="E717" s="3" t="str">
        <f>IFERROR(__xludf.DUMMYFUNCTION("GOOGLETRANSLATE(B717, ""nl"", ""en"")"),"A mask made of leaves")</f>
        <v>A mask made of leaves</v>
      </c>
    </row>
    <row r="718" ht="15.75" customHeight="1">
      <c r="A718" s="3" t="s">
        <v>24</v>
      </c>
      <c r="B718" s="3" t="s">
        <v>31</v>
      </c>
      <c r="D718" s="3" t="str">
        <f>IFERROR(__xludf.DUMMYFUNCTION("GOOGLETRANSLATE(A718, ""nl"", ""en"")"),"Cosmic and Abstract Patterns")</f>
        <v>Cosmic and Abstract Patterns</v>
      </c>
      <c r="E718" s="3" t="str">
        <f>IFERROR(__xludf.DUMMYFUNCTION("GOOGLETRANSLATE(B718, ""nl"", ""en"")"),"A planet with unusual rings")</f>
        <v>A planet with unusual rings</v>
      </c>
    </row>
    <row r="719" ht="15.75" customHeight="1">
      <c r="A719" s="3" t="s">
        <v>7</v>
      </c>
      <c r="B719" s="3" t="s">
        <v>40</v>
      </c>
      <c r="D719" s="3" t="str">
        <f>IFERROR(__xludf.DUMMYFUNCTION("GOOGLETRANSLATE(A719, ""nl"", ""en"")"),"Human Figures and Physicality")</f>
        <v>Human Figures and Physicality</v>
      </c>
      <c r="E719" s="3" t="str">
        <f>IFERROR(__xludf.DUMMYFUNCTION("GOOGLETRANSLATE(B719, ""nl"", ""en"")"),"A figure who is withdrawn into himself")</f>
        <v>A figure who is withdrawn into himself</v>
      </c>
    </row>
    <row r="720" ht="15.75" customHeight="1">
      <c r="A720" s="3" t="s">
        <v>24</v>
      </c>
      <c r="B720" s="3" t="s">
        <v>25</v>
      </c>
      <c r="D720" s="3" t="str">
        <f>IFERROR(__xludf.DUMMYFUNCTION("GOOGLETRANSLATE(A720, ""nl"", ""en"")"),"Cosmic and Abstract Patterns")</f>
        <v>Cosmic and Abstract Patterns</v>
      </c>
      <c r="E720" s="3" t="str">
        <f>IFERROR(__xludf.DUMMYFUNCTION("GOOGLETRANSLATE(B720, ""nl"", ""en"")"),"A meteor shower dissolving into each other")</f>
        <v>A meteor shower dissolving into each other</v>
      </c>
    </row>
    <row r="721" ht="15.75" customHeight="1">
      <c r="A721" s="3" t="s">
        <v>24</v>
      </c>
      <c r="B721" s="3" t="s">
        <v>32</v>
      </c>
      <c r="D721" s="3" t="str">
        <f>IFERROR(__xludf.DUMMYFUNCTION("GOOGLETRANSLATE(A721, ""nl"", ""en"")"),"Cosmic and Abstract Patterns")</f>
        <v>Cosmic and Abstract Patterns</v>
      </c>
      <c r="E721" s="3" t="str">
        <f>IFERROR(__xludf.DUMMYFUNCTION("GOOGLETRANSLATE(B721, ""nl"", ""en"")"),"A time loop captured in image")</f>
        <v>A time loop captured in image</v>
      </c>
    </row>
    <row r="722" ht="15.75" customHeight="1">
      <c r="A722" s="3" t="s">
        <v>4</v>
      </c>
      <c r="B722" s="3" t="s">
        <v>6</v>
      </c>
      <c r="D722" s="3" t="str">
        <f>IFERROR(__xludf.DUMMYFUNCTION("GOOGLETRANSLATE(A722, ""nl"", ""en"")"),"Architectural and Structural Associations")</f>
        <v>Architectural and Structural Associations</v>
      </c>
      <c r="E722" s="3" t="str">
        <f>IFERROR(__xludf.DUMMYFUNCTION("GOOGLETRANSLATE(B722, ""nl"", ""en"")"),"An endless labyrinth")</f>
        <v>An endless labyrinth</v>
      </c>
    </row>
    <row r="723" ht="15.75" customHeight="1">
      <c r="A723" s="3" t="s">
        <v>4</v>
      </c>
      <c r="B723" s="3" t="s">
        <v>20</v>
      </c>
      <c r="D723" s="3" t="str">
        <f>IFERROR(__xludf.DUMMYFUNCTION("GOOGLETRANSLATE(A723, ""nl"", ""en"")"),"Architectural and Structural Associations")</f>
        <v>Architectural and Structural Associations</v>
      </c>
      <c r="E723" s="3" t="str">
        <f>IFERROR(__xludf.DUMMYFUNCTION("GOOGLETRANSLATE(B723, ""nl"", ""en"")"),"A tower that grows by itself")</f>
        <v>A tower that grows by itself</v>
      </c>
    </row>
    <row r="724" ht="15.75" customHeight="1">
      <c r="A724" s="3" t="s">
        <v>12</v>
      </c>
      <c r="B724" s="3" t="s">
        <v>30</v>
      </c>
      <c r="D724" s="3" t="str">
        <f>IFERROR(__xludf.DUMMYFUNCTION("GOOGLETRANSLATE(A724, ""nl"", ""en"")"),"Nature and Elements")</f>
        <v>Nature and Elements</v>
      </c>
      <c r="E724" s="3" t="str">
        <f>IFERROR(__xludf.DUMMYFUNCTION("GOOGLETRANSLATE(B724, ""nl"", ""en"")"),"Waves breaking in fractal patterns")</f>
        <v>Waves breaking in fractal patterns</v>
      </c>
    </row>
    <row r="725" ht="15.75" customHeight="1">
      <c r="A725" s="3" t="s">
        <v>15</v>
      </c>
      <c r="B725" s="3" t="s">
        <v>52</v>
      </c>
      <c r="D725" s="3" t="str">
        <f>IFERROR(__xludf.DUMMYFUNCTION("GOOGLETRANSLATE(A725, ""nl"", ""en"")"),"Animals and Organic Forms")</f>
        <v>Animals and Organic Forms</v>
      </c>
      <c r="E725" s="3" t="str">
        <f>IFERROR(__xludf.DUMMYFUNCTION("GOOGLETRANSLATE(B725, ""nl"", ""en"")"),"A mask made of leaves")</f>
        <v>A mask made of leaves</v>
      </c>
    </row>
    <row r="726" ht="15.75" customHeight="1">
      <c r="A726" s="3" t="s">
        <v>12</v>
      </c>
      <c r="B726" s="3" t="s">
        <v>18</v>
      </c>
      <c r="D726" s="3" t="str">
        <f>IFERROR(__xludf.DUMMYFUNCTION("GOOGLETRANSLATE(A726, ""nl"", ""en"")"),"Nature and Elements")</f>
        <v>Nature and Elements</v>
      </c>
      <c r="E726" s="3" t="str">
        <f>IFERROR(__xludf.DUMMYFUNCTION("GOOGLETRANSLATE(B726, ""nl"", ""en"")"),"A tree with endless branches")</f>
        <v>A tree with endless branches</v>
      </c>
    </row>
    <row r="727" ht="15.75" customHeight="1">
      <c r="A727" s="3" t="s">
        <v>9</v>
      </c>
      <c r="B727" s="3" t="s">
        <v>42</v>
      </c>
      <c r="D727" s="3" t="str">
        <f>IFERROR(__xludf.DUMMYFUNCTION("GOOGLETRANSLATE(A727, ""nl"", ""en"")"),"Psychological and Emotional Interpretations")</f>
        <v>Psychological and Emotional Interpretations</v>
      </c>
      <c r="E727" s="3" t="str">
        <f>IFERROR(__xludf.DUMMYFUNCTION("GOOGLETRANSLATE(B727, ""nl"", ""en"")"),"A mask that slowly disappears")</f>
        <v>A mask that slowly disappears</v>
      </c>
    </row>
    <row r="728" ht="15.75" customHeight="1">
      <c r="A728" s="3" t="s">
        <v>24</v>
      </c>
      <c r="B728" s="3" t="s">
        <v>29</v>
      </c>
      <c r="D728" s="3" t="str">
        <f>IFERROR(__xludf.DUMMYFUNCTION("GOOGLETRANSLATE(A728, ""nl"", ""en"")"),"Cosmic and Abstract Patterns")</f>
        <v>Cosmic and Abstract Patterns</v>
      </c>
      <c r="E728" s="3" t="str">
        <f>IFERROR(__xludf.DUMMYFUNCTION("GOOGLETRANSLATE(B728, ""nl"", ""en"")"),"A galaxy unfolding")</f>
        <v>A galaxy unfolding</v>
      </c>
    </row>
    <row r="729" ht="15.75" customHeight="1">
      <c r="A729" s="3" t="s">
        <v>4</v>
      </c>
      <c r="B729" s="3" t="s">
        <v>55</v>
      </c>
      <c r="D729" s="3" t="str">
        <f>IFERROR(__xludf.DUMMYFUNCTION("GOOGLETRANSLATE(A729, ""nl"", ""en"")"),"Architectural and Structural Associations")</f>
        <v>Architectural and Structural Associations</v>
      </c>
      <c r="E729" s="3" t="str">
        <f>IFERROR(__xludf.DUMMYFUNCTION("GOOGLETRANSLATE(B729, ""nl"", ""en"")"),"A prism that splits light into colors")</f>
        <v>A prism that splits light into colors</v>
      </c>
    </row>
    <row r="730" ht="15.75" customHeight="1">
      <c r="A730" s="3" t="s">
        <v>15</v>
      </c>
      <c r="B730" s="3" t="s">
        <v>16</v>
      </c>
      <c r="D730" s="3" t="str">
        <f>IFERROR(__xludf.DUMMYFUNCTION("GOOGLETRANSLATE(A730, ""nl"", ""en"")"),"Animals and Organic Forms")</f>
        <v>Animals and Organic Forms</v>
      </c>
      <c r="E730" s="3" t="str">
        <f>IFERROR(__xludf.DUMMYFUNCTION("GOOGLETRANSLATE(B730, ""nl"", ""en"")"),"A butterfly in transformation")</f>
        <v>A butterfly in transformation</v>
      </c>
    </row>
    <row r="731" ht="15.75" customHeight="1">
      <c r="A731" s="3" t="s">
        <v>9</v>
      </c>
      <c r="B731" s="3" t="s">
        <v>49</v>
      </c>
      <c r="D731" s="3" t="str">
        <f>IFERROR(__xludf.DUMMYFUNCTION("GOOGLETRANSLATE(A731, ""nl"", ""en"")"),"Psychological and Emotional Interpretations")</f>
        <v>Psychological and Emotional Interpretations</v>
      </c>
      <c r="E731" s="3" t="str">
        <f>IFERROR(__xludf.DUMMYFUNCTION("GOOGLETRANSLATE(B731, ""nl"", ""en"")"),"A spiral that turns inward")</f>
        <v>A spiral that turns inward</v>
      </c>
    </row>
    <row r="732" ht="15.75" customHeight="1">
      <c r="A732" s="3" t="s">
        <v>4</v>
      </c>
      <c r="B732" s="3" t="s">
        <v>21</v>
      </c>
      <c r="D732" s="3" t="str">
        <f>IFERROR(__xludf.DUMMYFUNCTION("GOOGLETRANSLATE(A732, ""nl"", ""en"")"),"Architectural and Structural Associations")</f>
        <v>Architectural and Structural Associations</v>
      </c>
      <c r="E732" s="3" t="str">
        <f>IFERROR(__xludf.DUMMYFUNCTION("GOOGLETRANSLATE(B732, ""nl"", ""en"")"),"A bridge that leads nowhere")</f>
        <v>A bridge that leads nowhere</v>
      </c>
    </row>
    <row r="733" ht="15.75" customHeight="1">
      <c r="A733" s="3" t="s">
        <v>15</v>
      </c>
      <c r="B733" s="3" t="s">
        <v>45</v>
      </c>
      <c r="D733" s="3" t="str">
        <f>IFERROR(__xludf.DUMMYFUNCTION("GOOGLETRANSLATE(A733, ""nl"", ""en"")"),"Animals and Organic Forms")</f>
        <v>Animals and Organic Forms</v>
      </c>
      <c r="E733" s="3" t="str">
        <f>IFERROR(__xludf.DUMMYFUNCTION("GOOGLETRANSLATE(B733, ""nl"", ""en"")"),"A snake biting its own tail")</f>
        <v>A snake biting its own tail</v>
      </c>
    </row>
    <row r="734" ht="15.75" customHeight="1">
      <c r="A734" s="3" t="s">
        <v>9</v>
      </c>
      <c r="B734" s="3" t="s">
        <v>57</v>
      </c>
      <c r="D734" s="3" t="str">
        <f>IFERROR(__xludf.DUMMYFUNCTION("GOOGLETRANSLATE(A734, ""nl"", ""en"")"),"Psychological and Emotional Interpretations")</f>
        <v>Psychological and Emotional Interpretations</v>
      </c>
      <c r="E734" s="3" t="str">
        <f>IFERROR(__xludf.DUMMYFUNCTION("GOOGLETRANSLATE(B734, ""nl"", ""en"")"),"An explosion of colours and feelings")</f>
        <v>An explosion of colours and feelings</v>
      </c>
    </row>
    <row r="735" ht="15.75" customHeight="1">
      <c r="A735" s="3" t="s">
        <v>7</v>
      </c>
      <c r="B735" s="3" t="s">
        <v>41</v>
      </c>
      <c r="D735" s="3" t="str">
        <f>IFERROR(__xludf.DUMMYFUNCTION("GOOGLETRANSLATE(A735, ""nl"", ""en"")"),"Human Figures and Physicality")</f>
        <v>Human Figures and Physicality</v>
      </c>
      <c r="E735" s="3" t="str">
        <f>IFERROR(__xludf.DUMMYFUNCTION("GOOGLETRANSLATE(B735, ""nl"", ""en"")"),"A face that fades into abstraction")</f>
        <v>A face that fades into abstraction</v>
      </c>
    </row>
    <row r="736" ht="15.75" customHeight="1">
      <c r="A736" s="3" t="s">
        <v>12</v>
      </c>
      <c r="B736" s="3" t="s">
        <v>30</v>
      </c>
      <c r="D736" s="3" t="str">
        <f>IFERROR(__xludf.DUMMYFUNCTION("GOOGLETRANSLATE(A736, ""nl"", ""en"")"),"Nature and Elements")</f>
        <v>Nature and Elements</v>
      </c>
      <c r="E736" s="3" t="str">
        <f>IFERROR(__xludf.DUMMYFUNCTION("GOOGLETRANSLATE(B736, ""nl"", ""en"")"),"Waves breaking in fractal patterns")</f>
        <v>Waves breaking in fractal patterns</v>
      </c>
    </row>
    <row r="737" ht="15.75" customHeight="1">
      <c r="A737" s="3" t="s">
        <v>7</v>
      </c>
      <c r="B737" s="3" t="s">
        <v>39</v>
      </c>
      <c r="D737" s="3" t="str">
        <f>IFERROR(__xludf.DUMMYFUNCTION("GOOGLETRANSLATE(A737, ""nl"", ""en"")"),"Human Figures and Physicality")</f>
        <v>Human Figures and Physicality</v>
      </c>
      <c r="E737" s="3" t="str">
        <f>IFERROR(__xludf.DUMMYFUNCTION("GOOGLETRANSLATE(B737, ""nl"", ""en"")"),"A torso without a head")</f>
        <v>A torso without a head</v>
      </c>
    </row>
    <row r="738" ht="15.75" customHeight="1">
      <c r="A738" s="3" t="s">
        <v>4</v>
      </c>
      <c r="B738" s="3" t="s">
        <v>35</v>
      </c>
      <c r="D738" s="3" t="str">
        <f>IFERROR(__xludf.DUMMYFUNCTION("GOOGLETRANSLATE(A738, ""nl"", ""en"")"),"Architectural and Structural Associations")</f>
        <v>Architectural and Structural Associations</v>
      </c>
      <c r="E738" s="3" t="str">
        <f>IFERROR(__xludf.DUMMYFUNCTION("GOOGLETRANSLATE(B738, ""nl"", ""en"")"),"A floating building without a base")</f>
        <v>A floating building without a base</v>
      </c>
    </row>
    <row r="739" ht="15.75" customHeight="1">
      <c r="A739" s="3" t="s">
        <v>12</v>
      </c>
      <c r="B739" s="3" t="s">
        <v>23</v>
      </c>
      <c r="D739" s="3" t="str">
        <f>IFERROR(__xludf.DUMMYFUNCTION("GOOGLETRANSLATE(A739, ""nl"", ""en"")"),"Nature and Elements")</f>
        <v>Nature and Elements</v>
      </c>
      <c r="E739" s="3" t="str">
        <f>IFERROR(__xludf.DUMMYFUNCTION("GOOGLETRANSLATE(B739, ""nl"", ""en"")"),"A storm cloud splitting in two")</f>
        <v>A storm cloud splitting in two</v>
      </c>
    </row>
    <row r="740" ht="15.75" customHeight="1">
      <c r="A740" s="3" t="s">
        <v>24</v>
      </c>
      <c r="B740" s="3" t="s">
        <v>25</v>
      </c>
      <c r="D740" s="3" t="str">
        <f>IFERROR(__xludf.DUMMYFUNCTION("GOOGLETRANSLATE(A740, ""nl"", ""en"")"),"Cosmic and Abstract Patterns")</f>
        <v>Cosmic and Abstract Patterns</v>
      </c>
      <c r="E740" s="3" t="str">
        <f>IFERROR(__xludf.DUMMYFUNCTION("GOOGLETRANSLATE(B740, ""nl"", ""en"")"),"A meteor shower dissolving into each other")</f>
        <v>A meteor shower dissolving into each other</v>
      </c>
    </row>
    <row r="741" ht="15.75" customHeight="1">
      <c r="A741" s="3" t="s">
        <v>4</v>
      </c>
      <c r="B741" s="3" t="s">
        <v>5</v>
      </c>
      <c r="D741" s="3" t="str">
        <f>IFERROR(__xludf.DUMMYFUNCTION("GOOGLETRANSLATE(A741, ""nl"", ""en"")"),"Architectural and Structural Associations")</f>
        <v>Architectural and Structural Associations</v>
      </c>
      <c r="E741" s="3" t="str">
        <f>IFERROR(__xludf.DUMMYFUNCTION("GOOGLETRANSLATE(B741, ""nl"", ""en"")"),"A cathedral shaped from mist")</f>
        <v>A cathedral shaped from mist</v>
      </c>
    </row>
    <row r="742" ht="15.75" customHeight="1">
      <c r="A742" s="3" t="s">
        <v>4</v>
      </c>
      <c r="B742" s="3" t="s">
        <v>21</v>
      </c>
      <c r="D742" s="3" t="str">
        <f>IFERROR(__xludf.DUMMYFUNCTION("GOOGLETRANSLATE(A742, ""nl"", ""en"")"),"Architectural and Structural Associations")</f>
        <v>Architectural and Structural Associations</v>
      </c>
      <c r="E742" s="3" t="str">
        <f>IFERROR(__xludf.DUMMYFUNCTION("GOOGLETRANSLATE(B742, ""nl"", ""en"")"),"A bridge that leads nowhere")</f>
        <v>A bridge that leads nowhere</v>
      </c>
    </row>
    <row r="743" ht="15.75" customHeight="1">
      <c r="A743" s="3" t="s">
        <v>24</v>
      </c>
      <c r="B743" s="3" t="s">
        <v>33</v>
      </c>
      <c r="D743" s="3" t="str">
        <f>IFERROR(__xludf.DUMMYFUNCTION("GOOGLETRANSLATE(A743, ""nl"", ""en"")"),"Cosmic and Abstract Patterns")</f>
        <v>Cosmic and Abstract Patterns</v>
      </c>
      <c r="E743" s="3" t="str">
        <f>IFERROR(__xludf.DUMMYFUNCTION("GOOGLETRANSLATE(B743, ""nl"", ""en"")"),"An eye that repeats itself in endless patterns")</f>
        <v>An eye that repeats itself in endless patterns</v>
      </c>
    </row>
    <row r="744" ht="15.75" customHeight="1">
      <c r="A744" s="3" t="s">
        <v>24</v>
      </c>
      <c r="B744" s="3" t="s">
        <v>48</v>
      </c>
      <c r="D744" s="3" t="str">
        <f>IFERROR(__xludf.DUMMYFUNCTION("GOOGLETRANSLATE(A744, ""nl"", ""en"")"),"Cosmic and Abstract Patterns")</f>
        <v>Cosmic and Abstract Patterns</v>
      </c>
      <c r="E744" s="3" t="str">
        <f>IFERROR(__xludf.DUMMYFUNCTION("GOOGLETRANSLATE(B744, ""nl"", ""en"")"),"A fractal that repeats itself")</f>
        <v>A fractal that repeats itself</v>
      </c>
    </row>
    <row r="745" ht="15.75" customHeight="1">
      <c r="A745" s="3" t="s">
        <v>12</v>
      </c>
      <c r="B745" s="3" t="s">
        <v>19</v>
      </c>
      <c r="D745" s="3" t="str">
        <f>IFERROR(__xludf.DUMMYFUNCTION("GOOGLETRANSLATE(A745, ""nl"", ""en"")"),"Nature and Elements")</f>
        <v>Nature and Elements</v>
      </c>
      <c r="E745" s="3" t="str">
        <f>IFERROR(__xludf.DUMMYFUNCTION("GOOGLETRANSLATE(B745, ""nl"", ""en"")"),"A mountain range that seems to breathe")</f>
        <v>A mountain range that seems to breathe</v>
      </c>
    </row>
    <row r="746" ht="15.75" customHeight="1">
      <c r="A746" s="3" t="s">
        <v>24</v>
      </c>
      <c r="B746" s="3" t="s">
        <v>31</v>
      </c>
      <c r="D746" s="3" t="str">
        <f>IFERROR(__xludf.DUMMYFUNCTION("GOOGLETRANSLATE(A746, ""nl"", ""en"")"),"Cosmic and Abstract Patterns")</f>
        <v>Cosmic and Abstract Patterns</v>
      </c>
      <c r="E746" s="3" t="str">
        <f>IFERROR(__xludf.DUMMYFUNCTION("GOOGLETRANSLATE(B746, ""nl"", ""en"")"),"A planet with unusual rings")</f>
        <v>A planet with unusual rings</v>
      </c>
    </row>
    <row r="747" ht="15.75" customHeight="1">
      <c r="A747" s="3" t="s">
        <v>24</v>
      </c>
      <c r="B747" s="3" t="s">
        <v>32</v>
      </c>
      <c r="D747" s="3" t="str">
        <f>IFERROR(__xludf.DUMMYFUNCTION("GOOGLETRANSLATE(A747, ""nl"", ""en"")"),"Cosmic and Abstract Patterns")</f>
        <v>Cosmic and Abstract Patterns</v>
      </c>
      <c r="E747" s="3" t="str">
        <f>IFERROR(__xludf.DUMMYFUNCTION("GOOGLETRANSLATE(B747, ""nl"", ""en"")"),"A time loop captured in image")</f>
        <v>A time loop captured in image</v>
      </c>
    </row>
    <row r="748" ht="15.75" customHeight="1">
      <c r="A748" s="3" t="s">
        <v>7</v>
      </c>
      <c r="B748" s="3" t="s">
        <v>40</v>
      </c>
      <c r="D748" s="3" t="str">
        <f>IFERROR(__xludf.DUMMYFUNCTION("GOOGLETRANSLATE(A748, ""nl"", ""en"")"),"Human Figures and Physicality")</f>
        <v>Human Figures and Physicality</v>
      </c>
      <c r="E748" s="3" t="str">
        <f>IFERROR(__xludf.DUMMYFUNCTION("GOOGLETRANSLATE(B748, ""nl"", ""en"")"),"A figure who is withdrawn into himself")</f>
        <v>A figure who is withdrawn into himself</v>
      </c>
    </row>
    <row r="749" ht="15.75" customHeight="1">
      <c r="A749" s="3" t="s">
        <v>7</v>
      </c>
      <c r="B749" s="3" t="s">
        <v>40</v>
      </c>
      <c r="D749" s="3" t="str">
        <f>IFERROR(__xludf.DUMMYFUNCTION("GOOGLETRANSLATE(A749, ""nl"", ""en"")"),"Human Figures and Physicality")</f>
        <v>Human Figures and Physicality</v>
      </c>
      <c r="E749" s="3" t="str">
        <f>IFERROR(__xludf.DUMMYFUNCTION("GOOGLETRANSLATE(B749, ""nl"", ""en"")"),"A figure who is withdrawn into himself")</f>
        <v>A figure who is withdrawn into himself</v>
      </c>
    </row>
    <row r="750" ht="15.75" customHeight="1">
      <c r="A750" s="3" t="s">
        <v>24</v>
      </c>
      <c r="B750" s="3" t="s">
        <v>25</v>
      </c>
      <c r="D750" s="3" t="str">
        <f>IFERROR(__xludf.DUMMYFUNCTION("GOOGLETRANSLATE(A750, ""nl"", ""en"")"),"Cosmic and Abstract Patterns")</f>
        <v>Cosmic and Abstract Patterns</v>
      </c>
      <c r="E750" s="3" t="str">
        <f>IFERROR(__xludf.DUMMYFUNCTION("GOOGLETRANSLATE(B750, ""nl"", ""en"")"),"A meteor shower dissolving into each other")</f>
        <v>A meteor shower dissolving into each other</v>
      </c>
    </row>
    <row r="751" ht="15.75" customHeight="1">
      <c r="A751" s="3" t="s">
        <v>4</v>
      </c>
      <c r="B751" s="3" t="s">
        <v>35</v>
      </c>
      <c r="D751" s="3" t="str">
        <f>IFERROR(__xludf.DUMMYFUNCTION("GOOGLETRANSLATE(A751, ""nl"", ""en"")"),"Architectural and Structural Associations")</f>
        <v>Architectural and Structural Associations</v>
      </c>
      <c r="E751" s="3" t="str">
        <f>IFERROR(__xludf.DUMMYFUNCTION("GOOGLETRANSLATE(B751, ""nl"", ""en"")"),"A floating building without a base")</f>
        <v>A floating building without a base</v>
      </c>
    </row>
    <row r="752" ht="15.75" customHeight="1">
      <c r="A752" s="3" t="s">
        <v>9</v>
      </c>
      <c r="B752" s="3" t="s">
        <v>49</v>
      </c>
      <c r="D752" s="3" t="str">
        <f>IFERROR(__xludf.DUMMYFUNCTION("GOOGLETRANSLATE(A752, ""nl"", ""en"")"),"Psychological and Emotional Interpretations")</f>
        <v>Psychological and Emotional Interpretations</v>
      </c>
      <c r="E752" s="3" t="str">
        <f>IFERROR(__xludf.DUMMYFUNCTION("GOOGLETRANSLATE(B752, ""nl"", ""en"")"),"A spiral that turns inward")</f>
        <v>A spiral that turns inward</v>
      </c>
    </row>
    <row r="753" ht="15.75" customHeight="1">
      <c r="A753" s="3" t="s">
        <v>7</v>
      </c>
      <c r="B753" s="3" t="s">
        <v>28</v>
      </c>
      <c r="D753" s="3" t="str">
        <f>IFERROR(__xludf.DUMMYFUNCTION("GOOGLETRANSLATE(A753, ""nl"", ""en"")"),"Human Figures and Physicality")</f>
        <v>Human Figures and Physicality</v>
      </c>
      <c r="E753" s="3" t="str">
        <f>IFERROR(__xludf.DUMMYFUNCTION("GOOGLETRANSLATE(B753, ""nl"", ""en"")"),"A dancing silhouette")</f>
        <v>A dancing silhouette</v>
      </c>
    </row>
    <row r="754" ht="15.75" customHeight="1">
      <c r="A754" s="3" t="s">
        <v>9</v>
      </c>
      <c r="B754" s="3" t="s">
        <v>11</v>
      </c>
      <c r="D754" s="3" t="str">
        <f>IFERROR(__xludf.DUMMYFUNCTION("GOOGLETRANSLATE(A754, ""nl"", ""en"")"),"Psychological and Emotional Interpretations")</f>
        <v>Psychological and Emotional Interpretations</v>
      </c>
      <c r="E754" s="3" t="str">
        <f>IFERROR(__xludf.DUMMYFUNCTION("GOOGLETRANSLATE(B754, ""nl"", ""en"")"),"An emotion captured in abstraction")</f>
        <v>An emotion captured in abstraction</v>
      </c>
    </row>
    <row r="755" ht="15.75" customHeight="1">
      <c r="A755" s="3" t="s">
        <v>4</v>
      </c>
      <c r="B755" s="3" t="s">
        <v>44</v>
      </c>
      <c r="D755" s="3" t="str">
        <f>IFERROR(__xludf.DUMMYFUNCTION("GOOGLETRANSLATE(A755, ""nl"", ""en"")"),"Architectural and Structural Associations")</f>
        <v>Architectural and Structural Associations</v>
      </c>
      <c r="E755" s="3" t="str">
        <f>IFERROR(__xludf.DUMMYFUNCTION("GOOGLETRANSLATE(B755, ""nl"", ""en"")"),"A structure that pulsates in waves")</f>
        <v>A structure that pulsates in waves</v>
      </c>
    </row>
    <row r="756" ht="15.75" customHeight="1">
      <c r="A756" s="3" t="s">
        <v>9</v>
      </c>
      <c r="B756" s="3" t="s">
        <v>57</v>
      </c>
      <c r="D756" s="3" t="str">
        <f>IFERROR(__xludf.DUMMYFUNCTION("GOOGLETRANSLATE(A756, ""nl"", ""en"")"),"Psychological and Emotional Interpretations")</f>
        <v>Psychological and Emotional Interpretations</v>
      </c>
      <c r="E756" s="3" t="str">
        <f>IFERROR(__xludf.DUMMYFUNCTION("GOOGLETRANSLATE(B756, ""nl"", ""en"")"),"An explosion of colours and feelings")</f>
        <v>An explosion of colours and feelings</v>
      </c>
    </row>
    <row r="757" ht="15.75" customHeight="1">
      <c r="A757" s="3" t="s">
        <v>24</v>
      </c>
      <c r="B757" s="3" t="s">
        <v>32</v>
      </c>
      <c r="D757" s="3" t="str">
        <f>IFERROR(__xludf.DUMMYFUNCTION("GOOGLETRANSLATE(A757, ""nl"", ""en"")"),"Cosmic and Abstract Patterns")</f>
        <v>Cosmic and Abstract Patterns</v>
      </c>
      <c r="E757" s="3" t="str">
        <f>IFERROR(__xludf.DUMMYFUNCTION("GOOGLETRANSLATE(B757, ""nl"", ""en"")"),"A time loop captured in image")</f>
        <v>A time loop captured in image</v>
      </c>
    </row>
    <row r="758" ht="15.75" customHeight="1">
      <c r="A758" s="3" t="s">
        <v>15</v>
      </c>
      <c r="B758" s="3" t="s">
        <v>22</v>
      </c>
      <c r="D758" s="3" t="str">
        <f>IFERROR(__xludf.DUMMYFUNCTION("GOOGLETRANSLATE(A758, ""nl"", ""en"")"),"Animals and Organic Forms")</f>
        <v>Animals and Organic Forms</v>
      </c>
      <c r="E758" s="3" t="str">
        <f>IFERROR(__xludf.DUMMYFUNCTION("GOOGLETRANSLATE(B758, ""nl"", ""en"")"),"A bird taking off")</f>
        <v>A bird taking off</v>
      </c>
    </row>
    <row r="759" ht="15.75" customHeight="1">
      <c r="A759" s="3" t="s">
        <v>9</v>
      </c>
      <c r="B759" s="3" t="s">
        <v>14</v>
      </c>
      <c r="D759" s="3" t="str">
        <f>IFERROR(__xludf.DUMMYFUNCTION("GOOGLETRANSLATE(A759, ""nl"", ""en"")"),"Psychological and Emotional Interpretations")</f>
        <v>Psychological and Emotional Interpretations</v>
      </c>
      <c r="E759" s="3" t="str">
        <f>IFERROR(__xludf.DUMMYFUNCTION("GOOGLETRANSLATE(B759, ""nl"", ""en"")"),"An unclear hug")</f>
        <v>An unclear hug</v>
      </c>
    </row>
    <row r="760" ht="15.75" customHeight="1">
      <c r="A760" s="3" t="s">
        <v>7</v>
      </c>
      <c r="B760" s="3" t="s">
        <v>53</v>
      </c>
      <c r="D760" s="3" t="str">
        <f>IFERROR(__xludf.DUMMYFUNCTION("GOOGLETRANSLATE(A760, ""nl"", ""en"")"),"Human Figures and Physicality")</f>
        <v>Human Figures and Physicality</v>
      </c>
      <c r="E760" s="3" t="str">
        <f>IFERROR(__xludf.DUMMYFUNCTION("GOOGLETRANSLATE(B760, ""nl"", ""en"")"),"A face that both smiles and cries")</f>
        <v>A face that both smiles and cries</v>
      </c>
    </row>
    <row r="761" ht="15.75" customHeight="1">
      <c r="A761" s="3" t="s">
        <v>24</v>
      </c>
      <c r="B761" s="3" t="s">
        <v>27</v>
      </c>
      <c r="D761" s="3" t="str">
        <f>IFERROR(__xludf.DUMMYFUNCTION("GOOGLETRANSLATE(A761, ""nl"", ""en"")"),"Cosmic and Abstract Patterns")</f>
        <v>Cosmic and Abstract Patterns</v>
      </c>
      <c r="E761" s="3" t="str">
        <f>IFERROR(__xludf.DUMMYFUNCTION("GOOGLETRANSLATE(B761, ""nl"", ""en"")"),"A pair of black holes in dance")</f>
        <v>A pair of black holes in dance</v>
      </c>
    </row>
    <row r="762" ht="15.75" customHeight="1">
      <c r="A762" s="3" t="s">
        <v>12</v>
      </c>
      <c r="B762" s="3" t="s">
        <v>13</v>
      </c>
      <c r="D762" s="3" t="str">
        <f>IFERROR(__xludf.DUMMYFUNCTION("GOOGLETRANSLATE(A762, ""nl"", ""en"")"),"Nature and Elements")</f>
        <v>Nature and Elements</v>
      </c>
      <c r="E762" s="3" t="str">
        <f>IFERROR(__xludf.DUMMYFUNCTION("GOOGLETRANSLATE(B762, ""nl"", ""en"")"),"A lightning strike in slow motion")</f>
        <v>A lightning strike in slow motion</v>
      </c>
    </row>
    <row r="763" ht="15.75" customHeight="1">
      <c r="A763" s="3" t="s">
        <v>9</v>
      </c>
      <c r="B763" s="3" t="s">
        <v>42</v>
      </c>
      <c r="D763" s="3" t="str">
        <f>IFERROR(__xludf.DUMMYFUNCTION("GOOGLETRANSLATE(A763, ""nl"", ""en"")"),"Psychological and Emotional Interpretations")</f>
        <v>Psychological and Emotional Interpretations</v>
      </c>
      <c r="E763" s="3" t="str">
        <f>IFERROR(__xludf.DUMMYFUNCTION("GOOGLETRANSLATE(B763, ""nl"", ""en"")"),"A mask that slowly disappears")</f>
        <v>A mask that slowly disappears</v>
      </c>
    </row>
    <row r="764" ht="15.75" customHeight="1">
      <c r="A764" s="3" t="s">
        <v>24</v>
      </c>
      <c r="B764" s="3" t="s">
        <v>54</v>
      </c>
      <c r="D764" s="3" t="str">
        <f>IFERROR(__xludf.DUMMYFUNCTION("GOOGLETRANSLATE(A764, ""nl"", ""en"")"),"Cosmic and Abstract Patterns")</f>
        <v>Cosmic and Abstract Patterns</v>
      </c>
      <c r="E764" s="3" t="str">
        <f>IFERROR(__xludf.DUMMYFUNCTION("GOOGLETRANSLATE(B764, ""nl"", ""en"")"),"A quantum particle in superposition")</f>
        <v>A quantum particle in superposition</v>
      </c>
    </row>
    <row r="765" ht="15.75" customHeight="1">
      <c r="A765" s="3" t="s">
        <v>24</v>
      </c>
      <c r="B765" s="3" t="s">
        <v>27</v>
      </c>
      <c r="D765" s="3" t="str">
        <f>IFERROR(__xludf.DUMMYFUNCTION("GOOGLETRANSLATE(A765, ""nl"", ""en"")"),"Cosmic and Abstract Patterns")</f>
        <v>Cosmic and Abstract Patterns</v>
      </c>
      <c r="E765" s="3" t="str">
        <f>IFERROR(__xludf.DUMMYFUNCTION("GOOGLETRANSLATE(B765, ""nl"", ""en"")"),"A pair of black holes in dance")</f>
        <v>A pair of black holes in dance</v>
      </c>
    </row>
    <row r="766" ht="15.75" customHeight="1">
      <c r="A766" s="3" t="s">
        <v>7</v>
      </c>
      <c r="B766" s="3" t="s">
        <v>56</v>
      </c>
      <c r="D766" s="3" t="str">
        <f>IFERROR(__xludf.DUMMYFUNCTION("GOOGLETRANSLATE(A766, ""nl"", ""en"")"),"Human Figures and Physicality")</f>
        <v>Human Figures and Physicality</v>
      </c>
      <c r="E766" s="3" t="str">
        <f>IFERROR(__xludf.DUMMYFUNCTION("GOOGLETRANSLATE(B766, ""nl"", ""en"")"),"A shadow that seems to move")</f>
        <v>A shadow that seems to move</v>
      </c>
    </row>
    <row r="767" ht="15.75" customHeight="1">
      <c r="A767" s="3" t="s">
        <v>4</v>
      </c>
      <c r="B767" s="3" t="s">
        <v>5</v>
      </c>
      <c r="D767" s="3" t="str">
        <f>IFERROR(__xludf.DUMMYFUNCTION("GOOGLETRANSLATE(A767, ""nl"", ""en"")"),"Architectural and Structural Associations")</f>
        <v>Architectural and Structural Associations</v>
      </c>
      <c r="E767" s="3" t="str">
        <f>IFERROR(__xludf.DUMMYFUNCTION("GOOGLETRANSLATE(B767, ""nl"", ""en"")"),"A cathedral shaped from mist")</f>
        <v>A cathedral shaped from mist</v>
      </c>
    </row>
    <row r="768" ht="15.75" customHeight="1">
      <c r="A768" s="3" t="s">
        <v>9</v>
      </c>
      <c r="B768" s="3" t="s">
        <v>57</v>
      </c>
      <c r="D768" s="3" t="str">
        <f>IFERROR(__xludf.DUMMYFUNCTION("GOOGLETRANSLATE(A768, ""nl"", ""en"")"),"Psychological and Emotional Interpretations")</f>
        <v>Psychological and Emotional Interpretations</v>
      </c>
      <c r="E768" s="3" t="str">
        <f>IFERROR(__xludf.DUMMYFUNCTION("GOOGLETRANSLATE(B768, ""nl"", ""en"")"),"An explosion of colours and feelings")</f>
        <v>An explosion of colours and feelings</v>
      </c>
    </row>
    <row r="769" ht="15.75" customHeight="1">
      <c r="A769" s="3" t="s">
        <v>4</v>
      </c>
      <c r="B769" s="3" t="s">
        <v>6</v>
      </c>
      <c r="D769" s="3" t="str">
        <f>IFERROR(__xludf.DUMMYFUNCTION("GOOGLETRANSLATE(A769, ""nl"", ""en"")"),"Architectural and Structural Associations")</f>
        <v>Architectural and Structural Associations</v>
      </c>
      <c r="E769" s="3" t="str">
        <f>IFERROR(__xludf.DUMMYFUNCTION("GOOGLETRANSLATE(B769, ""nl"", ""en"")"),"An endless labyrinth")</f>
        <v>An endless labyrinth</v>
      </c>
    </row>
    <row r="770" ht="15.75" customHeight="1">
      <c r="A770" s="3" t="s">
        <v>24</v>
      </c>
      <c r="B770" s="3" t="s">
        <v>29</v>
      </c>
      <c r="D770" s="3" t="str">
        <f>IFERROR(__xludf.DUMMYFUNCTION("GOOGLETRANSLATE(A770, ""nl"", ""en"")"),"Cosmic and Abstract Patterns")</f>
        <v>Cosmic and Abstract Patterns</v>
      </c>
      <c r="E770" s="3" t="str">
        <f>IFERROR(__xludf.DUMMYFUNCTION("GOOGLETRANSLATE(B770, ""nl"", ""en"")"),"A galaxy unfolding")</f>
        <v>A galaxy unfolding</v>
      </c>
    </row>
    <row r="771" ht="15.75" customHeight="1">
      <c r="A771" s="3" t="s">
        <v>9</v>
      </c>
      <c r="B771" s="3" t="s">
        <v>11</v>
      </c>
      <c r="D771" s="3" t="str">
        <f>IFERROR(__xludf.DUMMYFUNCTION("GOOGLETRANSLATE(A771, ""nl"", ""en"")"),"Psychological and Emotional Interpretations")</f>
        <v>Psychological and Emotional Interpretations</v>
      </c>
      <c r="E771" s="3" t="str">
        <f>IFERROR(__xludf.DUMMYFUNCTION("GOOGLETRANSLATE(B771, ""nl"", ""en"")"),"An emotion captured in abstraction")</f>
        <v>An emotion captured in abstraction</v>
      </c>
    </row>
    <row r="772" ht="15.75" customHeight="1">
      <c r="A772" s="3" t="s">
        <v>4</v>
      </c>
      <c r="B772" s="3" t="s">
        <v>43</v>
      </c>
      <c r="D772" s="3" t="str">
        <f>IFERROR(__xludf.DUMMYFUNCTION("GOOGLETRANSLATE(A772, ""nl"", ""en"")"),"Architectural and Structural Associations")</f>
        <v>Architectural and Structural Associations</v>
      </c>
      <c r="E772" s="3" t="str">
        <f>IFERROR(__xludf.DUMMYFUNCTION("GOOGLETRANSLATE(B772, ""nl"", ""en"")"),"A network of tunnels and passages")</f>
        <v>A network of tunnels and passages</v>
      </c>
    </row>
    <row r="773" ht="15.75" customHeight="1">
      <c r="A773" s="3" t="s">
        <v>7</v>
      </c>
      <c r="B773" s="3" t="s">
        <v>8</v>
      </c>
      <c r="D773" s="3" t="str">
        <f>IFERROR(__xludf.DUMMYFUNCTION("GOOGLETRANSLATE(A773, ""nl"", ""en"")"),"Human Figures and Physicality")</f>
        <v>Human Figures and Physicality</v>
      </c>
      <c r="E773" s="3" t="str">
        <f>IFERROR(__xludf.DUMMYFUNCTION("GOOGLETRANSLATE(B773, ""nl"", ""en"")"),"Two figures mirroring each other")</f>
        <v>Two figures mirroring each other</v>
      </c>
    </row>
    <row r="774" ht="15.75" customHeight="1">
      <c r="A774" s="3" t="s">
        <v>15</v>
      </c>
      <c r="B774" s="3" t="s">
        <v>16</v>
      </c>
      <c r="D774" s="3" t="str">
        <f>IFERROR(__xludf.DUMMYFUNCTION("GOOGLETRANSLATE(A774, ""nl"", ""en"")"),"Animals and Organic Forms")</f>
        <v>Animals and Organic Forms</v>
      </c>
      <c r="E774" s="3" t="str">
        <f>IFERROR(__xludf.DUMMYFUNCTION("GOOGLETRANSLATE(B774, ""nl"", ""en"")"),"A butterfly in transformation")</f>
        <v>A butterfly in transformation</v>
      </c>
    </row>
    <row r="775" ht="15.75" customHeight="1">
      <c r="A775" s="3" t="s">
        <v>7</v>
      </c>
      <c r="B775" s="3" t="s">
        <v>40</v>
      </c>
      <c r="D775" s="3" t="str">
        <f>IFERROR(__xludf.DUMMYFUNCTION("GOOGLETRANSLATE(A775, ""nl"", ""en"")"),"Human Figures and Physicality")</f>
        <v>Human Figures and Physicality</v>
      </c>
      <c r="E775" s="3" t="str">
        <f>IFERROR(__xludf.DUMMYFUNCTION("GOOGLETRANSLATE(B775, ""nl"", ""en"")"),"A figure who is withdrawn into himself")</f>
        <v>A figure who is withdrawn into himself</v>
      </c>
    </row>
    <row r="776" ht="15.75" customHeight="1">
      <c r="A776" s="3" t="s">
        <v>7</v>
      </c>
      <c r="B776" s="3" t="s">
        <v>8</v>
      </c>
      <c r="D776" s="3" t="str">
        <f>IFERROR(__xludf.DUMMYFUNCTION("GOOGLETRANSLATE(A776, ""nl"", ""en"")"),"Human Figures and Physicality")</f>
        <v>Human Figures and Physicality</v>
      </c>
      <c r="E776" s="3" t="str">
        <f>IFERROR(__xludf.DUMMYFUNCTION("GOOGLETRANSLATE(B776, ""nl"", ""en"")"),"Two figures mirroring each other")</f>
        <v>Two figures mirroring each other</v>
      </c>
    </row>
    <row r="777" ht="15.75" customHeight="1">
      <c r="A777" s="3" t="s">
        <v>15</v>
      </c>
      <c r="B777" s="3" t="s">
        <v>50</v>
      </c>
      <c r="D777" s="3" t="str">
        <f>IFERROR(__xludf.DUMMYFUNCTION("GOOGLETRANSLATE(A777, ""nl"", ""en"")"),"Animals and Organic Forms")</f>
        <v>Animals and Organic Forms</v>
      </c>
      <c r="E777" s="3" t="str">
        <f>IFERROR(__xludf.DUMMYFUNCTION("GOOGLETRANSLATE(B777, ""nl"", ""en"")"),"A squid with extended tentacles")</f>
        <v>A squid with extended tentacles</v>
      </c>
    </row>
    <row r="778" ht="15.75" customHeight="1">
      <c r="A778" s="3" t="s">
        <v>24</v>
      </c>
      <c r="B778" s="3" t="s">
        <v>33</v>
      </c>
      <c r="D778" s="3" t="str">
        <f>IFERROR(__xludf.DUMMYFUNCTION("GOOGLETRANSLATE(A778, ""nl"", ""en"")"),"Cosmic and Abstract Patterns")</f>
        <v>Cosmic and Abstract Patterns</v>
      </c>
      <c r="E778" s="3" t="str">
        <f>IFERROR(__xludf.DUMMYFUNCTION("GOOGLETRANSLATE(B778, ""nl"", ""en"")"),"An eye that repeats itself in endless patterns")</f>
        <v>An eye that repeats itself in endless patterns</v>
      </c>
    </row>
    <row r="779" ht="15.75" customHeight="1">
      <c r="A779" s="3" t="s">
        <v>24</v>
      </c>
      <c r="B779" s="3" t="s">
        <v>33</v>
      </c>
      <c r="D779" s="3" t="str">
        <f>IFERROR(__xludf.DUMMYFUNCTION("GOOGLETRANSLATE(A779, ""nl"", ""en"")"),"Cosmic and Abstract Patterns")</f>
        <v>Cosmic and Abstract Patterns</v>
      </c>
      <c r="E779" s="3" t="str">
        <f>IFERROR(__xludf.DUMMYFUNCTION("GOOGLETRANSLATE(B779, ""nl"", ""en"")"),"An eye that repeats itself in endless patterns")</f>
        <v>An eye that repeats itself in endless patterns</v>
      </c>
    </row>
    <row r="780" ht="15.75" customHeight="1">
      <c r="A780" s="3" t="s">
        <v>15</v>
      </c>
      <c r="B780" s="3" t="s">
        <v>26</v>
      </c>
      <c r="D780" s="3" t="str">
        <f>IFERROR(__xludf.DUMMYFUNCTION("GOOGLETRANSLATE(A780, ""nl"", ""en"")"),"Animals and Organic Forms")</f>
        <v>Animals and Organic Forms</v>
      </c>
      <c r="E780" s="3" t="str">
        <f>IFERROR(__xludf.DUMMYFUNCTION("GOOGLETRANSLATE(B780, ""nl"", ""en"")"),"A frog preparing to jump")</f>
        <v>A frog preparing to jump</v>
      </c>
    </row>
    <row r="781" ht="15.75" customHeight="1">
      <c r="A781" s="3" t="s">
        <v>12</v>
      </c>
      <c r="B781" s="3" t="s">
        <v>51</v>
      </c>
      <c r="D781" s="3" t="str">
        <f>IFERROR(__xludf.DUMMYFUNCTION("GOOGLETRANSLATE(A781, ""nl"", ""en"")"),"Nature and Elements")</f>
        <v>Nature and Elements</v>
      </c>
      <c r="E781" s="3" t="str">
        <f>IFERROR(__xludf.DUMMYFUNCTION("GOOGLETRANSLATE(B781, ""nl"", ""en"")"),"An evaporating puddle of water")</f>
        <v>An evaporating puddle of water</v>
      </c>
    </row>
    <row r="782" ht="15.75" customHeight="1">
      <c r="A782" s="3" t="s">
        <v>7</v>
      </c>
      <c r="B782" s="3" t="s">
        <v>28</v>
      </c>
      <c r="D782" s="3" t="str">
        <f>IFERROR(__xludf.DUMMYFUNCTION("GOOGLETRANSLATE(A782, ""nl"", ""en"")"),"Human Figures and Physicality")</f>
        <v>Human Figures and Physicality</v>
      </c>
      <c r="E782" s="3" t="str">
        <f>IFERROR(__xludf.DUMMYFUNCTION("GOOGLETRANSLATE(B782, ""nl"", ""en"")"),"A dancing silhouette")</f>
        <v>A dancing silhouette</v>
      </c>
    </row>
    <row r="783" ht="15.75" customHeight="1">
      <c r="A783" s="3" t="s">
        <v>15</v>
      </c>
      <c r="B783" s="3" t="s">
        <v>46</v>
      </c>
      <c r="D783" s="3" t="str">
        <f>IFERROR(__xludf.DUMMYFUNCTION("GOOGLETRANSLATE(A783, ""nl"", ""en"")"),"Animals and Organic Forms")</f>
        <v>Animals and Organic Forms</v>
      </c>
      <c r="E783" s="3" t="str">
        <f>IFERROR(__xludf.DUMMYFUNCTION("GOOGLETRANSLATE(B783, ""nl"", ""en"")"),"A flock of fish moving as one")</f>
        <v>A flock of fish moving as one</v>
      </c>
    </row>
    <row r="784" ht="15.75" customHeight="1">
      <c r="A784" s="3" t="s">
        <v>24</v>
      </c>
      <c r="B784" s="3" t="s">
        <v>31</v>
      </c>
      <c r="D784" s="3" t="str">
        <f>IFERROR(__xludf.DUMMYFUNCTION("GOOGLETRANSLATE(A784, ""nl"", ""en"")"),"Cosmic and Abstract Patterns")</f>
        <v>Cosmic and Abstract Patterns</v>
      </c>
      <c r="E784" s="3" t="str">
        <f>IFERROR(__xludf.DUMMYFUNCTION("GOOGLETRANSLATE(B784, ""nl"", ""en"")"),"A planet with unusual rings")</f>
        <v>A planet with unusual rings</v>
      </c>
    </row>
    <row r="785" ht="15.75" customHeight="1">
      <c r="A785" s="3" t="s">
        <v>15</v>
      </c>
      <c r="B785" s="3" t="s">
        <v>46</v>
      </c>
      <c r="D785" s="3" t="str">
        <f>IFERROR(__xludf.DUMMYFUNCTION("GOOGLETRANSLATE(A785, ""nl"", ""en"")"),"Animals and Organic Forms")</f>
        <v>Animals and Organic Forms</v>
      </c>
      <c r="E785" s="3" t="str">
        <f>IFERROR(__xludf.DUMMYFUNCTION("GOOGLETRANSLATE(B785, ""nl"", ""en"")"),"A flock of fish moving as one")</f>
        <v>A flock of fish moving as one</v>
      </c>
    </row>
    <row r="786" ht="15.75" customHeight="1">
      <c r="A786" s="3" t="s">
        <v>9</v>
      </c>
      <c r="B786" s="3" t="s">
        <v>14</v>
      </c>
      <c r="D786" s="3" t="str">
        <f>IFERROR(__xludf.DUMMYFUNCTION("GOOGLETRANSLATE(A786, ""nl"", ""en"")"),"Psychological and Emotional Interpretations")</f>
        <v>Psychological and Emotional Interpretations</v>
      </c>
      <c r="E786" s="3" t="str">
        <f>IFERROR(__xludf.DUMMYFUNCTION("GOOGLETRANSLATE(B786, ""nl"", ""en"")"),"An unclear hug")</f>
        <v>An unclear hug</v>
      </c>
    </row>
    <row r="787" ht="15.75" customHeight="1">
      <c r="A787" s="3" t="s">
        <v>7</v>
      </c>
      <c r="B787" s="3" t="s">
        <v>34</v>
      </c>
      <c r="D787" s="3" t="str">
        <f>IFERROR(__xludf.DUMMYFUNCTION("GOOGLETRANSLATE(A787, ""nl"", ""en"")"),"Human Figures and Physicality")</f>
        <v>Human Figures and Physicality</v>
      </c>
      <c r="E787" s="3" t="str">
        <f>IFERROR(__xludf.DUMMYFUNCTION("GOOGLETRANSLATE(B787, ""nl"", ""en"")"),"Hands almost touching")</f>
        <v>Hands almost touching</v>
      </c>
    </row>
    <row r="788" ht="15.75" customHeight="1">
      <c r="A788" s="3" t="s">
        <v>9</v>
      </c>
      <c r="B788" s="3" t="s">
        <v>11</v>
      </c>
      <c r="D788" s="3" t="str">
        <f>IFERROR(__xludf.DUMMYFUNCTION("GOOGLETRANSLATE(A788, ""nl"", ""en"")"),"Psychological and Emotional Interpretations")</f>
        <v>Psychological and Emotional Interpretations</v>
      </c>
      <c r="E788" s="3" t="str">
        <f>IFERROR(__xludf.DUMMYFUNCTION("GOOGLETRANSLATE(B788, ""nl"", ""en"")"),"An emotion captured in abstraction")</f>
        <v>An emotion captured in abstraction</v>
      </c>
    </row>
    <row r="789" ht="15.75" customHeight="1">
      <c r="A789" s="3" t="s">
        <v>24</v>
      </c>
      <c r="B789" s="3" t="s">
        <v>27</v>
      </c>
      <c r="D789" s="3" t="str">
        <f>IFERROR(__xludf.DUMMYFUNCTION("GOOGLETRANSLATE(A789, ""nl"", ""en"")"),"Cosmic and Abstract Patterns")</f>
        <v>Cosmic and Abstract Patterns</v>
      </c>
      <c r="E789" s="3" t="str">
        <f>IFERROR(__xludf.DUMMYFUNCTION("GOOGLETRANSLATE(B789, ""nl"", ""en"")"),"A pair of black holes in dance")</f>
        <v>A pair of black holes in dance</v>
      </c>
    </row>
    <row r="790" ht="15.75" customHeight="1">
      <c r="A790" s="3" t="s">
        <v>4</v>
      </c>
      <c r="B790" s="3" t="s">
        <v>55</v>
      </c>
      <c r="D790" s="3" t="str">
        <f>IFERROR(__xludf.DUMMYFUNCTION("GOOGLETRANSLATE(A790, ""nl"", ""en"")"),"Architectural and Structural Associations")</f>
        <v>Architectural and Structural Associations</v>
      </c>
      <c r="E790" s="3" t="str">
        <f>IFERROR(__xludf.DUMMYFUNCTION("GOOGLETRANSLATE(B790, ""nl"", ""en"")"),"A prism that splits light into colors")</f>
        <v>A prism that splits light into colors</v>
      </c>
    </row>
    <row r="791" ht="15.75" customHeight="1">
      <c r="A791" s="3" t="s">
        <v>12</v>
      </c>
      <c r="B791" s="3" t="s">
        <v>18</v>
      </c>
      <c r="D791" s="3" t="str">
        <f>IFERROR(__xludf.DUMMYFUNCTION("GOOGLETRANSLATE(A791, ""nl"", ""en"")"),"Nature and Elements")</f>
        <v>Nature and Elements</v>
      </c>
      <c r="E791" s="3" t="str">
        <f>IFERROR(__xludf.DUMMYFUNCTION("GOOGLETRANSLATE(B791, ""nl"", ""en"")"),"A tree with endless branches")</f>
        <v>A tree with endless branches</v>
      </c>
    </row>
    <row r="792" ht="15.75" customHeight="1">
      <c r="A792" s="3" t="s">
        <v>7</v>
      </c>
      <c r="B792" s="3" t="s">
        <v>39</v>
      </c>
      <c r="D792" s="3" t="str">
        <f>IFERROR(__xludf.DUMMYFUNCTION("GOOGLETRANSLATE(A792, ""nl"", ""en"")"),"Human Figures and Physicality")</f>
        <v>Human Figures and Physicality</v>
      </c>
      <c r="E792" s="3" t="str">
        <f>IFERROR(__xludf.DUMMYFUNCTION("GOOGLETRANSLATE(B792, ""nl"", ""en"")"),"A torso without a head")</f>
        <v>A torso without a head</v>
      </c>
    </row>
    <row r="793" ht="15.75" customHeight="1">
      <c r="A793" s="3" t="s">
        <v>12</v>
      </c>
      <c r="B793" s="3" t="s">
        <v>36</v>
      </c>
      <c r="D793" s="3" t="str">
        <f>IFERROR(__xludf.DUMMYFUNCTION("GOOGLETRANSLATE(A793, ""nl"", ""en"")"),"Nature and Elements")</f>
        <v>Nature and Elements</v>
      </c>
      <c r="E793" s="3" t="str">
        <f>IFERROR(__xludf.DUMMYFUNCTION("GOOGLETRANSLATE(B793, ""nl"", ""en"")"),"A river delta from a bird's-eye view")</f>
        <v>A river delta from a bird's-eye view</v>
      </c>
    </row>
    <row r="794" ht="15.75" customHeight="1">
      <c r="A794" s="3" t="s">
        <v>15</v>
      </c>
      <c r="B794" s="3" t="s">
        <v>52</v>
      </c>
      <c r="D794" s="3" t="str">
        <f>IFERROR(__xludf.DUMMYFUNCTION("GOOGLETRANSLATE(A794, ""nl"", ""en"")"),"Animals and Organic Forms")</f>
        <v>Animals and Organic Forms</v>
      </c>
      <c r="E794" s="3" t="str">
        <f>IFERROR(__xludf.DUMMYFUNCTION("GOOGLETRANSLATE(B794, ""nl"", ""en"")"),"A mask made of leaves")</f>
        <v>A mask made of leaves</v>
      </c>
    </row>
    <row r="795" ht="15.75" customHeight="1">
      <c r="A795" s="3" t="s">
        <v>15</v>
      </c>
      <c r="B795" s="3" t="s">
        <v>16</v>
      </c>
      <c r="D795" s="3" t="str">
        <f>IFERROR(__xludf.DUMMYFUNCTION("GOOGLETRANSLATE(A795, ""nl"", ""en"")"),"Animals and Organic Forms")</f>
        <v>Animals and Organic Forms</v>
      </c>
      <c r="E795" s="3" t="str">
        <f>IFERROR(__xludf.DUMMYFUNCTION("GOOGLETRANSLATE(B795, ""nl"", ""en"")"),"A butterfly in transformation")</f>
        <v>A butterfly in transformation</v>
      </c>
    </row>
    <row r="796" ht="15.75" customHeight="1">
      <c r="A796" s="3" t="s">
        <v>24</v>
      </c>
      <c r="B796" s="3" t="s">
        <v>25</v>
      </c>
      <c r="D796" s="3" t="str">
        <f>IFERROR(__xludf.DUMMYFUNCTION("GOOGLETRANSLATE(A796, ""nl"", ""en"")"),"Cosmic and Abstract Patterns")</f>
        <v>Cosmic and Abstract Patterns</v>
      </c>
      <c r="E796" s="3" t="str">
        <f>IFERROR(__xludf.DUMMYFUNCTION("GOOGLETRANSLATE(B796, ""nl"", ""en"")"),"A meteor shower dissolving into each other")</f>
        <v>A meteor shower dissolving into each other</v>
      </c>
    </row>
    <row r="797" ht="15.75" customHeight="1">
      <c r="A797" s="3" t="s">
        <v>9</v>
      </c>
      <c r="B797" s="3" t="s">
        <v>49</v>
      </c>
      <c r="D797" s="3" t="str">
        <f>IFERROR(__xludf.DUMMYFUNCTION("GOOGLETRANSLATE(A797, ""nl"", ""en"")"),"Psychological and Emotional Interpretations")</f>
        <v>Psychological and Emotional Interpretations</v>
      </c>
      <c r="E797" s="3" t="str">
        <f>IFERROR(__xludf.DUMMYFUNCTION("GOOGLETRANSLATE(B797, ""nl"", ""en"")"),"A spiral that turns inward")</f>
        <v>A spiral that turns inward</v>
      </c>
    </row>
    <row r="798" ht="15.75" customHeight="1">
      <c r="A798" s="3" t="s">
        <v>24</v>
      </c>
      <c r="B798" s="3" t="s">
        <v>33</v>
      </c>
      <c r="D798" s="3" t="str">
        <f>IFERROR(__xludf.DUMMYFUNCTION("GOOGLETRANSLATE(A798, ""nl"", ""en"")"),"Cosmic and Abstract Patterns")</f>
        <v>Cosmic and Abstract Patterns</v>
      </c>
      <c r="E798" s="3" t="str">
        <f>IFERROR(__xludf.DUMMYFUNCTION("GOOGLETRANSLATE(B798, ""nl"", ""en"")"),"An eye that repeats itself in endless patterns")</f>
        <v>An eye that repeats itself in endless patterns</v>
      </c>
    </row>
    <row r="799" ht="15.75" customHeight="1">
      <c r="A799" s="3" t="s">
        <v>15</v>
      </c>
      <c r="B799" s="3" t="s">
        <v>26</v>
      </c>
      <c r="D799" s="3" t="str">
        <f>IFERROR(__xludf.DUMMYFUNCTION("GOOGLETRANSLATE(A799, ""nl"", ""en"")"),"Animals and Organic Forms")</f>
        <v>Animals and Organic Forms</v>
      </c>
      <c r="E799" s="3" t="str">
        <f>IFERROR(__xludf.DUMMYFUNCTION("GOOGLETRANSLATE(B799, ""nl"", ""en"")"),"A frog preparing to jump")</f>
        <v>A frog preparing to jump</v>
      </c>
    </row>
    <row r="800" ht="15.75" customHeight="1">
      <c r="A800" s="3" t="s">
        <v>24</v>
      </c>
      <c r="B800" s="3" t="s">
        <v>27</v>
      </c>
      <c r="D800" s="3" t="str">
        <f>IFERROR(__xludf.DUMMYFUNCTION("GOOGLETRANSLATE(A800, ""nl"", ""en"")"),"Cosmic and Abstract Patterns")</f>
        <v>Cosmic and Abstract Patterns</v>
      </c>
      <c r="E800" s="3" t="str">
        <f>IFERROR(__xludf.DUMMYFUNCTION("GOOGLETRANSLATE(B800, ""nl"", ""en"")"),"A pair of black holes in dance")</f>
        <v>A pair of black holes in dance</v>
      </c>
    </row>
    <row r="801" ht="15.75" customHeight="1">
      <c r="A801" s="3" t="s">
        <v>15</v>
      </c>
      <c r="B801" s="3" t="s">
        <v>38</v>
      </c>
      <c r="D801" s="3" t="str">
        <f>IFERROR(__xludf.DUMMYFUNCTION("GOOGLETRANSLATE(A801, ""nl"", ""en"")"),"Animals and Organic Forms")</f>
        <v>Animals and Organic Forms</v>
      </c>
      <c r="E801" s="3" t="str">
        <f>IFERROR(__xludf.DUMMYFUNCTION("GOOGLETRANSLATE(B801, ""nl"", ""en"")"),"A lion with an open mouth")</f>
        <v>A lion with an open mouth</v>
      </c>
    </row>
    <row r="802" ht="15.75" customHeight="1">
      <c r="A802" s="3" t="s">
        <v>12</v>
      </c>
      <c r="B802" s="3" t="s">
        <v>23</v>
      </c>
      <c r="D802" s="3" t="str">
        <f>IFERROR(__xludf.DUMMYFUNCTION("GOOGLETRANSLATE(A802, ""nl"", ""en"")"),"Nature and Elements")</f>
        <v>Nature and Elements</v>
      </c>
      <c r="E802" s="3" t="str">
        <f>IFERROR(__xludf.DUMMYFUNCTION("GOOGLETRANSLATE(B802, ""nl"", ""en"")"),"A storm cloud splitting in two")</f>
        <v>A storm cloud splitting in two</v>
      </c>
    </row>
    <row r="803" ht="15.75" customHeight="1">
      <c r="A803" s="3" t="s">
        <v>15</v>
      </c>
      <c r="B803" s="3" t="s">
        <v>22</v>
      </c>
      <c r="D803" s="3" t="str">
        <f>IFERROR(__xludf.DUMMYFUNCTION("GOOGLETRANSLATE(A803, ""nl"", ""en"")"),"Animals and Organic Forms")</f>
        <v>Animals and Organic Forms</v>
      </c>
      <c r="E803" s="3" t="str">
        <f>IFERROR(__xludf.DUMMYFUNCTION("GOOGLETRANSLATE(B803, ""nl"", ""en"")"),"A bird taking off")</f>
        <v>A bird taking off</v>
      </c>
    </row>
    <row r="804" ht="15.75" customHeight="1">
      <c r="A804" s="3" t="s">
        <v>15</v>
      </c>
      <c r="B804" s="3" t="s">
        <v>50</v>
      </c>
      <c r="D804" s="3" t="str">
        <f>IFERROR(__xludf.DUMMYFUNCTION("GOOGLETRANSLATE(A804, ""nl"", ""en"")"),"Animals and Organic Forms")</f>
        <v>Animals and Organic Forms</v>
      </c>
      <c r="E804" s="3" t="str">
        <f>IFERROR(__xludf.DUMMYFUNCTION("GOOGLETRANSLATE(B804, ""nl"", ""en"")"),"A squid with extended tentacles")</f>
        <v>A squid with extended tentacles</v>
      </c>
    </row>
    <row r="805" ht="15.75" customHeight="1">
      <c r="A805" s="3" t="s">
        <v>15</v>
      </c>
      <c r="B805" s="3" t="s">
        <v>52</v>
      </c>
      <c r="D805" s="3" t="str">
        <f>IFERROR(__xludf.DUMMYFUNCTION("GOOGLETRANSLATE(A805, ""nl"", ""en"")"),"Animals and Organic Forms")</f>
        <v>Animals and Organic Forms</v>
      </c>
      <c r="E805" s="3" t="str">
        <f>IFERROR(__xludf.DUMMYFUNCTION("GOOGLETRANSLATE(B805, ""nl"", ""en"")"),"A mask made of leaves")</f>
        <v>A mask made of leaves</v>
      </c>
    </row>
    <row r="806" ht="15.75" customHeight="1">
      <c r="A806" s="3" t="s">
        <v>24</v>
      </c>
      <c r="B806" s="3" t="s">
        <v>25</v>
      </c>
      <c r="D806" s="3" t="str">
        <f>IFERROR(__xludf.DUMMYFUNCTION("GOOGLETRANSLATE(A806, ""nl"", ""en"")"),"Cosmic and Abstract Patterns")</f>
        <v>Cosmic and Abstract Patterns</v>
      </c>
      <c r="E806" s="3" t="str">
        <f>IFERROR(__xludf.DUMMYFUNCTION("GOOGLETRANSLATE(B806, ""nl"", ""en"")"),"A meteor shower dissolving into each other")</f>
        <v>A meteor shower dissolving into each other</v>
      </c>
    </row>
    <row r="807" ht="15.75" customHeight="1">
      <c r="A807" s="3" t="s">
        <v>4</v>
      </c>
      <c r="B807" s="3" t="s">
        <v>21</v>
      </c>
      <c r="D807" s="3" t="str">
        <f>IFERROR(__xludf.DUMMYFUNCTION("GOOGLETRANSLATE(A807, ""nl"", ""en"")"),"Architectural and Structural Associations")</f>
        <v>Architectural and Structural Associations</v>
      </c>
      <c r="E807" s="3" t="str">
        <f>IFERROR(__xludf.DUMMYFUNCTION("GOOGLETRANSLATE(B807, ""nl"", ""en"")"),"A bridge that leads nowhere")</f>
        <v>A bridge that leads nowhere</v>
      </c>
    </row>
    <row r="808" ht="15.75" customHeight="1">
      <c r="A808" s="3" t="s">
        <v>12</v>
      </c>
      <c r="B808" s="3" t="s">
        <v>18</v>
      </c>
      <c r="D808" s="3" t="str">
        <f>IFERROR(__xludf.DUMMYFUNCTION("GOOGLETRANSLATE(A808, ""nl"", ""en"")"),"Nature and Elements")</f>
        <v>Nature and Elements</v>
      </c>
      <c r="E808" s="3" t="str">
        <f>IFERROR(__xludf.DUMMYFUNCTION("GOOGLETRANSLATE(B808, ""nl"", ""en"")"),"A tree with endless branches")</f>
        <v>A tree with endless branches</v>
      </c>
    </row>
    <row r="809" ht="15.75" customHeight="1">
      <c r="A809" s="3" t="s">
        <v>12</v>
      </c>
      <c r="B809" s="3" t="s">
        <v>36</v>
      </c>
      <c r="D809" s="3" t="str">
        <f>IFERROR(__xludf.DUMMYFUNCTION("GOOGLETRANSLATE(A809, ""nl"", ""en"")"),"Nature and Elements")</f>
        <v>Nature and Elements</v>
      </c>
      <c r="E809" s="3" t="str">
        <f>IFERROR(__xludf.DUMMYFUNCTION("GOOGLETRANSLATE(B809, ""nl"", ""en"")"),"A river delta from a bird's-eye view")</f>
        <v>A river delta from a bird's-eye view</v>
      </c>
    </row>
    <row r="810" ht="15.75" customHeight="1">
      <c r="A810" s="3" t="s">
        <v>12</v>
      </c>
      <c r="B810" s="3" t="s">
        <v>19</v>
      </c>
      <c r="D810" s="3" t="str">
        <f>IFERROR(__xludf.DUMMYFUNCTION("GOOGLETRANSLATE(A810, ""nl"", ""en"")"),"Nature and Elements")</f>
        <v>Nature and Elements</v>
      </c>
      <c r="E810" s="3" t="str">
        <f>IFERROR(__xludf.DUMMYFUNCTION("GOOGLETRANSLATE(B810, ""nl"", ""en"")"),"A mountain range that seems to breathe")</f>
        <v>A mountain range that seems to breathe</v>
      </c>
    </row>
    <row r="811" ht="15.75" customHeight="1">
      <c r="A811" s="3" t="s">
        <v>7</v>
      </c>
      <c r="B811" s="3" t="s">
        <v>8</v>
      </c>
      <c r="D811" s="3" t="str">
        <f>IFERROR(__xludf.DUMMYFUNCTION("GOOGLETRANSLATE(A811, ""nl"", ""en"")"),"Human Figures and Physicality")</f>
        <v>Human Figures and Physicality</v>
      </c>
      <c r="E811" s="3" t="str">
        <f>IFERROR(__xludf.DUMMYFUNCTION("GOOGLETRANSLATE(B811, ""nl"", ""en"")"),"Two figures mirroring each other")</f>
        <v>Two figures mirroring each other</v>
      </c>
    </row>
    <row r="812" ht="15.75" customHeight="1">
      <c r="A812" s="3" t="s">
        <v>7</v>
      </c>
      <c r="B812" s="3" t="s">
        <v>39</v>
      </c>
      <c r="D812" s="3" t="str">
        <f>IFERROR(__xludf.DUMMYFUNCTION("GOOGLETRANSLATE(A812, ""nl"", ""en"")"),"Human Figures and Physicality")</f>
        <v>Human Figures and Physicality</v>
      </c>
      <c r="E812" s="3" t="str">
        <f>IFERROR(__xludf.DUMMYFUNCTION("GOOGLETRANSLATE(B812, ""nl"", ""en"")"),"A torso without a head")</f>
        <v>A torso without a head</v>
      </c>
    </row>
    <row r="813" ht="15.75" customHeight="1">
      <c r="A813" s="3" t="s">
        <v>7</v>
      </c>
      <c r="B813" s="3" t="s">
        <v>41</v>
      </c>
      <c r="D813" s="3" t="str">
        <f>IFERROR(__xludf.DUMMYFUNCTION("GOOGLETRANSLATE(A813, ""nl"", ""en"")"),"Human Figures and Physicality")</f>
        <v>Human Figures and Physicality</v>
      </c>
      <c r="E813" s="3" t="str">
        <f>IFERROR(__xludf.DUMMYFUNCTION("GOOGLETRANSLATE(B813, ""nl"", ""en"")"),"A face that fades into abstraction")</f>
        <v>A face that fades into abstraction</v>
      </c>
    </row>
    <row r="814" ht="15.75" customHeight="1">
      <c r="A814" s="3" t="s">
        <v>12</v>
      </c>
      <c r="B814" s="3" t="s">
        <v>51</v>
      </c>
      <c r="D814" s="3" t="str">
        <f>IFERROR(__xludf.DUMMYFUNCTION("GOOGLETRANSLATE(A814, ""nl"", ""en"")"),"Nature and Elements")</f>
        <v>Nature and Elements</v>
      </c>
      <c r="E814" s="3" t="str">
        <f>IFERROR(__xludf.DUMMYFUNCTION("GOOGLETRANSLATE(B814, ""nl"", ""en"")"),"An evaporating puddle of water")</f>
        <v>An evaporating puddle of water</v>
      </c>
    </row>
    <row r="815" ht="15.75" customHeight="1">
      <c r="A815" s="3" t="s">
        <v>12</v>
      </c>
      <c r="B815" s="3" t="s">
        <v>47</v>
      </c>
      <c r="D815" s="3" t="str">
        <f>IFERROR(__xludf.DUMMYFUNCTION("GOOGLETRANSLATE(A815, ""nl"", ""en"")"),"Nature and Elements")</f>
        <v>Nature and Elements</v>
      </c>
      <c r="E815" s="3" t="str">
        <f>IFERROR(__xludf.DUMMYFUNCTION("GOOGLETRANSLATE(B815, ""nl"", ""en"")"),"A desert landscape that slowly changes")</f>
        <v>A desert landscape that slowly changes</v>
      </c>
    </row>
    <row r="816" ht="15.75" customHeight="1">
      <c r="A816" s="3" t="s">
        <v>9</v>
      </c>
      <c r="B816" s="3" t="s">
        <v>37</v>
      </c>
      <c r="D816" s="3" t="str">
        <f>IFERROR(__xludf.DUMMYFUNCTION("GOOGLETRANSLATE(A816, ""nl"", ""en"")"),"Psychological and Emotional Interpretations")</f>
        <v>Psychological and Emotional Interpretations</v>
      </c>
      <c r="E816" s="3" t="str">
        <f>IFERROR(__xludf.DUMMYFUNCTION("GOOGLETRANSLATE(B816, ""nl"", ""en"")"),"A figure looking through itself")</f>
        <v>A figure looking through itself</v>
      </c>
    </row>
    <row r="817" ht="15.75" customHeight="1">
      <c r="A817" s="3" t="s">
        <v>15</v>
      </c>
      <c r="B817" s="3" t="s">
        <v>22</v>
      </c>
      <c r="D817" s="3" t="str">
        <f>IFERROR(__xludf.DUMMYFUNCTION("GOOGLETRANSLATE(A817, ""nl"", ""en"")"),"Animals and Organic Forms")</f>
        <v>Animals and Organic Forms</v>
      </c>
      <c r="E817" s="3" t="str">
        <f>IFERROR(__xludf.DUMMYFUNCTION("GOOGLETRANSLATE(B817, ""nl"", ""en"")"),"A bird taking off")</f>
        <v>A bird taking off</v>
      </c>
    </row>
    <row r="818" ht="15.75" customHeight="1">
      <c r="A818" s="3" t="s">
        <v>24</v>
      </c>
      <c r="B818" s="3" t="s">
        <v>54</v>
      </c>
      <c r="D818" s="3" t="str">
        <f>IFERROR(__xludf.DUMMYFUNCTION("GOOGLETRANSLATE(A818, ""nl"", ""en"")"),"Cosmic and Abstract Patterns")</f>
        <v>Cosmic and Abstract Patterns</v>
      </c>
      <c r="E818" s="3" t="str">
        <f>IFERROR(__xludf.DUMMYFUNCTION("GOOGLETRANSLATE(B818, ""nl"", ""en"")"),"A quantum particle in superposition")</f>
        <v>A quantum particle in superposition</v>
      </c>
    </row>
    <row r="819" ht="15.75" customHeight="1">
      <c r="A819" s="3" t="s">
        <v>9</v>
      </c>
      <c r="B819" s="3" t="s">
        <v>37</v>
      </c>
      <c r="D819" s="3" t="str">
        <f>IFERROR(__xludf.DUMMYFUNCTION("GOOGLETRANSLATE(A819, ""nl"", ""en"")"),"Psychological and Emotional Interpretations")</f>
        <v>Psychological and Emotional Interpretations</v>
      </c>
      <c r="E819" s="3" t="str">
        <f>IFERROR(__xludf.DUMMYFUNCTION("GOOGLETRANSLATE(B819, ""nl"", ""en"")"),"A figure looking through itself")</f>
        <v>A figure looking through itself</v>
      </c>
    </row>
    <row r="820" ht="15.75" customHeight="1">
      <c r="A820" s="3" t="s">
        <v>7</v>
      </c>
      <c r="B820" s="3" t="s">
        <v>39</v>
      </c>
      <c r="D820" s="3" t="str">
        <f>IFERROR(__xludf.DUMMYFUNCTION("GOOGLETRANSLATE(A820, ""nl"", ""en"")"),"Human Figures and Physicality")</f>
        <v>Human Figures and Physicality</v>
      </c>
      <c r="E820" s="3" t="str">
        <f>IFERROR(__xludf.DUMMYFUNCTION("GOOGLETRANSLATE(B820, ""nl"", ""en"")"),"A torso without a head")</f>
        <v>A torso without a head</v>
      </c>
    </row>
    <row r="821" ht="15.75" customHeight="1">
      <c r="A821" s="3" t="s">
        <v>15</v>
      </c>
      <c r="B821" s="3" t="s">
        <v>22</v>
      </c>
      <c r="D821" s="3" t="str">
        <f>IFERROR(__xludf.DUMMYFUNCTION("GOOGLETRANSLATE(A821, ""nl"", ""en"")"),"Animals and Organic Forms")</f>
        <v>Animals and Organic Forms</v>
      </c>
      <c r="E821" s="3" t="str">
        <f>IFERROR(__xludf.DUMMYFUNCTION("GOOGLETRANSLATE(B821, ""nl"", ""en"")"),"A bird taking off")</f>
        <v>A bird taking off</v>
      </c>
    </row>
    <row r="822" ht="15.75" customHeight="1">
      <c r="A822" s="3" t="s">
        <v>24</v>
      </c>
      <c r="B822" s="3" t="s">
        <v>31</v>
      </c>
      <c r="D822" s="3" t="str">
        <f>IFERROR(__xludf.DUMMYFUNCTION("GOOGLETRANSLATE(A822, ""nl"", ""en"")"),"Cosmic and Abstract Patterns")</f>
        <v>Cosmic and Abstract Patterns</v>
      </c>
      <c r="E822" s="3" t="str">
        <f>IFERROR(__xludf.DUMMYFUNCTION("GOOGLETRANSLATE(B822, ""nl"", ""en"")"),"A planet with unusual rings")</f>
        <v>A planet with unusual rings</v>
      </c>
    </row>
    <row r="823" ht="15.75" customHeight="1">
      <c r="A823" s="3" t="s">
        <v>7</v>
      </c>
      <c r="B823" s="3" t="s">
        <v>41</v>
      </c>
      <c r="D823" s="3" t="str">
        <f>IFERROR(__xludf.DUMMYFUNCTION("GOOGLETRANSLATE(A823, ""nl"", ""en"")"),"Human Figures and Physicality")</f>
        <v>Human Figures and Physicality</v>
      </c>
      <c r="E823" s="3" t="str">
        <f>IFERROR(__xludf.DUMMYFUNCTION("GOOGLETRANSLATE(B823, ""nl"", ""en"")"),"A face that fades into abstraction")</f>
        <v>A face that fades into abstraction</v>
      </c>
    </row>
    <row r="824" ht="15.75" customHeight="1">
      <c r="A824" s="3" t="s">
        <v>15</v>
      </c>
      <c r="B824" s="3" t="s">
        <v>52</v>
      </c>
      <c r="D824" s="3" t="str">
        <f>IFERROR(__xludf.DUMMYFUNCTION("GOOGLETRANSLATE(A824, ""nl"", ""en"")"),"Animals and Organic Forms")</f>
        <v>Animals and Organic Forms</v>
      </c>
      <c r="E824" s="3" t="str">
        <f>IFERROR(__xludf.DUMMYFUNCTION("GOOGLETRANSLATE(B824, ""nl"", ""en"")"),"A mask made of leaves")</f>
        <v>A mask made of leaves</v>
      </c>
    </row>
    <row r="825" ht="15.75" customHeight="1">
      <c r="A825" s="3" t="s">
        <v>15</v>
      </c>
      <c r="B825" s="3" t="s">
        <v>16</v>
      </c>
      <c r="D825" s="3" t="str">
        <f>IFERROR(__xludf.DUMMYFUNCTION("GOOGLETRANSLATE(A825, ""nl"", ""en"")"),"Animals and Organic Forms")</f>
        <v>Animals and Organic Forms</v>
      </c>
      <c r="E825" s="3" t="str">
        <f>IFERROR(__xludf.DUMMYFUNCTION("GOOGLETRANSLATE(B825, ""nl"", ""en"")"),"A butterfly in transformation")</f>
        <v>A butterfly in transformation</v>
      </c>
    </row>
    <row r="826" ht="15.75" customHeight="1">
      <c r="A826" s="3" t="s">
        <v>24</v>
      </c>
      <c r="B826" s="3" t="s">
        <v>27</v>
      </c>
      <c r="D826" s="3" t="str">
        <f>IFERROR(__xludf.DUMMYFUNCTION("GOOGLETRANSLATE(A826, ""nl"", ""en"")"),"Cosmic and Abstract Patterns")</f>
        <v>Cosmic and Abstract Patterns</v>
      </c>
      <c r="E826" s="3" t="str">
        <f>IFERROR(__xludf.DUMMYFUNCTION("GOOGLETRANSLATE(B826, ""nl"", ""en"")"),"A pair of black holes in dance")</f>
        <v>A pair of black holes in dance</v>
      </c>
    </row>
    <row r="827" ht="15.75" customHeight="1">
      <c r="A827" s="3" t="s">
        <v>9</v>
      </c>
      <c r="B827" s="3" t="s">
        <v>37</v>
      </c>
      <c r="D827" s="3" t="str">
        <f>IFERROR(__xludf.DUMMYFUNCTION("GOOGLETRANSLATE(A827, ""nl"", ""en"")"),"Psychological and Emotional Interpretations")</f>
        <v>Psychological and Emotional Interpretations</v>
      </c>
      <c r="E827" s="3" t="str">
        <f>IFERROR(__xludf.DUMMYFUNCTION("GOOGLETRANSLATE(B827, ""nl"", ""en"")"),"A figure looking through itself")</f>
        <v>A figure looking through itself</v>
      </c>
    </row>
    <row r="828" ht="15.75" customHeight="1">
      <c r="A828" s="3" t="s">
        <v>15</v>
      </c>
      <c r="B828" s="3" t="s">
        <v>16</v>
      </c>
      <c r="D828" s="3" t="str">
        <f>IFERROR(__xludf.DUMMYFUNCTION("GOOGLETRANSLATE(A828, ""nl"", ""en"")"),"Animals and Organic Forms")</f>
        <v>Animals and Organic Forms</v>
      </c>
      <c r="E828" s="3" t="str">
        <f>IFERROR(__xludf.DUMMYFUNCTION("GOOGLETRANSLATE(B828, ""nl"", ""en"")"),"A butterfly in transformation")</f>
        <v>A butterfly in transformation</v>
      </c>
    </row>
    <row r="829" ht="15.75" customHeight="1">
      <c r="A829" s="3" t="s">
        <v>4</v>
      </c>
      <c r="B829" s="3" t="s">
        <v>5</v>
      </c>
      <c r="D829" s="3" t="str">
        <f>IFERROR(__xludf.DUMMYFUNCTION("GOOGLETRANSLATE(A829, ""nl"", ""en"")"),"Architectural and Structural Associations")</f>
        <v>Architectural and Structural Associations</v>
      </c>
      <c r="E829" s="3" t="str">
        <f>IFERROR(__xludf.DUMMYFUNCTION("GOOGLETRANSLATE(B829, ""nl"", ""en"")"),"A cathedral shaped from mist")</f>
        <v>A cathedral shaped from mist</v>
      </c>
    </row>
    <row r="830" ht="15.75" customHeight="1">
      <c r="A830" s="3" t="s">
        <v>12</v>
      </c>
      <c r="B830" s="3" t="s">
        <v>51</v>
      </c>
      <c r="D830" s="3" t="str">
        <f>IFERROR(__xludf.DUMMYFUNCTION("GOOGLETRANSLATE(A830, ""nl"", ""en"")"),"Nature and Elements")</f>
        <v>Nature and Elements</v>
      </c>
      <c r="E830" s="3" t="str">
        <f>IFERROR(__xludf.DUMMYFUNCTION("GOOGLETRANSLATE(B830, ""nl"", ""en"")"),"An evaporating puddle of water")</f>
        <v>An evaporating puddle of water</v>
      </c>
    </row>
    <row r="831" ht="15.75" customHeight="1">
      <c r="A831" s="3" t="s">
        <v>9</v>
      </c>
      <c r="B831" s="3" t="s">
        <v>42</v>
      </c>
      <c r="D831" s="3" t="str">
        <f>IFERROR(__xludf.DUMMYFUNCTION("GOOGLETRANSLATE(A831, ""nl"", ""en"")"),"Psychological and Emotional Interpretations")</f>
        <v>Psychological and Emotional Interpretations</v>
      </c>
      <c r="E831" s="3" t="str">
        <f>IFERROR(__xludf.DUMMYFUNCTION("GOOGLETRANSLATE(B831, ""nl"", ""en"")"),"A mask that slowly disappears")</f>
        <v>A mask that slowly disappears</v>
      </c>
    </row>
    <row r="832" ht="15.75" customHeight="1">
      <c r="A832" s="3" t="s">
        <v>12</v>
      </c>
      <c r="B832" s="3" t="s">
        <v>13</v>
      </c>
      <c r="D832" s="3" t="str">
        <f>IFERROR(__xludf.DUMMYFUNCTION("GOOGLETRANSLATE(A832, ""nl"", ""en"")"),"Nature and Elements")</f>
        <v>Nature and Elements</v>
      </c>
      <c r="E832" s="3" t="str">
        <f>IFERROR(__xludf.DUMMYFUNCTION("GOOGLETRANSLATE(B832, ""nl"", ""en"")"),"A lightning strike in slow motion")</f>
        <v>A lightning strike in slow motion</v>
      </c>
    </row>
    <row r="833" ht="15.75" customHeight="1">
      <c r="A833" s="3" t="s">
        <v>15</v>
      </c>
      <c r="B833" s="3" t="s">
        <v>46</v>
      </c>
      <c r="D833" s="3" t="str">
        <f>IFERROR(__xludf.DUMMYFUNCTION("GOOGLETRANSLATE(A833, ""nl"", ""en"")"),"Animals and Organic Forms")</f>
        <v>Animals and Organic Forms</v>
      </c>
      <c r="E833" s="3" t="str">
        <f>IFERROR(__xludf.DUMMYFUNCTION("GOOGLETRANSLATE(B833, ""nl"", ""en"")"),"A flock of fish moving as one")</f>
        <v>A flock of fish moving as one</v>
      </c>
    </row>
    <row r="834" ht="15.75" customHeight="1">
      <c r="A834" s="3" t="s">
        <v>9</v>
      </c>
      <c r="B834" s="3" t="s">
        <v>10</v>
      </c>
      <c r="D834" s="3" t="str">
        <f>IFERROR(__xludf.DUMMYFUNCTION("GOOGLETRANSLATE(A834, ""nl"", ""en"")"),"Psychological and Emotional Interpretations")</f>
        <v>Psychological and Emotional Interpretations</v>
      </c>
      <c r="E834" s="3" t="str">
        <f>IFERROR(__xludf.DUMMYFUNCTION("GOOGLETRANSLATE(B834, ""nl"", ""en"")"),"A face transforming in light")</f>
        <v>A face transforming in light</v>
      </c>
    </row>
    <row r="835" ht="15.75" customHeight="1">
      <c r="A835" s="3" t="s">
        <v>24</v>
      </c>
      <c r="B835" s="3" t="s">
        <v>25</v>
      </c>
      <c r="D835" s="3" t="str">
        <f>IFERROR(__xludf.DUMMYFUNCTION("GOOGLETRANSLATE(A835, ""nl"", ""en"")"),"Cosmic and Abstract Patterns")</f>
        <v>Cosmic and Abstract Patterns</v>
      </c>
      <c r="E835" s="3" t="str">
        <f>IFERROR(__xludf.DUMMYFUNCTION("GOOGLETRANSLATE(B835, ""nl"", ""en"")"),"A meteor shower dissolving into each other")</f>
        <v>A meteor shower dissolving into each other</v>
      </c>
    </row>
    <row r="836" ht="15.75" customHeight="1">
      <c r="A836" s="3" t="s">
        <v>4</v>
      </c>
      <c r="B836" s="3" t="s">
        <v>20</v>
      </c>
      <c r="D836" s="3" t="str">
        <f>IFERROR(__xludf.DUMMYFUNCTION("GOOGLETRANSLATE(A836, ""nl"", ""en"")"),"Architectural and Structural Associations")</f>
        <v>Architectural and Structural Associations</v>
      </c>
      <c r="E836" s="3" t="str">
        <f>IFERROR(__xludf.DUMMYFUNCTION("GOOGLETRANSLATE(B836, ""nl"", ""en"")"),"A tower that grows by itself")</f>
        <v>A tower that grows by itself</v>
      </c>
    </row>
    <row r="837" ht="15.75" customHeight="1">
      <c r="A837" s="3" t="s">
        <v>7</v>
      </c>
      <c r="B837" s="3" t="s">
        <v>41</v>
      </c>
      <c r="D837" s="3" t="str">
        <f>IFERROR(__xludf.DUMMYFUNCTION("GOOGLETRANSLATE(A837, ""nl"", ""en"")"),"Human Figures and Physicality")</f>
        <v>Human Figures and Physicality</v>
      </c>
      <c r="E837" s="3" t="str">
        <f>IFERROR(__xludf.DUMMYFUNCTION("GOOGLETRANSLATE(B837, ""nl"", ""en"")"),"A face that fades into abstraction")</f>
        <v>A face that fades into abstraction</v>
      </c>
    </row>
    <row r="838" ht="15.75" customHeight="1">
      <c r="A838" s="3" t="s">
        <v>7</v>
      </c>
      <c r="B838" s="3" t="s">
        <v>41</v>
      </c>
      <c r="D838" s="3" t="str">
        <f>IFERROR(__xludf.DUMMYFUNCTION("GOOGLETRANSLATE(A838, ""nl"", ""en"")"),"Human Figures and Physicality")</f>
        <v>Human Figures and Physicality</v>
      </c>
      <c r="E838" s="3" t="str">
        <f>IFERROR(__xludf.DUMMYFUNCTION("GOOGLETRANSLATE(B838, ""nl"", ""en"")"),"A face that fades into abstraction")</f>
        <v>A face that fades into abstraction</v>
      </c>
    </row>
    <row r="839" ht="15.75" customHeight="1">
      <c r="A839" s="3" t="s">
        <v>12</v>
      </c>
      <c r="B839" s="3" t="s">
        <v>19</v>
      </c>
      <c r="D839" s="3" t="str">
        <f>IFERROR(__xludf.DUMMYFUNCTION("GOOGLETRANSLATE(A839, ""nl"", ""en"")"),"Nature and Elements")</f>
        <v>Nature and Elements</v>
      </c>
      <c r="E839" s="3" t="str">
        <f>IFERROR(__xludf.DUMMYFUNCTION("GOOGLETRANSLATE(B839, ""nl"", ""en"")"),"A mountain range that seems to breathe")</f>
        <v>A mountain range that seems to breathe</v>
      </c>
    </row>
    <row r="840" ht="15.75" customHeight="1">
      <c r="A840" s="3" t="s">
        <v>24</v>
      </c>
      <c r="B840" s="3" t="s">
        <v>25</v>
      </c>
      <c r="D840" s="3" t="str">
        <f>IFERROR(__xludf.DUMMYFUNCTION("GOOGLETRANSLATE(A840, ""nl"", ""en"")"),"Cosmic and Abstract Patterns")</f>
        <v>Cosmic and Abstract Patterns</v>
      </c>
      <c r="E840" s="3" t="str">
        <f>IFERROR(__xludf.DUMMYFUNCTION("GOOGLETRANSLATE(B840, ""nl"", ""en"")"),"A meteor shower dissolving into each other")</f>
        <v>A meteor shower dissolving into each other</v>
      </c>
    </row>
    <row r="841" ht="15.75" customHeight="1">
      <c r="A841" s="3" t="s">
        <v>15</v>
      </c>
      <c r="B841" s="3" t="s">
        <v>50</v>
      </c>
      <c r="D841" s="3" t="str">
        <f>IFERROR(__xludf.DUMMYFUNCTION("GOOGLETRANSLATE(A841, ""nl"", ""en"")"),"Animals and Organic Forms")</f>
        <v>Animals and Organic Forms</v>
      </c>
      <c r="E841" s="3" t="str">
        <f>IFERROR(__xludf.DUMMYFUNCTION("GOOGLETRANSLATE(B841, ""nl"", ""en"")"),"A squid with extended tentacles")</f>
        <v>A squid with extended tentacles</v>
      </c>
    </row>
    <row r="842" ht="15.75" customHeight="1">
      <c r="A842" s="3" t="s">
        <v>15</v>
      </c>
      <c r="B842" s="3" t="s">
        <v>38</v>
      </c>
      <c r="D842" s="3" t="str">
        <f>IFERROR(__xludf.DUMMYFUNCTION("GOOGLETRANSLATE(A842, ""nl"", ""en"")"),"Animals and Organic Forms")</f>
        <v>Animals and Organic Forms</v>
      </c>
      <c r="E842" s="3" t="str">
        <f>IFERROR(__xludf.DUMMYFUNCTION("GOOGLETRANSLATE(B842, ""nl"", ""en"")"),"A lion with an open mouth")</f>
        <v>A lion with an open mouth</v>
      </c>
    </row>
    <row r="843" ht="15.75" customHeight="1">
      <c r="A843" s="3" t="s">
        <v>4</v>
      </c>
      <c r="B843" s="3" t="s">
        <v>21</v>
      </c>
      <c r="D843" s="3" t="str">
        <f>IFERROR(__xludf.DUMMYFUNCTION("GOOGLETRANSLATE(A843, ""nl"", ""en"")"),"Architectural and Structural Associations")</f>
        <v>Architectural and Structural Associations</v>
      </c>
      <c r="E843" s="3" t="str">
        <f>IFERROR(__xludf.DUMMYFUNCTION("GOOGLETRANSLATE(B843, ""nl"", ""en"")"),"A bridge that leads nowhere")</f>
        <v>A bridge that leads nowhere</v>
      </c>
    </row>
    <row r="844" ht="15.75" customHeight="1">
      <c r="A844" s="3" t="s">
        <v>9</v>
      </c>
      <c r="B844" s="3" t="s">
        <v>42</v>
      </c>
      <c r="D844" s="3" t="str">
        <f>IFERROR(__xludf.DUMMYFUNCTION("GOOGLETRANSLATE(A844, ""nl"", ""en"")"),"Psychological and Emotional Interpretations")</f>
        <v>Psychological and Emotional Interpretations</v>
      </c>
      <c r="E844" s="3" t="str">
        <f>IFERROR(__xludf.DUMMYFUNCTION("GOOGLETRANSLATE(B844, ""nl"", ""en"")"),"A mask that slowly disappears")</f>
        <v>A mask that slowly disappears</v>
      </c>
    </row>
    <row r="845" ht="15.75" customHeight="1">
      <c r="A845" s="3" t="s">
        <v>9</v>
      </c>
      <c r="B845" s="3" t="s">
        <v>49</v>
      </c>
      <c r="D845" s="3" t="str">
        <f>IFERROR(__xludf.DUMMYFUNCTION("GOOGLETRANSLATE(A845, ""nl"", ""en"")"),"Psychological and Emotional Interpretations")</f>
        <v>Psychological and Emotional Interpretations</v>
      </c>
      <c r="E845" s="3" t="str">
        <f>IFERROR(__xludf.DUMMYFUNCTION("GOOGLETRANSLATE(B845, ""nl"", ""en"")"),"A spiral that turns inward")</f>
        <v>A spiral that turns inward</v>
      </c>
    </row>
    <row r="846" ht="15.75" customHeight="1">
      <c r="A846" s="3" t="s">
        <v>7</v>
      </c>
      <c r="B846" s="3" t="s">
        <v>8</v>
      </c>
      <c r="D846" s="3" t="str">
        <f>IFERROR(__xludf.DUMMYFUNCTION("GOOGLETRANSLATE(A846, ""nl"", ""en"")"),"Human Figures and Physicality")</f>
        <v>Human Figures and Physicality</v>
      </c>
      <c r="E846" s="3" t="str">
        <f>IFERROR(__xludf.DUMMYFUNCTION("GOOGLETRANSLATE(B846, ""nl"", ""en"")"),"Two figures mirroring each other")</f>
        <v>Two figures mirroring each other</v>
      </c>
    </row>
    <row r="847" ht="15.75" customHeight="1">
      <c r="A847" s="3" t="s">
        <v>9</v>
      </c>
      <c r="B847" s="3" t="s">
        <v>10</v>
      </c>
      <c r="D847" s="3" t="str">
        <f>IFERROR(__xludf.DUMMYFUNCTION("GOOGLETRANSLATE(A847, ""nl"", ""en"")"),"Psychological and Emotional Interpretations")</f>
        <v>Psychological and Emotional Interpretations</v>
      </c>
      <c r="E847" s="3" t="str">
        <f>IFERROR(__xludf.DUMMYFUNCTION("GOOGLETRANSLATE(B847, ""nl"", ""en"")"),"A face transforming in light")</f>
        <v>A face transforming in light</v>
      </c>
    </row>
    <row r="848" ht="15.75" customHeight="1">
      <c r="A848" s="3" t="s">
        <v>7</v>
      </c>
      <c r="B848" s="3" t="s">
        <v>56</v>
      </c>
      <c r="D848" s="3" t="str">
        <f>IFERROR(__xludf.DUMMYFUNCTION("GOOGLETRANSLATE(A848, ""nl"", ""en"")"),"Human Figures and Physicality")</f>
        <v>Human Figures and Physicality</v>
      </c>
      <c r="E848" s="3" t="str">
        <f>IFERROR(__xludf.DUMMYFUNCTION("GOOGLETRANSLATE(B848, ""nl"", ""en"")"),"A shadow that seems to move")</f>
        <v>A shadow that seems to move</v>
      </c>
    </row>
    <row r="849" ht="15.75" customHeight="1">
      <c r="A849" s="3" t="s">
        <v>7</v>
      </c>
      <c r="B849" s="3" t="s">
        <v>8</v>
      </c>
      <c r="D849" s="3" t="str">
        <f>IFERROR(__xludf.DUMMYFUNCTION("GOOGLETRANSLATE(A849, ""nl"", ""en"")"),"Human Figures and Physicality")</f>
        <v>Human Figures and Physicality</v>
      </c>
      <c r="E849" s="3" t="str">
        <f>IFERROR(__xludf.DUMMYFUNCTION("GOOGLETRANSLATE(B849, ""nl"", ""en"")"),"Two figures mirroring each other")</f>
        <v>Two figures mirroring each other</v>
      </c>
    </row>
    <row r="850" ht="15.75" customHeight="1">
      <c r="A850" s="3" t="s">
        <v>24</v>
      </c>
      <c r="B850" s="3" t="s">
        <v>25</v>
      </c>
      <c r="D850" s="3" t="str">
        <f>IFERROR(__xludf.DUMMYFUNCTION("GOOGLETRANSLATE(A850, ""nl"", ""en"")"),"Cosmic and Abstract Patterns")</f>
        <v>Cosmic and Abstract Patterns</v>
      </c>
      <c r="E850" s="3" t="str">
        <f>IFERROR(__xludf.DUMMYFUNCTION("GOOGLETRANSLATE(B850, ""nl"", ""en"")"),"A meteor shower dissolving into each other")</f>
        <v>A meteor shower dissolving into each other</v>
      </c>
    </row>
    <row r="851" ht="15.75" customHeight="1">
      <c r="A851" s="3" t="s">
        <v>4</v>
      </c>
      <c r="B851" s="3" t="s">
        <v>43</v>
      </c>
      <c r="D851" s="3" t="str">
        <f>IFERROR(__xludf.DUMMYFUNCTION("GOOGLETRANSLATE(A851, ""nl"", ""en"")"),"Architectural and Structural Associations")</f>
        <v>Architectural and Structural Associations</v>
      </c>
      <c r="E851" s="3" t="str">
        <f>IFERROR(__xludf.DUMMYFUNCTION("GOOGLETRANSLATE(B851, ""nl"", ""en"")"),"A network of tunnels and passages")</f>
        <v>A network of tunnels and passages</v>
      </c>
    </row>
    <row r="852" ht="15.75" customHeight="1">
      <c r="A852" s="3" t="s">
        <v>15</v>
      </c>
      <c r="B852" s="3" t="s">
        <v>50</v>
      </c>
      <c r="D852" s="3" t="str">
        <f>IFERROR(__xludf.DUMMYFUNCTION("GOOGLETRANSLATE(A852, ""nl"", ""en"")"),"Animals and Organic Forms")</f>
        <v>Animals and Organic Forms</v>
      </c>
      <c r="E852" s="3" t="str">
        <f>IFERROR(__xludf.DUMMYFUNCTION("GOOGLETRANSLATE(B852, ""nl"", ""en"")"),"A squid with extended tentacles")</f>
        <v>A squid with extended tentacles</v>
      </c>
    </row>
    <row r="853" ht="15.75" customHeight="1">
      <c r="A853" s="3" t="s">
        <v>12</v>
      </c>
      <c r="B853" s="3" t="s">
        <v>36</v>
      </c>
      <c r="D853" s="3" t="str">
        <f>IFERROR(__xludf.DUMMYFUNCTION("GOOGLETRANSLATE(A853, ""nl"", ""en"")"),"Nature and Elements")</f>
        <v>Nature and Elements</v>
      </c>
      <c r="E853" s="3" t="str">
        <f>IFERROR(__xludf.DUMMYFUNCTION("GOOGLETRANSLATE(B853, ""nl"", ""en"")"),"A river delta from a bird's-eye view")</f>
        <v>A river delta from a bird's-eye view</v>
      </c>
    </row>
    <row r="854" ht="15.75" customHeight="1">
      <c r="A854" s="3" t="s">
        <v>24</v>
      </c>
      <c r="B854" s="3" t="s">
        <v>32</v>
      </c>
      <c r="D854" s="3" t="str">
        <f>IFERROR(__xludf.DUMMYFUNCTION("GOOGLETRANSLATE(A854, ""nl"", ""en"")"),"Cosmic and Abstract Patterns")</f>
        <v>Cosmic and Abstract Patterns</v>
      </c>
      <c r="E854" s="3" t="str">
        <f>IFERROR(__xludf.DUMMYFUNCTION("GOOGLETRANSLATE(B854, ""nl"", ""en"")"),"A time loop captured in image")</f>
        <v>A time loop captured in image</v>
      </c>
    </row>
    <row r="855" ht="15.75" customHeight="1">
      <c r="A855" s="3" t="s">
        <v>24</v>
      </c>
      <c r="B855" s="3" t="s">
        <v>48</v>
      </c>
      <c r="D855" s="3" t="str">
        <f>IFERROR(__xludf.DUMMYFUNCTION("GOOGLETRANSLATE(A855, ""nl"", ""en"")"),"Cosmic and Abstract Patterns")</f>
        <v>Cosmic and Abstract Patterns</v>
      </c>
      <c r="E855" s="3" t="str">
        <f>IFERROR(__xludf.DUMMYFUNCTION("GOOGLETRANSLATE(B855, ""nl"", ""en"")"),"A fractal that repeats itself")</f>
        <v>A fractal that repeats itself</v>
      </c>
    </row>
    <row r="856" ht="15.75" customHeight="1">
      <c r="A856" s="3" t="s">
        <v>4</v>
      </c>
      <c r="B856" s="3" t="s">
        <v>35</v>
      </c>
      <c r="D856" s="3" t="str">
        <f>IFERROR(__xludf.DUMMYFUNCTION("GOOGLETRANSLATE(A856, ""nl"", ""en"")"),"Architectural and Structural Associations")</f>
        <v>Architectural and Structural Associations</v>
      </c>
      <c r="E856" s="3" t="str">
        <f>IFERROR(__xludf.DUMMYFUNCTION("GOOGLETRANSLATE(B856, ""nl"", ""en"")"),"A floating building without a base")</f>
        <v>A floating building without a base</v>
      </c>
    </row>
    <row r="857" ht="15.75" customHeight="1">
      <c r="A857" s="3" t="s">
        <v>12</v>
      </c>
      <c r="B857" s="3" t="s">
        <v>36</v>
      </c>
      <c r="D857" s="3" t="str">
        <f>IFERROR(__xludf.DUMMYFUNCTION("GOOGLETRANSLATE(A857, ""nl"", ""en"")"),"Nature and Elements")</f>
        <v>Nature and Elements</v>
      </c>
      <c r="E857" s="3" t="str">
        <f>IFERROR(__xludf.DUMMYFUNCTION("GOOGLETRANSLATE(B857, ""nl"", ""en"")"),"A river delta from a bird's-eye view")</f>
        <v>A river delta from a bird's-eye view</v>
      </c>
    </row>
    <row r="858" ht="15.75" customHeight="1">
      <c r="A858" s="3" t="s">
        <v>15</v>
      </c>
      <c r="B858" s="3" t="s">
        <v>38</v>
      </c>
      <c r="D858" s="3" t="str">
        <f>IFERROR(__xludf.DUMMYFUNCTION("GOOGLETRANSLATE(A858, ""nl"", ""en"")"),"Animals and Organic Forms")</f>
        <v>Animals and Organic Forms</v>
      </c>
      <c r="E858" s="3" t="str">
        <f>IFERROR(__xludf.DUMMYFUNCTION("GOOGLETRANSLATE(B858, ""nl"", ""en"")"),"A lion with an open mouth")</f>
        <v>A lion with an open mouth</v>
      </c>
    </row>
    <row r="859" ht="15.75" customHeight="1">
      <c r="A859" s="3" t="s">
        <v>24</v>
      </c>
      <c r="B859" s="3" t="s">
        <v>29</v>
      </c>
      <c r="D859" s="3" t="str">
        <f>IFERROR(__xludf.DUMMYFUNCTION("GOOGLETRANSLATE(A859, ""nl"", ""en"")"),"Cosmic and Abstract Patterns")</f>
        <v>Cosmic and Abstract Patterns</v>
      </c>
      <c r="E859" s="3" t="str">
        <f>IFERROR(__xludf.DUMMYFUNCTION("GOOGLETRANSLATE(B859, ""nl"", ""en"")"),"A galaxy unfolding")</f>
        <v>A galaxy unfolding</v>
      </c>
    </row>
    <row r="860" ht="15.75" customHeight="1">
      <c r="A860" s="3" t="s">
        <v>4</v>
      </c>
      <c r="B860" s="3" t="s">
        <v>43</v>
      </c>
      <c r="D860" s="3" t="str">
        <f>IFERROR(__xludf.DUMMYFUNCTION("GOOGLETRANSLATE(A860, ""nl"", ""en"")"),"Architectural and Structural Associations")</f>
        <v>Architectural and Structural Associations</v>
      </c>
      <c r="E860" s="3" t="str">
        <f>IFERROR(__xludf.DUMMYFUNCTION("GOOGLETRANSLATE(B860, ""nl"", ""en"")"),"A network of tunnels and passages")</f>
        <v>A network of tunnels and passages</v>
      </c>
    </row>
    <row r="861" ht="15.75" customHeight="1">
      <c r="A861" s="3" t="s">
        <v>9</v>
      </c>
      <c r="B861" s="3" t="s">
        <v>37</v>
      </c>
      <c r="D861" s="3" t="str">
        <f>IFERROR(__xludf.DUMMYFUNCTION("GOOGLETRANSLATE(A861, ""nl"", ""en"")"),"Psychological and Emotional Interpretations")</f>
        <v>Psychological and Emotional Interpretations</v>
      </c>
      <c r="E861" s="3" t="str">
        <f>IFERROR(__xludf.DUMMYFUNCTION("GOOGLETRANSLATE(B861, ""nl"", ""en"")"),"A figure looking through itself")</f>
        <v>A figure looking through itself</v>
      </c>
    </row>
    <row r="862" ht="15.75" customHeight="1">
      <c r="A862" s="3" t="s">
        <v>4</v>
      </c>
      <c r="B862" s="3" t="s">
        <v>55</v>
      </c>
      <c r="D862" s="3" t="str">
        <f>IFERROR(__xludf.DUMMYFUNCTION("GOOGLETRANSLATE(A862, ""nl"", ""en"")"),"Architectural and Structural Associations")</f>
        <v>Architectural and Structural Associations</v>
      </c>
      <c r="E862" s="3" t="str">
        <f>IFERROR(__xludf.DUMMYFUNCTION("GOOGLETRANSLATE(B862, ""nl"", ""en"")"),"A prism that splits light into colors")</f>
        <v>A prism that splits light into colors</v>
      </c>
    </row>
    <row r="863" ht="15.75" customHeight="1">
      <c r="A863" s="3" t="s">
        <v>15</v>
      </c>
      <c r="B863" s="3" t="s">
        <v>45</v>
      </c>
      <c r="D863" s="3" t="str">
        <f>IFERROR(__xludf.DUMMYFUNCTION("GOOGLETRANSLATE(A863, ""nl"", ""en"")"),"Animals and Organic Forms")</f>
        <v>Animals and Organic Forms</v>
      </c>
      <c r="E863" s="3" t="str">
        <f>IFERROR(__xludf.DUMMYFUNCTION("GOOGLETRANSLATE(B863, ""nl"", ""en"")"),"A snake biting its own tail")</f>
        <v>A snake biting its own tail</v>
      </c>
    </row>
    <row r="864" ht="15.75" customHeight="1">
      <c r="A864" s="3" t="s">
        <v>15</v>
      </c>
      <c r="B864" s="3" t="s">
        <v>16</v>
      </c>
      <c r="D864" s="3" t="str">
        <f>IFERROR(__xludf.DUMMYFUNCTION("GOOGLETRANSLATE(A864, ""nl"", ""en"")"),"Animals and Organic Forms")</f>
        <v>Animals and Organic Forms</v>
      </c>
      <c r="E864" s="3" t="str">
        <f>IFERROR(__xludf.DUMMYFUNCTION("GOOGLETRANSLATE(B864, ""nl"", ""en"")"),"A butterfly in transformation")</f>
        <v>A butterfly in transformation</v>
      </c>
    </row>
    <row r="865" ht="15.75" customHeight="1">
      <c r="A865" s="3" t="s">
        <v>4</v>
      </c>
      <c r="B865" s="3" t="s">
        <v>35</v>
      </c>
      <c r="D865" s="3" t="str">
        <f>IFERROR(__xludf.DUMMYFUNCTION("GOOGLETRANSLATE(A865, ""nl"", ""en"")"),"Architectural and Structural Associations")</f>
        <v>Architectural and Structural Associations</v>
      </c>
      <c r="E865" s="3" t="str">
        <f>IFERROR(__xludf.DUMMYFUNCTION("GOOGLETRANSLATE(B865, ""nl"", ""en"")"),"A floating building without a base")</f>
        <v>A floating building without a base</v>
      </c>
    </row>
    <row r="866" ht="15.75" customHeight="1">
      <c r="A866" s="3" t="s">
        <v>9</v>
      </c>
      <c r="B866" s="3" t="s">
        <v>14</v>
      </c>
      <c r="D866" s="3" t="str">
        <f>IFERROR(__xludf.DUMMYFUNCTION("GOOGLETRANSLATE(A866, ""nl"", ""en"")"),"Psychological and Emotional Interpretations")</f>
        <v>Psychological and Emotional Interpretations</v>
      </c>
      <c r="E866" s="3" t="str">
        <f>IFERROR(__xludf.DUMMYFUNCTION("GOOGLETRANSLATE(B866, ""nl"", ""en"")"),"An unclear hug")</f>
        <v>An unclear hug</v>
      </c>
    </row>
    <row r="867" ht="15.75" customHeight="1">
      <c r="A867" s="3" t="s">
        <v>12</v>
      </c>
      <c r="B867" s="3" t="s">
        <v>13</v>
      </c>
      <c r="D867" s="3" t="str">
        <f>IFERROR(__xludf.DUMMYFUNCTION("GOOGLETRANSLATE(A867, ""nl"", ""en"")"),"Nature and Elements")</f>
        <v>Nature and Elements</v>
      </c>
      <c r="E867" s="3" t="str">
        <f>IFERROR(__xludf.DUMMYFUNCTION("GOOGLETRANSLATE(B867, ""nl"", ""en"")"),"A lightning strike in slow motion")</f>
        <v>A lightning strike in slow motion</v>
      </c>
    </row>
    <row r="868" ht="15.75" customHeight="1">
      <c r="A868" s="3" t="s">
        <v>7</v>
      </c>
      <c r="B868" s="3" t="s">
        <v>28</v>
      </c>
      <c r="D868" s="3" t="str">
        <f>IFERROR(__xludf.DUMMYFUNCTION("GOOGLETRANSLATE(A868, ""nl"", ""en"")"),"Human Figures and Physicality")</f>
        <v>Human Figures and Physicality</v>
      </c>
      <c r="E868" s="3" t="str">
        <f>IFERROR(__xludf.DUMMYFUNCTION("GOOGLETRANSLATE(B868, ""nl"", ""en"")"),"A dancing silhouette")</f>
        <v>A dancing silhouette</v>
      </c>
    </row>
    <row r="869" ht="15.75" customHeight="1">
      <c r="A869" s="3" t="s">
        <v>4</v>
      </c>
      <c r="B869" s="3" t="s">
        <v>55</v>
      </c>
      <c r="D869" s="3" t="str">
        <f>IFERROR(__xludf.DUMMYFUNCTION("GOOGLETRANSLATE(A869, ""nl"", ""en"")"),"Architectural and Structural Associations")</f>
        <v>Architectural and Structural Associations</v>
      </c>
      <c r="E869" s="3" t="str">
        <f>IFERROR(__xludf.DUMMYFUNCTION("GOOGLETRANSLATE(B869, ""nl"", ""en"")"),"A prism that splits light into colors")</f>
        <v>A prism that splits light into colors</v>
      </c>
    </row>
    <row r="870" ht="15.75" customHeight="1">
      <c r="A870" s="3" t="s">
        <v>24</v>
      </c>
      <c r="B870" s="3" t="s">
        <v>29</v>
      </c>
      <c r="D870" s="3" t="str">
        <f>IFERROR(__xludf.DUMMYFUNCTION("GOOGLETRANSLATE(A870, ""nl"", ""en"")"),"Cosmic and Abstract Patterns")</f>
        <v>Cosmic and Abstract Patterns</v>
      </c>
      <c r="E870" s="3" t="str">
        <f>IFERROR(__xludf.DUMMYFUNCTION("GOOGLETRANSLATE(B870, ""nl"", ""en"")"),"A galaxy unfolding")</f>
        <v>A galaxy unfolding</v>
      </c>
    </row>
    <row r="871" ht="15.75" customHeight="1">
      <c r="A871" s="3" t="s">
        <v>15</v>
      </c>
      <c r="B871" s="3" t="s">
        <v>50</v>
      </c>
      <c r="D871" s="3" t="str">
        <f>IFERROR(__xludf.DUMMYFUNCTION("GOOGLETRANSLATE(A871, ""nl"", ""en"")"),"Animals and Organic Forms")</f>
        <v>Animals and Organic Forms</v>
      </c>
      <c r="E871" s="3" t="str">
        <f>IFERROR(__xludf.DUMMYFUNCTION("GOOGLETRANSLATE(B871, ""nl"", ""en"")"),"A squid with extended tentacles")</f>
        <v>A squid with extended tentacles</v>
      </c>
    </row>
    <row r="872" ht="15.75" customHeight="1">
      <c r="A872" s="3" t="s">
        <v>7</v>
      </c>
      <c r="B872" s="3" t="s">
        <v>39</v>
      </c>
      <c r="D872" s="3" t="str">
        <f>IFERROR(__xludf.DUMMYFUNCTION("GOOGLETRANSLATE(A872, ""nl"", ""en"")"),"Human Figures and Physicality")</f>
        <v>Human Figures and Physicality</v>
      </c>
      <c r="E872" s="3" t="str">
        <f>IFERROR(__xludf.DUMMYFUNCTION("GOOGLETRANSLATE(B872, ""nl"", ""en"")"),"A torso without a head")</f>
        <v>A torso without a head</v>
      </c>
    </row>
    <row r="873" ht="15.75" customHeight="1">
      <c r="A873" s="3" t="s">
        <v>4</v>
      </c>
      <c r="B873" s="3" t="s">
        <v>43</v>
      </c>
      <c r="D873" s="3" t="str">
        <f>IFERROR(__xludf.DUMMYFUNCTION("GOOGLETRANSLATE(A873, ""nl"", ""en"")"),"Architectural and Structural Associations")</f>
        <v>Architectural and Structural Associations</v>
      </c>
      <c r="E873" s="3" t="str">
        <f>IFERROR(__xludf.DUMMYFUNCTION("GOOGLETRANSLATE(B873, ""nl"", ""en"")"),"A network of tunnels and passages")</f>
        <v>A network of tunnels and passages</v>
      </c>
    </row>
    <row r="874" ht="15.75" customHeight="1">
      <c r="A874" s="3" t="s">
        <v>4</v>
      </c>
      <c r="B874" s="3" t="s">
        <v>35</v>
      </c>
      <c r="D874" s="3" t="str">
        <f>IFERROR(__xludf.DUMMYFUNCTION("GOOGLETRANSLATE(A874, ""nl"", ""en"")"),"Architectural and Structural Associations")</f>
        <v>Architectural and Structural Associations</v>
      </c>
      <c r="E874" s="3" t="str">
        <f>IFERROR(__xludf.DUMMYFUNCTION("GOOGLETRANSLATE(B874, ""nl"", ""en"")"),"A floating building without a base")</f>
        <v>A floating building without a base</v>
      </c>
    </row>
    <row r="875" ht="15.75" customHeight="1">
      <c r="A875" s="3" t="s">
        <v>15</v>
      </c>
      <c r="B875" s="3" t="s">
        <v>16</v>
      </c>
      <c r="D875" s="3" t="str">
        <f>IFERROR(__xludf.DUMMYFUNCTION("GOOGLETRANSLATE(A875, ""nl"", ""en"")"),"Animals and Organic Forms")</f>
        <v>Animals and Organic Forms</v>
      </c>
      <c r="E875" s="3" t="str">
        <f>IFERROR(__xludf.DUMMYFUNCTION("GOOGLETRANSLATE(B875, ""nl"", ""en"")"),"A butterfly in transformation")</f>
        <v>A butterfly in transformation</v>
      </c>
    </row>
    <row r="876" ht="15.75" customHeight="1">
      <c r="A876" s="3" t="s">
        <v>7</v>
      </c>
      <c r="B876" s="3" t="s">
        <v>28</v>
      </c>
      <c r="D876" s="3" t="str">
        <f>IFERROR(__xludf.DUMMYFUNCTION("GOOGLETRANSLATE(A876, ""nl"", ""en"")"),"Human Figures and Physicality")</f>
        <v>Human Figures and Physicality</v>
      </c>
      <c r="E876" s="3" t="str">
        <f>IFERROR(__xludf.DUMMYFUNCTION("GOOGLETRANSLATE(B876, ""nl"", ""en"")"),"A dancing silhouette")</f>
        <v>A dancing silhouette</v>
      </c>
    </row>
    <row r="877" ht="15.75" customHeight="1">
      <c r="A877" s="3" t="s">
        <v>24</v>
      </c>
      <c r="B877" s="3" t="s">
        <v>48</v>
      </c>
      <c r="D877" s="3" t="str">
        <f>IFERROR(__xludf.DUMMYFUNCTION("GOOGLETRANSLATE(A877, ""nl"", ""en"")"),"Cosmic and Abstract Patterns")</f>
        <v>Cosmic and Abstract Patterns</v>
      </c>
      <c r="E877" s="3" t="str">
        <f>IFERROR(__xludf.DUMMYFUNCTION("GOOGLETRANSLATE(B877, ""nl"", ""en"")"),"A fractal that repeats itself")</f>
        <v>A fractal that repeats itself</v>
      </c>
    </row>
    <row r="878" ht="15.75" customHeight="1">
      <c r="A878" s="3" t="s">
        <v>7</v>
      </c>
      <c r="B878" s="3" t="s">
        <v>40</v>
      </c>
      <c r="D878" s="3" t="str">
        <f>IFERROR(__xludf.DUMMYFUNCTION("GOOGLETRANSLATE(A878, ""nl"", ""en"")"),"Human Figures and Physicality")</f>
        <v>Human Figures and Physicality</v>
      </c>
      <c r="E878" s="3" t="str">
        <f>IFERROR(__xludf.DUMMYFUNCTION("GOOGLETRANSLATE(B878, ""nl"", ""en"")"),"A figure who is withdrawn into himself")</f>
        <v>A figure who is withdrawn into himself</v>
      </c>
    </row>
    <row r="879" ht="15.75" customHeight="1">
      <c r="A879" s="3" t="s">
        <v>7</v>
      </c>
      <c r="B879" s="3" t="s">
        <v>40</v>
      </c>
      <c r="D879" s="3" t="str">
        <f>IFERROR(__xludf.DUMMYFUNCTION("GOOGLETRANSLATE(A879, ""nl"", ""en"")"),"Human Figures and Physicality")</f>
        <v>Human Figures and Physicality</v>
      </c>
      <c r="E879" s="3" t="str">
        <f>IFERROR(__xludf.DUMMYFUNCTION("GOOGLETRANSLATE(B879, ""nl"", ""en"")"),"A figure who is withdrawn into himself")</f>
        <v>A figure who is withdrawn into himself</v>
      </c>
    </row>
    <row r="880" ht="15.75" customHeight="1">
      <c r="A880" s="3" t="s">
        <v>9</v>
      </c>
      <c r="B880" s="3" t="s">
        <v>10</v>
      </c>
      <c r="D880" s="3" t="str">
        <f>IFERROR(__xludf.DUMMYFUNCTION("GOOGLETRANSLATE(A880, ""nl"", ""en"")"),"Psychological and Emotional Interpretations")</f>
        <v>Psychological and Emotional Interpretations</v>
      </c>
      <c r="E880" s="3" t="str">
        <f>IFERROR(__xludf.DUMMYFUNCTION("GOOGLETRANSLATE(B880, ""nl"", ""en"")"),"A face transforming in light")</f>
        <v>A face transforming in light</v>
      </c>
    </row>
    <row r="881" ht="15.75" customHeight="1">
      <c r="A881" s="3" t="s">
        <v>24</v>
      </c>
      <c r="B881" s="3" t="s">
        <v>48</v>
      </c>
      <c r="D881" s="3" t="str">
        <f>IFERROR(__xludf.DUMMYFUNCTION("GOOGLETRANSLATE(A881, ""nl"", ""en"")"),"Cosmic and Abstract Patterns")</f>
        <v>Cosmic and Abstract Patterns</v>
      </c>
      <c r="E881" s="3" t="str">
        <f>IFERROR(__xludf.DUMMYFUNCTION("GOOGLETRANSLATE(B881, ""nl"", ""en"")"),"A fractal that repeats itself")</f>
        <v>A fractal that repeats itself</v>
      </c>
    </row>
    <row r="882" ht="15.75" customHeight="1">
      <c r="A882" s="3" t="s">
        <v>24</v>
      </c>
      <c r="B882" s="3" t="s">
        <v>54</v>
      </c>
      <c r="D882" s="3" t="str">
        <f>IFERROR(__xludf.DUMMYFUNCTION("GOOGLETRANSLATE(A882, ""nl"", ""en"")"),"Cosmic and Abstract Patterns")</f>
        <v>Cosmic and Abstract Patterns</v>
      </c>
      <c r="E882" s="3" t="str">
        <f>IFERROR(__xludf.DUMMYFUNCTION("GOOGLETRANSLATE(B882, ""nl"", ""en"")"),"A quantum particle in superposition")</f>
        <v>A quantum particle in superposition</v>
      </c>
    </row>
    <row r="883" ht="15.75" customHeight="1">
      <c r="A883" s="3" t="s">
        <v>9</v>
      </c>
      <c r="B883" s="3" t="s">
        <v>49</v>
      </c>
      <c r="D883" s="3" t="str">
        <f>IFERROR(__xludf.DUMMYFUNCTION("GOOGLETRANSLATE(A883, ""nl"", ""en"")"),"Psychological and Emotional Interpretations")</f>
        <v>Psychological and Emotional Interpretations</v>
      </c>
      <c r="E883" s="3" t="str">
        <f>IFERROR(__xludf.DUMMYFUNCTION("GOOGLETRANSLATE(B883, ""nl"", ""en"")"),"A spiral that turns inward")</f>
        <v>A spiral that turns inward</v>
      </c>
    </row>
    <row r="884" ht="15.75" customHeight="1">
      <c r="A884" s="3" t="s">
        <v>9</v>
      </c>
      <c r="B884" s="3" t="s">
        <v>11</v>
      </c>
      <c r="D884" s="3" t="str">
        <f>IFERROR(__xludf.DUMMYFUNCTION("GOOGLETRANSLATE(A884, ""nl"", ""en"")"),"Psychological and Emotional Interpretations")</f>
        <v>Psychological and Emotional Interpretations</v>
      </c>
      <c r="E884" s="3" t="str">
        <f>IFERROR(__xludf.DUMMYFUNCTION("GOOGLETRANSLATE(B884, ""nl"", ""en"")"),"An emotion captured in abstraction")</f>
        <v>An emotion captured in abstraction</v>
      </c>
    </row>
    <row r="885" ht="15.75" customHeight="1">
      <c r="A885" s="3" t="s">
        <v>9</v>
      </c>
      <c r="B885" s="3" t="s">
        <v>57</v>
      </c>
      <c r="D885" s="3" t="str">
        <f>IFERROR(__xludf.DUMMYFUNCTION("GOOGLETRANSLATE(A885, ""nl"", ""en"")"),"Psychological and Emotional Interpretations")</f>
        <v>Psychological and Emotional Interpretations</v>
      </c>
      <c r="E885" s="3" t="str">
        <f>IFERROR(__xludf.DUMMYFUNCTION("GOOGLETRANSLATE(B885, ""nl"", ""en"")"),"An explosion of colours and feelings")</f>
        <v>An explosion of colours and feelings</v>
      </c>
    </row>
    <row r="886" ht="15.75" customHeight="1">
      <c r="A886" s="3" t="s">
        <v>4</v>
      </c>
      <c r="B886" s="3" t="s">
        <v>20</v>
      </c>
      <c r="D886" s="3" t="str">
        <f>IFERROR(__xludf.DUMMYFUNCTION("GOOGLETRANSLATE(A886, ""nl"", ""en"")"),"Architectural and Structural Associations")</f>
        <v>Architectural and Structural Associations</v>
      </c>
      <c r="E886" s="3" t="str">
        <f>IFERROR(__xludf.DUMMYFUNCTION("GOOGLETRANSLATE(B886, ""nl"", ""en"")"),"A tower that grows by itself")</f>
        <v>A tower that grows by itself</v>
      </c>
    </row>
    <row r="887" ht="15.75" customHeight="1">
      <c r="A887" s="3" t="s">
        <v>9</v>
      </c>
      <c r="B887" s="3" t="s">
        <v>57</v>
      </c>
      <c r="D887" s="3" t="str">
        <f>IFERROR(__xludf.DUMMYFUNCTION("GOOGLETRANSLATE(A887, ""nl"", ""en"")"),"Psychological and Emotional Interpretations")</f>
        <v>Psychological and Emotional Interpretations</v>
      </c>
      <c r="E887" s="3" t="str">
        <f>IFERROR(__xludf.DUMMYFUNCTION("GOOGLETRANSLATE(B887, ""nl"", ""en"")"),"An explosion of colours and feelings")</f>
        <v>An explosion of colours and feelings</v>
      </c>
    </row>
    <row r="888" ht="15.75" customHeight="1">
      <c r="A888" s="3" t="s">
        <v>15</v>
      </c>
      <c r="B888" s="3" t="s">
        <v>22</v>
      </c>
      <c r="D888" s="3" t="str">
        <f>IFERROR(__xludf.DUMMYFUNCTION("GOOGLETRANSLATE(A888, ""nl"", ""en"")"),"Animals and Organic Forms")</f>
        <v>Animals and Organic Forms</v>
      </c>
      <c r="E888" s="3" t="str">
        <f>IFERROR(__xludf.DUMMYFUNCTION("GOOGLETRANSLATE(B888, ""nl"", ""en"")"),"A bird taking off")</f>
        <v>A bird taking off</v>
      </c>
    </row>
    <row r="889" ht="15.75" customHeight="1">
      <c r="A889" s="3" t="s">
        <v>9</v>
      </c>
      <c r="B889" s="3" t="s">
        <v>14</v>
      </c>
      <c r="D889" s="3" t="str">
        <f>IFERROR(__xludf.DUMMYFUNCTION("GOOGLETRANSLATE(A889, ""nl"", ""en"")"),"Psychological and Emotional Interpretations")</f>
        <v>Psychological and Emotional Interpretations</v>
      </c>
      <c r="E889" s="3" t="str">
        <f>IFERROR(__xludf.DUMMYFUNCTION("GOOGLETRANSLATE(B889, ""nl"", ""en"")"),"An unclear hug")</f>
        <v>An unclear hug</v>
      </c>
    </row>
    <row r="890" ht="15.75" customHeight="1">
      <c r="A890" s="3" t="s">
        <v>24</v>
      </c>
      <c r="B890" s="3" t="s">
        <v>31</v>
      </c>
      <c r="D890" s="3" t="str">
        <f>IFERROR(__xludf.DUMMYFUNCTION("GOOGLETRANSLATE(A890, ""nl"", ""en"")"),"Cosmic and Abstract Patterns")</f>
        <v>Cosmic and Abstract Patterns</v>
      </c>
      <c r="E890" s="3" t="str">
        <f>IFERROR(__xludf.DUMMYFUNCTION("GOOGLETRANSLATE(B890, ""nl"", ""en"")"),"A planet with unusual rings")</f>
        <v>A planet with unusual rings</v>
      </c>
    </row>
    <row r="891" ht="15.75" customHeight="1">
      <c r="A891" s="3" t="s">
        <v>15</v>
      </c>
      <c r="B891" s="3" t="s">
        <v>16</v>
      </c>
      <c r="D891" s="3" t="str">
        <f>IFERROR(__xludf.DUMMYFUNCTION("GOOGLETRANSLATE(A891, ""nl"", ""en"")"),"Animals and Organic Forms")</f>
        <v>Animals and Organic Forms</v>
      </c>
      <c r="E891" s="3" t="str">
        <f>IFERROR(__xludf.DUMMYFUNCTION("GOOGLETRANSLATE(B891, ""nl"", ""en"")"),"A butterfly in transformation")</f>
        <v>A butterfly in transformation</v>
      </c>
    </row>
    <row r="892" ht="15.75" customHeight="1">
      <c r="A892" s="3" t="s">
        <v>9</v>
      </c>
      <c r="B892" s="3" t="s">
        <v>17</v>
      </c>
      <c r="D892" s="3" t="str">
        <f>IFERROR(__xludf.DUMMYFUNCTION("GOOGLETRANSLATE(A892, ""nl"", ""en"")"),"Psychological and Emotional Interpretations")</f>
        <v>Psychological and Emotional Interpretations</v>
      </c>
      <c r="E892" s="3" t="str">
        <f>IFERROR(__xludf.DUMMYFUNCTION("GOOGLETRANSLATE(B892, ""nl"", ""en"")"),"A figure that seems to melt")</f>
        <v>A figure that seems to melt</v>
      </c>
    </row>
    <row r="893" ht="15.75" customHeight="1">
      <c r="A893" s="3" t="s">
        <v>24</v>
      </c>
      <c r="B893" s="3" t="s">
        <v>33</v>
      </c>
      <c r="D893" s="3" t="str">
        <f>IFERROR(__xludf.DUMMYFUNCTION("GOOGLETRANSLATE(A893, ""nl"", ""en"")"),"Cosmic and Abstract Patterns")</f>
        <v>Cosmic and Abstract Patterns</v>
      </c>
      <c r="E893" s="3" t="str">
        <f>IFERROR(__xludf.DUMMYFUNCTION("GOOGLETRANSLATE(B893, ""nl"", ""en"")"),"An eye that repeats itself in endless patterns")</f>
        <v>An eye that repeats itself in endless patterns</v>
      </c>
    </row>
    <row r="894" ht="15.75" customHeight="1">
      <c r="A894" s="3" t="s">
        <v>24</v>
      </c>
      <c r="B894" s="3" t="s">
        <v>25</v>
      </c>
      <c r="D894" s="3" t="str">
        <f>IFERROR(__xludf.DUMMYFUNCTION("GOOGLETRANSLATE(A894, ""nl"", ""en"")"),"Cosmic and Abstract Patterns")</f>
        <v>Cosmic and Abstract Patterns</v>
      </c>
      <c r="E894" s="3" t="str">
        <f>IFERROR(__xludf.DUMMYFUNCTION("GOOGLETRANSLATE(B894, ""nl"", ""en"")"),"A meteor shower dissolving into each other")</f>
        <v>A meteor shower dissolving into each other</v>
      </c>
    </row>
    <row r="895" ht="15.75" customHeight="1">
      <c r="A895" s="3" t="s">
        <v>4</v>
      </c>
      <c r="B895" s="3" t="s">
        <v>43</v>
      </c>
      <c r="D895" s="3" t="str">
        <f>IFERROR(__xludf.DUMMYFUNCTION("GOOGLETRANSLATE(A895, ""nl"", ""en"")"),"Architectural and Structural Associations")</f>
        <v>Architectural and Structural Associations</v>
      </c>
      <c r="E895" s="3" t="str">
        <f>IFERROR(__xludf.DUMMYFUNCTION("GOOGLETRANSLATE(B895, ""nl"", ""en"")"),"A network of tunnels and passages")</f>
        <v>A network of tunnels and passages</v>
      </c>
    </row>
    <row r="896" ht="15.75" customHeight="1">
      <c r="A896" s="3" t="s">
        <v>4</v>
      </c>
      <c r="B896" s="3" t="s">
        <v>35</v>
      </c>
      <c r="D896" s="3" t="str">
        <f>IFERROR(__xludf.DUMMYFUNCTION("GOOGLETRANSLATE(A896, ""nl"", ""en"")"),"Architectural and Structural Associations")</f>
        <v>Architectural and Structural Associations</v>
      </c>
      <c r="E896" s="3" t="str">
        <f>IFERROR(__xludf.DUMMYFUNCTION("GOOGLETRANSLATE(B896, ""nl"", ""en"")"),"A floating building without a base")</f>
        <v>A floating building without a base</v>
      </c>
    </row>
    <row r="897" ht="15.75" customHeight="1">
      <c r="A897" s="3" t="s">
        <v>7</v>
      </c>
      <c r="B897" s="3" t="s">
        <v>34</v>
      </c>
      <c r="D897" s="3" t="str">
        <f>IFERROR(__xludf.DUMMYFUNCTION("GOOGLETRANSLATE(A897, ""nl"", ""en"")"),"Human Figures and Physicality")</f>
        <v>Human Figures and Physicality</v>
      </c>
      <c r="E897" s="3" t="str">
        <f>IFERROR(__xludf.DUMMYFUNCTION("GOOGLETRANSLATE(B897, ""nl"", ""en"")"),"Hands almost touching")</f>
        <v>Hands almost touching</v>
      </c>
    </row>
    <row r="898" ht="15.75" customHeight="1">
      <c r="A898" s="3" t="s">
        <v>9</v>
      </c>
      <c r="B898" s="3" t="s">
        <v>57</v>
      </c>
      <c r="D898" s="3" t="str">
        <f>IFERROR(__xludf.DUMMYFUNCTION("GOOGLETRANSLATE(A898, ""nl"", ""en"")"),"Psychological and Emotional Interpretations")</f>
        <v>Psychological and Emotional Interpretations</v>
      </c>
      <c r="E898" s="3" t="str">
        <f>IFERROR(__xludf.DUMMYFUNCTION("GOOGLETRANSLATE(B898, ""nl"", ""en"")"),"An explosion of colours and feelings")</f>
        <v>An explosion of colours and feelings</v>
      </c>
    </row>
    <row r="899" ht="15.75" customHeight="1">
      <c r="A899" s="3" t="s">
        <v>24</v>
      </c>
      <c r="B899" s="3" t="s">
        <v>32</v>
      </c>
      <c r="D899" s="3" t="str">
        <f>IFERROR(__xludf.DUMMYFUNCTION("GOOGLETRANSLATE(A899, ""nl"", ""en"")"),"Cosmic and Abstract Patterns")</f>
        <v>Cosmic and Abstract Patterns</v>
      </c>
      <c r="E899" s="3" t="str">
        <f>IFERROR(__xludf.DUMMYFUNCTION("GOOGLETRANSLATE(B899, ""nl"", ""en"")"),"A time loop captured in image")</f>
        <v>A time loop captured in image</v>
      </c>
    </row>
    <row r="900" ht="15.75" customHeight="1">
      <c r="A900" s="3" t="s">
        <v>24</v>
      </c>
      <c r="B900" s="3" t="s">
        <v>33</v>
      </c>
      <c r="D900" s="3" t="str">
        <f>IFERROR(__xludf.DUMMYFUNCTION("GOOGLETRANSLATE(A900, ""nl"", ""en"")"),"Cosmic and Abstract Patterns")</f>
        <v>Cosmic and Abstract Patterns</v>
      </c>
      <c r="E900" s="3" t="str">
        <f>IFERROR(__xludf.DUMMYFUNCTION("GOOGLETRANSLATE(B900, ""nl"", ""en"")"),"An eye that repeats itself in endless patterns")</f>
        <v>An eye that repeats itself in endless patterns</v>
      </c>
    </row>
    <row r="901" ht="15.75" customHeight="1">
      <c r="A901" s="3" t="s">
        <v>4</v>
      </c>
      <c r="B901" s="3" t="s">
        <v>44</v>
      </c>
      <c r="D901" s="3" t="str">
        <f>IFERROR(__xludf.DUMMYFUNCTION("GOOGLETRANSLATE(A901, ""nl"", ""en"")"),"Architectural and Structural Associations")</f>
        <v>Architectural and Structural Associations</v>
      </c>
      <c r="E901" s="3" t="str">
        <f>IFERROR(__xludf.DUMMYFUNCTION("GOOGLETRANSLATE(B901, ""nl"", ""en"")"),"A structure that pulsates in waves")</f>
        <v>A structure that pulsates in waves</v>
      </c>
    </row>
    <row r="902" ht="15.75" customHeight="1">
      <c r="A902" s="3" t="s">
        <v>12</v>
      </c>
      <c r="B902" s="3" t="s">
        <v>19</v>
      </c>
      <c r="D902" s="3" t="str">
        <f>IFERROR(__xludf.DUMMYFUNCTION("GOOGLETRANSLATE(A902, ""nl"", ""en"")"),"Nature and Elements")</f>
        <v>Nature and Elements</v>
      </c>
      <c r="E902" s="3" t="str">
        <f>IFERROR(__xludf.DUMMYFUNCTION("GOOGLETRANSLATE(B902, ""nl"", ""en"")"),"A mountain range that seems to breathe")</f>
        <v>A mountain range that seems to breathe</v>
      </c>
    </row>
    <row r="903" ht="15.75" customHeight="1">
      <c r="A903" s="3" t="s">
        <v>7</v>
      </c>
      <c r="B903" s="3" t="s">
        <v>41</v>
      </c>
      <c r="D903" s="3" t="str">
        <f>IFERROR(__xludf.DUMMYFUNCTION("GOOGLETRANSLATE(A903, ""nl"", ""en"")"),"Human Figures and Physicality")</f>
        <v>Human Figures and Physicality</v>
      </c>
      <c r="E903" s="3" t="str">
        <f>IFERROR(__xludf.DUMMYFUNCTION("GOOGLETRANSLATE(B903, ""nl"", ""en"")"),"A face that fades into abstraction")</f>
        <v>A face that fades into abstraction</v>
      </c>
    </row>
    <row r="904" ht="15.75" customHeight="1">
      <c r="A904" s="3" t="s">
        <v>4</v>
      </c>
      <c r="B904" s="3" t="s">
        <v>43</v>
      </c>
      <c r="D904" s="3" t="str">
        <f>IFERROR(__xludf.DUMMYFUNCTION("GOOGLETRANSLATE(A904, ""nl"", ""en"")"),"Architectural and Structural Associations")</f>
        <v>Architectural and Structural Associations</v>
      </c>
      <c r="E904" s="3" t="str">
        <f>IFERROR(__xludf.DUMMYFUNCTION("GOOGLETRANSLATE(B904, ""nl"", ""en"")"),"A network of tunnels and passages")</f>
        <v>A network of tunnels and passages</v>
      </c>
    </row>
    <row r="905" ht="15.75" customHeight="1">
      <c r="A905" s="3" t="s">
        <v>7</v>
      </c>
      <c r="B905" s="3" t="s">
        <v>41</v>
      </c>
      <c r="D905" s="3" t="str">
        <f>IFERROR(__xludf.DUMMYFUNCTION("GOOGLETRANSLATE(A905, ""nl"", ""en"")"),"Human Figures and Physicality")</f>
        <v>Human Figures and Physicality</v>
      </c>
      <c r="E905" s="3" t="str">
        <f>IFERROR(__xludf.DUMMYFUNCTION("GOOGLETRANSLATE(B905, ""nl"", ""en"")"),"A face that fades into abstraction")</f>
        <v>A face that fades into abstraction</v>
      </c>
    </row>
    <row r="906" ht="15.75" customHeight="1">
      <c r="A906" s="3" t="s">
        <v>4</v>
      </c>
      <c r="B906" s="3" t="s">
        <v>6</v>
      </c>
      <c r="D906" s="3" t="str">
        <f>IFERROR(__xludf.DUMMYFUNCTION("GOOGLETRANSLATE(A906, ""nl"", ""en"")"),"Architectural and Structural Associations")</f>
        <v>Architectural and Structural Associations</v>
      </c>
      <c r="E906" s="3" t="str">
        <f>IFERROR(__xludf.DUMMYFUNCTION("GOOGLETRANSLATE(B906, ""nl"", ""en"")"),"An endless labyrinth")</f>
        <v>An endless labyrinth</v>
      </c>
    </row>
    <row r="907" ht="15.75" customHeight="1">
      <c r="A907" s="3" t="s">
        <v>9</v>
      </c>
      <c r="B907" s="3" t="s">
        <v>49</v>
      </c>
      <c r="D907" s="3" t="str">
        <f>IFERROR(__xludf.DUMMYFUNCTION("GOOGLETRANSLATE(A907, ""nl"", ""en"")"),"Psychological and Emotional Interpretations")</f>
        <v>Psychological and Emotional Interpretations</v>
      </c>
      <c r="E907" s="3" t="str">
        <f>IFERROR(__xludf.DUMMYFUNCTION("GOOGLETRANSLATE(B907, ""nl"", ""en"")"),"A spiral that turns inward")</f>
        <v>A spiral that turns inward</v>
      </c>
    </row>
    <row r="908" ht="15.75" customHeight="1">
      <c r="A908" s="3" t="s">
        <v>15</v>
      </c>
      <c r="B908" s="3" t="s">
        <v>52</v>
      </c>
      <c r="D908" s="3" t="str">
        <f>IFERROR(__xludf.DUMMYFUNCTION("GOOGLETRANSLATE(A908, ""nl"", ""en"")"),"Animals and Organic Forms")</f>
        <v>Animals and Organic Forms</v>
      </c>
      <c r="E908" s="3" t="str">
        <f>IFERROR(__xludf.DUMMYFUNCTION("GOOGLETRANSLATE(B908, ""nl"", ""en"")"),"A mask made of leaves")</f>
        <v>A mask made of leaves</v>
      </c>
    </row>
    <row r="909" ht="15.75" customHeight="1">
      <c r="A909" s="3" t="s">
        <v>4</v>
      </c>
      <c r="B909" s="3" t="s">
        <v>5</v>
      </c>
      <c r="D909" s="3" t="str">
        <f>IFERROR(__xludf.DUMMYFUNCTION("GOOGLETRANSLATE(A909, ""nl"", ""en"")"),"Architectural and Structural Associations")</f>
        <v>Architectural and Structural Associations</v>
      </c>
      <c r="E909" s="3" t="str">
        <f>IFERROR(__xludf.DUMMYFUNCTION("GOOGLETRANSLATE(B909, ""nl"", ""en"")"),"A cathedral shaped from mist")</f>
        <v>A cathedral shaped from mist</v>
      </c>
    </row>
    <row r="910" ht="15.75" customHeight="1">
      <c r="A910" s="3" t="s">
        <v>15</v>
      </c>
      <c r="B910" s="3" t="s">
        <v>22</v>
      </c>
      <c r="D910" s="3" t="str">
        <f>IFERROR(__xludf.DUMMYFUNCTION("GOOGLETRANSLATE(A910, ""nl"", ""en"")"),"Animals and Organic Forms")</f>
        <v>Animals and Organic Forms</v>
      </c>
      <c r="E910" s="3" t="str">
        <f>IFERROR(__xludf.DUMMYFUNCTION("GOOGLETRANSLATE(B910, ""nl"", ""en"")"),"A bird taking off")</f>
        <v>A bird taking off</v>
      </c>
    </row>
    <row r="911" ht="15.75" customHeight="1">
      <c r="A911" s="3" t="s">
        <v>4</v>
      </c>
      <c r="B911" s="3" t="s">
        <v>35</v>
      </c>
      <c r="D911" s="3" t="str">
        <f>IFERROR(__xludf.DUMMYFUNCTION("GOOGLETRANSLATE(A911, ""nl"", ""en"")"),"Architectural and Structural Associations")</f>
        <v>Architectural and Structural Associations</v>
      </c>
      <c r="E911" s="3" t="str">
        <f>IFERROR(__xludf.DUMMYFUNCTION("GOOGLETRANSLATE(B911, ""nl"", ""en"")"),"A floating building without a base")</f>
        <v>A floating building without a base</v>
      </c>
    </row>
    <row r="912" ht="15.75" customHeight="1">
      <c r="A912" s="3" t="s">
        <v>9</v>
      </c>
      <c r="B912" s="3" t="s">
        <v>11</v>
      </c>
      <c r="D912" s="3" t="str">
        <f>IFERROR(__xludf.DUMMYFUNCTION("GOOGLETRANSLATE(A912, ""nl"", ""en"")"),"Psychological and Emotional Interpretations")</f>
        <v>Psychological and Emotional Interpretations</v>
      </c>
      <c r="E912" s="3" t="str">
        <f>IFERROR(__xludf.DUMMYFUNCTION("GOOGLETRANSLATE(B912, ""nl"", ""en"")"),"An emotion captured in abstraction")</f>
        <v>An emotion captured in abstraction</v>
      </c>
    </row>
    <row r="913" ht="15.75" customHeight="1">
      <c r="A913" s="3" t="s">
        <v>15</v>
      </c>
      <c r="B913" s="3" t="s">
        <v>22</v>
      </c>
      <c r="D913" s="3" t="str">
        <f>IFERROR(__xludf.DUMMYFUNCTION("GOOGLETRANSLATE(A913, ""nl"", ""en"")"),"Animals and Organic Forms")</f>
        <v>Animals and Organic Forms</v>
      </c>
      <c r="E913" s="3" t="str">
        <f>IFERROR(__xludf.DUMMYFUNCTION("GOOGLETRANSLATE(B913, ""nl"", ""en"")"),"A bird taking off")</f>
        <v>A bird taking off</v>
      </c>
    </row>
    <row r="914" ht="15.75" customHeight="1">
      <c r="A914" s="3" t="s">
        <v>4</v>
      </c>
      <c r="B914" s="3" t="s">
        <v>20</v>
      </c>
      <c r="D914" s="3" t="str">
        <f>IFERROR(__xludf.DUMMYFUNCTION("GOOGLETRANSLATE(A914, ""nl"", ""en"")"),"Architectural and Structural Associations")</f>
        <v>Architectural and Structural Associations</v>
      </c>
      <c r="E914" s="3" t="str">
        <f>IFERROR(__xludf.DUMMYFUNCTION("GOOGLETRANSLATE(B914, ""nl"", ""en"")"),"A tower that grows by itself")</f>
        <v>A tower that grows by itself</v>
      </c>
    </row>
    <row r="915" ht="15.75" customHeight="1">
      <c r="A915" s="3" t="s">
        <v>15</v>
      </c>
      <c r="B915" s="3" t="s">
        <v>16</v>
      </c>
      <c r="D915" s="3" t="str">
        <f>IFERROR(__xludf.DUMMYFUNCTION("GOOGLETRANSLATE(A915, ""nl"", ""en"")"),"Animals and Organic Forms")</f>
        <v>Animals and Organic Forms</v>
      </c>
      <c r="E915" s="3" t="str">
        <f>IFERROR(__xludf.DUMMYFUNCTION("GOOGLETRANSLATE(B915, ""nl"", ""en"")"),"A butterfly in transformation")</f>
        <v>A butterfly in transformation</v>
      </c>
    </row>
    <row r="916" ht="15.75" customHeight="1">
      <c r="A916" s="3" t="s">
        <v>7</v>
      </c>
      <c r="B916" s="3" t="s">
        <v>56</v>
      </c>
      <c r="D916" s="3" t="str">
        <f>IFERROR(__xludf.DUMMYFUNCTION("GOOGLETRANSLATE(A916, ""nl"", ""en"")"),"Human Figures and Physicality")</f>
        <v>Human Figures and Physicality</v>
      </c>
      <c r="E916" s="3" t="str">
        <f>IFERROR(__xludf.DUMMYFUNCTION("GOOGLETRANSLATE(B916, ""nl"", ""en"")"),"A shadow that seems to move")</f>
        <v>A shadow that seems to move</v>
      </c>
    </row>
    <row r="917" ht="15.75" customHeight="1">
      <c r="A917" s="3" t="s">
        <v>12</v>
      </c>
      <c r="B917" s="3" t="s">
        <v>19</v>
      </c>
      <c r="D917" s="3" t="str">
        <f>IFERROR(__xludf.DUMMYFUNCTION("GOOGLETRANSLATE(A917, ""nl"", ""en"")"),"Nature and Elements")</f>
        <v>Nature and Elements</v>
      </c>
      <c r="E917" s="3" t="str">
        <f>IFERROR(__xludf.DUMMYFUNCTION("GOOGLETRANSLATE(B917, ""nl"", ""en"")"),"A mountain range that seems to breathe")</f>
        <v>A mountain range that seems to breathe</v>
      </c>
    </row>
    <row r="918" ht="15.75" customHeight="1">
      <c r="A918" s="3" t="s">
        <v>4</v>
      </c>
      <c r="B918" s="3" t="s">
        <v>35</v>
      </c>
      <c r="D918" s="3" t="str">
        <f>IFERROR(__xludf.DUMMYFUNCTION("GOOGLETRANSLATE(A918, ""nl"", ""en"")"),"Architectural and Structural Associations")</f>
        <v>Architectural and Structural Associations</v>
      </c>
      <c r="E918" s="3" t="str">
        <f>IFERROR(__xludf.DUMMYFUNCTION("GOOGLETRANSLATE(B918, ""nl"", ""en"")"),"A floating building without a base")</f>
        <v>A floating building without a base</v>
      </c>
    </row>
    <row r="919" ht="15.75" customHeight="1">
      <c r="A919" s="3" t="s">
        <v>15</v>
      </c>
      <c r="B919" s="3" t="s">
        <v>52</v>
      </c>
      <c r="D919" s="3" t="str">
        <f>IFERROR(__xludf.DUMMYFUNCTION("GOOGLETRANSLATE(A919, ""nl"", ""en"")"),"Animals and Organic Forms")</f>
        <v>Animals and Organic Forms</v>
      </c>
      <c r="E919" s="3" t="str">
        <f>IFERROR(__xludf.DUMMYFUNCTION("GOOGLETRANSLATE(B919, ""nl"", ""en"")"),"A mask made of leaves")</f>
        <v>A mask made of leaves</v>
      </c>
    </row>
    <row r="920" ht="15.75" customHeight="1">
      <c r="A920" s="3" t="s">
        <v>12</v>
      </c>
      <c r="B920" s="3" t="s">
        <v>30</v>
      </c>
      <c r="D920" s="3" t="str">
        <f>IFERROR(__xludf.DUMMYFUNCTION("GOOGLETRANSLATE(A920, ""nl"", ""en"")"),"Nature and Elements")</f>
        <v>Nature and Elements</v>
      </c>
      <c r="E920" s="3" t="str">
        <f>IFERROR(__xludf.DUMMYFUNCTION("GOOGLETRANSLATE(B920, ""nl"", ""en"")"),"Waves breaking in fractal patterns")</f>
        <v>Waves breaking in fractal patterns</v>
      </c>
    </row>
    <row r="921" ht="15.75" customHeight="1">
      <c r="A921" s="3" t="s">
        <v>24</v>
      </c>
      <c r="B921" s="3" t="s">
        <v>33</v>
      </c>
      <c r="D921" s="3" t="str">
        <f>IFERROR(__xludf.DUMMYFUNCTION("GOOGLETRANSLATE(A921, ""nl"", ""en"")"),"Cosmic and Abstract Patterns")</f>
        <v>Cosmic and Abstract Patterns</v>
      </c>
      <c r="E921" s="3" t="str">
        <f>IFERROR(__xludf.DUMMYFUNCTION("GOOGLETRANSLATE(B921, ""nl"", ""en"")"),"An eye that repeats itself in endless patterns")</f>
        <v>An eye that repeats itself in endless patterns</v>
      </c>
    </row>
    <row r="922" ht="15.75" customHeight="1">
      <c r="A922" s="3" t="s">
        <v>4</v>
      </c>
      <c r="B922" s="3" t="s">
        <v>43</v>
      </c>
      <c r="D922" s="3" t="str">
        <f>IFERROR(__xludf.DUMMYFUNCTION("GOOGLETRANSLATE(A922, ""nl"", ""en"")"),"Architectural and Structural Associations")</f>
        <v>Architectural and Structural Associations</v>
      </c>
      <c r="E922" s="3" t="str">
        <f>IFERROR(__xludf.DUMMYFUNCTION("GOOGLETRANSLATE(B922, ""nl"", ""en"")"),"A network of tunnels and passages")</f>
        <v>A network of tunnels and passages</v>
      </c>
    </row>
    <row r="923" ht="15.75" customHeight="1">
      <c r="A923" s="3" t="s">
        <v>12</v>
      </c>
      <c r="B923" s="3" t="s">
        <v>30</v>
      </c>
      <c r="D923" s="3" t="str">
        <f>IFERROR(__xludf.DUMMYFUNCTION("GOOGLETRANSLATE(A923, ""nl"", ""en"")"),"Nature and Elements")</f>
        <v>Nature and Elements</v>
      </c>
      <c r="E923" s="3" t="str">
        <f>IFERROR(__xludf.DUMMYFUNCTION("GOOGLETRANSLATE(B923, ""nl"", ""en"")"),"Waves breaking in fractal patterns")</f>
        <v>Waves breaking in fractal patterns</v>
      </c>
    </row>
    <row r="924" ht="15.75" customHeight="1">
      <c r="A924" s="3" t="s">
        <v>24</v>
      </c>
      <c r="B924" s="3" t="s">
        <v>33</v>
      </c>
      <c r="D924" s="3" t="str">
        <f>IFERROR(__xludf.DUMMYFUNCTION("GOOGLETRANSLATE(A924, ""nl"", ""en"")"),"Cosmic and Abstract Patterns")</f>
        <v>Cosmic and Abstract Patterns</v>
      </c>
      <c r="E924" s="3" t="str">
        <f>IFERROR(__xludf.DUMMYFUNCTION("GOOGLETRANSLATE(B924, ""nl"", ""en"")"),"An eye that repeats itself in endless patterns")</f>
        <v>An eye that repeats itself in endless patterns</v>
      </c>
    </row>
    <row r="925" ht="15.75" customHeight="1">
      <c r="A925" s="3" t="s">
        <v>12</v>
      </c>
      <c r="B925" s="3" t="s">
        <v>30</v>
      </c>
      <c r="D925" s="3" t="str">
        <f>IFERROR(__xludf.DUMMYFUNCTION("GOOGLETRANSLATE(A925, ""nl"", ""en"")"),"Nature and Elements")</f>
        <v>Nature and Elements</v>
      </c>
      <c r="E925" s="3" t="str">
        <f>IFERROR(__xludf.DUMMYFUNCTION("GOOGLETRANSLATE(B925, ""nl"", ""en"")"),"Waves breaking in fractal patterns")</f>
        <v>Waves breaking in fractal patterns</v>
      </c>
    </row>
    <row r="926" ht="15.75" customHeight="1">
      <c r="A926" s="3" t="s">
        <v>9</v>
      </c>
      <c r="B926" s="3" t="s">
        <v>11</v>
      </c>
      <c r="D926" s="3" t="str">
        <f>IFERROR(__xludf.DUMMYFUNCTION("GOOGLETRANSLATE(A926, ""nl"", ""en"")"),"Psychological and Emotional Interpretations")</f>
        <v>Psychological and Emotional Interpretations</v>
      </c>
      <c r="E926" s="3" t="str">
        <f>IFERROR(__xludf.DUMMYFUNCTION("GOOGLETRANSLATE(B926, ""nl"", ""en"")"),"An emotion captured in abstraction")</f>
        <v>An emotion captured in abstraction</v>
      </c>
    </row>
    <row r="927" ht="15.75" customHeight="1">
      <c r="A927" s="3" t="s">
        <v>24</v>
      </c>
      <c r="B927" s="3" t="s">
        <v>31</v>
      </c>
      <c r="D927" s="3" t="str">
        <f>IFERROR(__xludf.DUMMYFUNCTION("GOOGLETRANSLATE(A927, ""nl"", ""en"")"),"Cosmic and Abstract Patterns")</f>
        <v>Cosmic and Abstract Patterns</v>
      </c>
      <c r="E927" s="3" t="str">
        <f>IFERROR(__xludf.DUMMYFUNCTION("GOOGLETRANSLATE(B927, ""nl"", ""en"")"),"A planet with unusual rings")</f>
        <v>A planet with unusual rings</v>
      </c>
    </row>
    <row r="928" ht="15.75" customHeight="1">
      <c r="A928" s="3" t="s">
        <v>24</v>
      </c>
      <c r="B928" s="3" t="s">
        <v>32</v>
      </c>
      <c r="D928" s="3" t="str">
        <f>IFERROR(__xludf.DUMMYFUNCTION("GOOGLETRANSLATE(A928, ""nl"", ""en"")"),"Cosmic and Abstract Patterns")</f>
        <v>Cosmic and Abstract Patterns</v>
      </c>
      <c r="E928" s="3" t="str">
        <f>IFERROR(__xludf.DUMMYFUNCTION("GOOGLETRANSLATE(B928, ""nl"", ""en"")"),"A time loop captured in image")</f>
        <v>A time loop captured in image</v>
      </c>
    </row>
    <row r="929" ht="15.75" customHeight="1">
      <c r="A929" s="3" t="s">
        <v>15</v>
      </c>
      <c r="B929" s="3" t="s">
        <v>50</v>
      </c>
      <c r="D929" s="3" t="str">
        <f>IFERROR(__xludf.DUMMYFUNCTION("GOOGLETRANSLATE(A929, ""nl"", ""en"")"),"Animals and Organic Forms")</f>
        <v>Animals and Organic Forms</v>
      </c>
      <c r="E929" s="3" t="str">
        <f>IFERROR(__xludf.DUMMYFUNCTION("GOOGLETRANSLATE(B929, ""nl"", ""en"")"),"A squid with extended tentacles")</f>
        <v>A squid with extended tentacles</v>
      </c>
    </row>
    <row r="930" ht="15.75" customHeight="1">
      <c r="A930" s="3" t="s">
        <v>15</v>
      </c>
      <c r="B930" s="3" t="s">
        <v>26</v>
      </c>
      <c r="D930" s="3" t="str">
        <f>IFERROR(__xludf.DUMMYFUNCTION("GOOGLETRANSLATE(A930, ""nl"", ""en"")"),"Animals and Organic Forms")</f>
        <v>Animals and Organic Forms</v>
      </c>
      <c r="E930" s="3" t="str">
        <f>IFERROR(__xludf.DUMMYFUNCTION("GOOGLETRANSLATE(B930, ""nl"", ""en"")"),"A frog preparing to jump")</f>
        <v>A frog preparing to jump</v>
      </c>
    </row>
    <row r="931" ht="15.75" customHeight="1">
      <c r="A931" s="3" t="s">
        <v>24</v>
      </c>
      <c r="B931" s="3" t="s">
        <v>25</v>
      </c>
      <c r="D931" s="3" t="str">
        <f>IFERROR(__xludf.DUMMYFUNCTION("GOOGLETRANSLATE(A931, ""nl"", ""en"")"),"Cosmic and Abstract Patterns")</f>
        <v>Cosmic and Abstract Patterns</v>
      </c>
      <c r="E931" s="3" t="str">
        <f>IFERROR(__xludf.DUMMYFUNCTION("GOOGLETRANSLATE(B931, ""nl"", ""en"")"),"A meteor shower dissolving into each other")</f>
        <v>A meteor shower dissolving into each other</v>
      </c>
    </row>
    <row r="932" ht="15.75" customHeight="1">
      <c r="A932" s="3" t="s">
        <v>7</v>
      </c>
      <c r="B932" s="3" t="s">
        <v>56</v>
      </c>
      <c r="D932" s="3" t="str">
        <f>IFERROR(__xludf.DUMMYFUNCTION("GOOGLETRANSLATE(A932, ""nl"", ""en"")"),"Human Figures and Physicality")</f>
        <v>Human Figures and Physicality</v>
      </c>
      <c r="E932" s="3" t="str">
        <f>IFERROR(__xludf.DUMMYFUNCTION("GOOGLETRANSLATE(B932, ""nl"", ""en"")"),"A shadow that seems to move")</f>
        <v>A shadow that seems to move</v>
      </c>
    </row>
    <row r="933" ht="15.75" customHeight="1">
      <c r="A933" s="3" t="s">
        <v>4</v>
      </c>
      <c r="B933" s="3" t="s">
        <v>20</v>
      </c>
      <c r="D933" s="3" t="str">
        <f>IFERROR(__xludf.DUMMYFUNCTION("GOOGLETRANSLATE(A933, ""nl"", ""en"")"),"Architectural and Structural Associations")</f>
        <v>Architectural and Structural Associations</v>
      </c>
      <c r="E933" s="3" t="str">
        <f>IFERROR(__xludf.DUMMYFUNCTION("GOOGLETRANSLATE(B933, ""nl"", ""en"")"),"A tower that grows by itself")</f>
        <v>A tower that grows by itself</v>
      </c>
    </row>
    <row r="934" ht="15.75" customHeight="1">
      <c r="A934" s="3" t="s">
        <v>15</v>
      </c>
      <c r="B934" s="3" t="s">
        <v>26</v>
      </c>
      <c r="D934" s="3" t="str">
        <f>IFERROR(__xludf.DUMMYFUNCTION("GOOGLETRANSLATE(A934, ""nl"", ""en"")"),"Animals and Organic Forms")</f>
        <v>Animals and Organic Forms</v>
      </c>
      <c r="E934" s="3" t="str">
        <f>IFERROR(__xludf.DUMMYFUNCTION("GOOGLETRANSLATE(B934, ""nl"", ""en"")"),"A frog preparing to jump")</f>
        <v>A frog preparing to jump</v>
      </c>
    </row>
    <row r="935" ht="15.75" customHeight="1">
      <c r="A935" s="3" t="s">
        <v>24</v>
      </c>
      <c r="B935" s="3" t="s">
        <v>54</v>
      </c>
      <c r="D935" s="3" t="str">
        <f>IFERROR(__xludf.DUMMYFUNCTION("GOOGLETRANSLATE(A935, ""nl"", ""en"")"),"Cosmic and Abstract Patterns")</f>
        <v>Cosmic and Abstract Patterns</v>
      </c>
      <c r="E935" s="3" t="str">
        <f>IFERROR(__xludf.DUMMYFUNCTION("GOOGLETRANSLATE(B935, ""nl"", ""en"")"),"A quantum particle in superposition")</f>
        <v>A quantum particle in superposition</v>
      </c>
    </row>
    <row r="936" ht="15.75" customHeight="1">
      <c r="A936" s="3" t="s">
        <v>24</v>
      </c>
      <c r="B936" s="3" t="s">
        <v>27</v>
      </c>
      <c r="D936" s="3" t="str">
        <f>IFERROR(__xludf.DUMMYFUNCTION("GOOGLETRANSLATE(A936, ""nl"", ""en"")"),"Cosmic and Abstract Patterns")</f>
        <v>Cosmic and Abstract Patterns</v>
      </c>
      <c r="E936" s="3" t="str">
        <f>IFERROR(__xludf.DUMMYFUNCTION("GOOGLETRANSLATE(B936, ""nl"", ""en"")"),"A pair of black holes in dance")</f>
        <v>A pair of black holes in dance</v>
      </c>
    </row>
    <row r="937" ht="15.75" customHeight="1">
      <c r="A937" s="3" t="s">
        <v>7</v>
      </c>
      <c r="B937" s="3" t="s">
        <v>41</v>
      </c>
      <c r="D937" s="3" t="str">
        <f>IFERROR(__xludf.DUMMYFUNCTION("GOOGLETRANSLATE(A937, ""nl"", ""en"")"),"Human Figures and Physicality")</f>
        <v>Human Figures and Physicality</v>
      </c>
      <c r="E937" s="3" t="str">
        <f>IFERROR(__xludf.DUMMYFUNCTION("GOOGLETRANSLATE(B937, ""nl"", ""en"")"),"A face that fades into abstraction")</f>
        <v>A face that fades into abstraction</v>
      </c>
    </row>
    <row r="938" ht="15.75" customHeight="1">
      <c r="A938" s="3" t="s">
        <v>9</v>
      </c>
      <c r="B938" s="3" t="s">
        <v>42</v>
      </c>
      <c r="D938" s="3" t="str">
        <f>IFERROR(__xludf.DUMMYFUNCTION("GOOGLETRANSLATE(A938, ""nl"", ""en"")"),"Psychological and Emotional Interpretations")</f>
        <v>Psychological and Emotional Interpretations</v>
      </c>
      <c r="E938" s="3" t="str">
        <f>IFERROR(__xludf.DUMMYFUNCTION("GOOGLETRANSLATE(B938, ""nl"", ""en"")"),"A mask that slowly disappears")</f>
        <v>A mask that slowly disappears</v>
      </c>
    </row>
    <row r="939" ht="15.75" customHeight="1">
      <c r="A939" s="3" t="s">
        <v>12</v>
      </c>
      <c r="B939" s="3" t="s">
        <v>18</v>
      </c>
      <c r="D939" s="3" t="str">
        <f>IFERROR(__xludf.DUMMYFUNCTION("GOOGLETRANSLATE(A939, ""nl"", ""en"")"),"Nature and Elements")</f>
        <v>Nature and Elements</v>
      </c>
      <c r="E939" s="3" t="str">
        <f>IFERROR(__xludf.DUMMYFUNCTION("GOOGLETRANSLATE(B939, ""nl"", ""en"")"),"A tree with endless branches")</f>
        <v>A tree with endless branches</v>
      </c>
    </row>
    <row r="940" ht="15.75" customHeight="1">
      <c r="A940" s="3" t="s">
        <v>9</v>
      </c>
      <c r="B940" s="3" t="s">
        <v>10</v>
      </c>
      <c r="D940" s="3" t="str">
        <f>IFERROR(__xludf.DUMMYFUNCTION("GOOGLETRANSLATE(A940, ""nl"", ""en"")"),"Psychological and Emotional Interpretations")</f>
        <v>Psychological and Emotional Interpretations</v>
      </c>
      <c r="E940" s="3" t="str">
        <f>IFERROR(__xludf.DUMMYFUNCTION("GOOGLETRANSLATE(B940, ""nl"", ""en"")"),"A face transforming in light")</f>
        <v>A face transforming in light</v>
      </c>
    </row>
    <row r="941" ht="15.75" customHeight="1">
      <c r="A941" s="3" t="s">
        <v>4</v>
      </c>
      <c r="B941" s="3" t="s">
        <v>21</v>
      </c>
      <c r="D941" s="3" t="str">
        <f>IFERROR(__xludf.DUMMYFUNCTION("GOOGLETRANSLATE(A941, ""nl"", ""en"")"),"Architectural and Structural Associations")</f>
        <v>Architectural and Structural Associations</v>
      </c>
      <c r="E941" s="3" t="str">
        <f>IFERROR(__xludf.DUMMYFUNCTION("GOOGLETRANSLATE(B941, ""nl"", ""en"")"),"A bridge that leads nowhere")</f>
        <v>A bridge that leads nowhere</v>
      </c>
    </row>
    <row r="942" ht="15.75" customHeight="1">
      <c r="A942" s="3" t="s">
        <v>15</v>
      </c>
      <c r="B942" s="3" t="s">
        <v>50</v>
      </c>
      <c r="D942" s="3" t="str">
        <f>IFERROR(__xludf.DUMMYFUNCTION("GOOGLETRANSLATE(A942, ""nl"", ""en"")"),"Animals and Organic Forms")</f>
        <v>Animals and Organic Forms</v>
      </c>
      <c r="E942" s="3" t="str">
        <f>IFERROR(__xludf.DUMMYFUNCTION("GOOGLETRANSLATE(B942, ""nl"", ""en"")"),"A squid with extended tentacles")</f>
        <v>A squid with extended tentacles</v>
      </c>
    </row>
    <row r="943" ht="15.75" customHeight="1">
      <c r="A943" s="3" t="s">
        <v>15</v>
      </c>
      <c r="B943" s="3" t="s">
        <v>26</v>
      </c>
      <c r="D943" s="3" t="str">
        <f>IFERROR(__xludf.DUMMYFUNCTION("GOOGLETRANSLATE(A943, ""nl"", ""en"")"),"Animals and Organic Forms")</f>
        <v>Animals and Organic Forms</v>
      </c>
      <c r="E943" s="3" t="str">
        <f>IFERROR(__xludf.DUMMYFUNCTION("GOOGLETRANSLATE(B943, ""nl"", ""en"")"),"A frog preparing to jump")</f>
        <v>A frog preparing to jump</v>
      </c>
    </row>
    <row r="944" ht="15.75" customHeight="1">
      <c r="A944" s="3" t="s">
        <v>12</v>
      </c>
      <c r="B944" s="3" t="s">
        <v>23</v>
      </c>
      <c r="D944" s="3" t="str">
        <f>IFERROR(__xludf.DUMMYFUNCTION("GOOGLETRANSLATE(A944, ""nl"", ""en"")"),"Nature and Elements")</f>
        <v>Nature and Elements</v>
      </c>
      <c r="E944" s="3" t="str">
        <f>IFERROR(__xludf.DUMMYFUNCTION("GOOGLETRANSLATE(B944, ""nl"", ""en"")"),"A storm cloud splitting in two")</f>
        <v>A storm cloud splitting in two</v>
      </c>
    </row>
    <row r="945" ht="15.75" customHeight="1">
      <c r="A945" s="3" t="s">
        <v>9</v>
      </c>
      <c r="B945" s="3" t="s">
        <v>11</v>
      </c>
      <c r="D945" s="3" t="str">
        <f>IFERROR(__xludf.DUMMYFUNCTION("GOOGLETRANSLATE(A945, ""nl"", ""en"")"),"Psychological and Emotional Interpretations")</f>
        <v>Psychological and Emotional Interpretations</v>
      </c>
      <c r="E945" s="3" t="str">
        <f>IFERROR(__xludf.DUMMYFUNCTION("GOOGLETRANSLATE(B945, ""nl"", ""en"")"),"An emotion captured in abstraction")</f>
        <v>An emotion captured in abstraction</v>
      </c>
    </row>
    <row r="946" ht="15.75" customHeight="1">
      <c r="A946" s="3" t="s">
        <v>12</v>
      </c>
      <c r="B946" s="3" t="s">
        <v>30</v>
      </c>
      <c r="D946" s="3" t="str">
        <f>IFERROR(__xludf.DUMMYFUNCTION("GOOGLETRANSLATE(A946, ""nl"", ""en"")"),"Nature and Elements")</f>
        <v>Nature and Elements</v>
      </c>
      <c r="E946" s="3" t="str">
        <f>IFERROR(__xludf.DUMMYFUNCTION("GOOGLETRANSLATE(B946, ""nl"", ""en"")"),"Waves breaking in fractal patterns")</f>
        <v>Waves breaking in fractal patterns</v>
      </c>
    </row>
    <row r="947" ht="15.75" customHeight="1">
      <c r="A947" s="3" t="s">
        <v>4</v>
      </c>
      <c r="B947" s="3" t="s">
        <v>5</v>
      </c>
      <c r="D947" s="3" t="str">
        <f>IFERROR(__xludf.DUMMYFUNCTION("GOOGLETRANSLATE(A947, ""nl"", ""en"")"),"Architectural and Structural Associations")</f>
        <v>Architectural and Structural Associations</v>
      </c>
      <c r="E947" s="3" t="str">
        <f>IFERROR(__xludf.DUMMYFUNCTION("GOOGLETRANSLATE(B947, ""nl"", ""en"")"),"A cathedral shaped from mist")</f>
        <v>A cathedral shaped from mist</v>
      </c>
    </row>
    <row r="948" ht="15.75" customHeight="1">
      <c r="A948" s="3" t="s">
        <v>24</v>
      </c>
      <c r="B948" s="3" t="s">
        <v>48</v>
      </c>
      <c r="D948" s="3" t="str">
        <f>IFERROR(__xludf.DUMMYFUNCTION("GOOGLETRANSLATE(A948, ""nl"", ""en"")"),"Cosmic and Abstract Patterns")</f>
        <v>Cosmic and Abstract Patterns</v>
      </c>
      <c r="E948" s="3" t="str">
        <f>IFERROR(__xludf.DUMMYFUNCTION("GOOGLETRANSLATE(B948, ""nl"", ""en"")"),"A fractal that repeats itself")</f>
        <v>A fractal that repeats itself</v>
      </c>
    </row>
    <row r="949" ht="15.75" customHeight="1">
      <c r="A949" s="3" t="s">
        <v>4</v>
      </c>
      <c r="B949" s="3" t="s">
        <v>44</v>
      </c>
      <c r="D949" s="3" t="str">
        <f>IFERROR(__xludf.DUMMYFUNCTION("GOOGLETRANSLATE(A949, ""nl"", ""en"")"),"Architectural and Structural Associations")</f>
        <v>Architectural and Structural Associations</v>
      </c>
      <c r="E949" s="3" t="str">
        <f>IFERROR(__xludf.DUMMYFUNCTION("GOOGLETRANSLATE(B949, ""nl"", ""en"")"),"A structure that pulsates in waves")</f>
        <v>A structure that pulsates in waves</v>
      </c>
    </row>
    <row r="950" ht="15.75" customHeight="1">
      <c r="A950" s="3" t="s">
        <v>24</v>
      </c>
      <c r="B950" s="3" t="s">
        <v>32</v>
      </c>
      <c r="D950" s="3" t="str">
        <f>IFERROR(__xludf.DUMMYFUNCTION("GOOGLETRANSLATE(A950, ""nl"", ""en"")"),"Cosmic and Abstract Patterns")</f>
        <v>Cosmic and Abstract Patterns</v>
      </c>
      <c r="E950" s="3" t="str">
        <f>IFERROR(__xludf.DUMMYFUNCTION("GOOGLETRANSLATE(B950, ""nl"", ""en"")"),"A time loop captured in image")</f>
        <v>A time loop captured in image</v>
      </c>
    </row>
    <row r="951" ht="15.75" customHeight="1">
      <c r="A951" s="3" t="s">
        <v>4</v>
      </c>
      <c r="B951" s="3" t="s">
        <v>5</v>
      </c>
      <c r="D951" s="3" t="str">
        <f>IFERROR(__xludf.DUMMYFUNCTION("GOOGLETRANSLATE(A951, ""nl"", ""en"")"),"Architectural and Structural Associations")</f>
        <v>Architectural and Structural Associations</v>
      </c>
      <c r="E951" s="3" t="str">
        <f>IFERROR(__xludf.DUMMYFUNCTION("GOOGLETRANSLATE(B951, ""nl"", ""en"")"),"A cathedral shaped from mist")</f>
        <v>A cathedral shaped from mist</v>
      </c>
    </row>
    <row r="952" ht="15.75" customHeight="1">
      <c r="A952" s="3" t="s">
        <v>24</v>
      </c>
      <c r="B952" s="3" t="s">
        <v>48</v>
      </c>
      <c r="D952" s="3" t="str">
        <f>IFERROR(__xludf.DUMMYFUNCTION("GOOGLETRANSLATE(A952, ""nl"", ""en"")"),"Cosmic and Abstract Patterns")</f>
        <v>Cosmic and Abstract Patterns</v>
      </c>
      <c r="E952" s="3" t="str">
        <f>IFERROR(__xludf.DUMMYFUNCTION("GOOGLETRANSLATE(B952, ""nl"", ""en"")"),"A fractal that repeats itself")</f>
        <v>A fractal that repeats itself</v>
      </c>
    </row>
    <row r="953" ht="15.75" customHeight="1">
      <c r="A953" s="3" t="s">
        <v>9</v>
      </c>
      <c r="B953" s="3" t="s">
        <v>17</v>
      </c>
      <c r="D953" s="3" t="str">
        <f>IFERROR(__xludf.DUMMYFUNCTION("GOOGLETRANSLATE(A953, ""nl"", ""en"")"),"Psychological and Emotional Interpretations")</f>
        <v>Psychological and Emotional Interpretations</v>
      </c>
      <c r="E953" s="3" t="str">
        <f>IFERROR(__xludf.DUMMYFUNCTION("GOOGLETRANSLATE(B953, ""nl"", ""en"")"),"A figure that seems to melt")</f>
        <v>A figure that seems to melt</v>
      </c>
    </row>
    <row r="954" ht="15.75" customHeight="1">
      <c r="A954" s="3" t="s">
        <v>12</v>
      </c>
      <c r="B954" s="3" t="s">
        <v>51</v>
      </c>
      <c r="D954" s="3" t="str">
        <f>IFERROR(__xludf.DUMMYFUNCTION("GOOGLETRANSLATE(A954, ""nl"", ""en"")"),"Nature and Elements")</f>
        <v>Nature and Elements</v>
      </c>
      <c r="E954" s="3" t="str">
        <f>IFERROR(__xludf.DUMMYFUNCTION("GOOGLETRANSLATE(B954, ""nl"", ""en"")"),"An evaporating puddle of water")</f>
        <v>An evaporating puddle of water</v>
      </c>
    </row>
    <row r="955" ht="15.75" customHeight="1">
      <c r="A955" s="3" t="s">
        <v>12</v>
      </c>
      <c r="B955" s="3" t="s">
        <v>18</v>
      </c>
      <c r="D955" s="3" t="str">
        <f>IFERROR(__xludf.DUMMYFUNCTION("GOOGLETRANSLATE(A955, ""nl"", ""en"")"),"Nature and Elements")</f>
        <v>Nature and Elements</v>
      </c>
      <c r="E955" s="3" t="str">
        <f>IFERROR(__xludf.DUMMYFUNCTION("GOOGLETRANSLATE(B955, ""nl"", ""en"")"),"A tree with endless branches")</f>
        <v>A tree with endless branches</v>
      </c>
    </row>
    <row r="956" ht="15.75" customHeight="1">
      <c r="A956" s="3" t="s">
        <v>12</v>
      </c>
      <c r="B956" s="3" t="s">
        <v>51</v>
      </c>
      <c r="D956" s="3" t="str">
        <f>IFERROR(__xludf.DUMMYFUNCTION("GOOGLETRANSLATE(A956, ""nl"", ""en"")"),"Nature and Elements")</f>
        <v>Nature and Elements</v>
      </c>
      <c r="E956" s="3" t="str">
        <f>IFERROR(__xludf.DUMMYFUNCTION("GOOGLETRANSLATE(B956, ""nl"", ""en"")"),"An evaporating puddle of water")</f>
        <v>An evaporating puddle of water</v>
      </c>
    </row>
    <row r="957" ht="15.75" customHeight="1">
      <c r="A957" s="3" t="s">
        <v>12</v>
      </c>
      <c r="B957" s="3" t="s">
        <v>30</v>
      </c>
      <c r="D957" s="3" t="str">
        <f>IFERROR(__xludf.DUMMYFUNCTION("GOOGLETRANSLATE(A957, ""nl"", ""en"")"),"Nature and Elements")</f>
        <v>Nature and Elements</v>
      </c>
      <c r="E957" s="3" t="str">
        <f>IFERROR(__xludf.DUMMYFUNCTION("GOOGLETRANSLATE(B957, ""nl"", ""en"")"),"Waves breaking in fractal patterns")</f>
        <v>Waves breaking in fractal patterns</v>
      </c>
    </row>
    <row r="958" ht="15.75" customHeight="1">
      <c r="A958" s="3" t="s">
        <v>15</v>
      </c>
      <c r="B958" s="3" t="s">
        <v>50</v>
      </c>
      <c r="D958" s="3" t="str">
        <f>IFERROR(__xludf.DUMMYFUNCTION("GOOGLETRANSLATE(A958, ""nl"", ""en"")"),"Animals and Organic Forms")</f>
        <v>Animals and Organic Forms</v>
      </c>
      <c r="E958" s="3" t="str">
        <f>IFERROR(__xludf.DUMMYFUNCTION("GOOGLETRANSLATE(B958, ""nl"", ""en"")"),"A squid with extended tentacles")</f>
        <v>A squid with extended tentacles</v>
      </c>
    </row>
    <row r="959" ht="15.75" customHeight="1">
      <c r="A959" s="3" t="s">
        <v>15</v>
      </c>
      <c r="B959" s="3" t="s">
        <v>46</v>
      </c>
      <c r="D959" s="3" t="str">
        <f>IFERROR(__xludf.DUMMYFUNCTION("GOOGLETRANSLATE(A959, ""nl"", ""en"")"),"Animals and Organic Forms")</f>
        <v>Animals and Organic Forms</v>
      </c>
      <c r="E959" s="3" t="str">
        <f>IFERROR(__xludf.DUMMYFUNCTION("GOOGLETRANSLATE(B959, ""nl"", ""en"")"),"A flock of fish moving as one")</f>
        <v>A flock of fish moving as one</v>
      </c>
    </row>
    <row r="960" ht="15.75" customHeight="1">
      <c r="A960" s="3" t="s">
        <v>4</v>
      </c>
      <c r="B960" s="3" t="s">
        <v>35</v>
      </c>
      <c r="D960" s="3" t="str">
        <f>IFERROR(__xludf.DUMMYFUNCTION("GOOGLETRANSLATE(A960, ""nl"", ""en"")"),"Architectural and Structural Associations")</f>
        <v>Architectural and Structural Associations</v>
      </c>
      <c r="E960" s="3" t="str">
        <f>IFERROR(__xludf.DUMMYFUNCTION("GOOGLETRANSLATE(B960, ""nl"", ""en"")"),"A floating building without a base")</f>
        <v>A floating building without a base</v>
      </c>
    </row>
    <row r="961" ht="15.75" customHeight="1">
      <c r="A961" s="3" t="s">
        <v>12</v>
      </c>
      <c r="B961" s="3" t="s">
        <v>23</v>
      </c>
      <c r="D961" s="3" t="str">
        <f>IFERROR(__xludf.DUMMYFUNCTION("GOOGLETRANSLATE(A961, ""nl"", ""en"")"),"Nature and Elements")</f>
        <v>Nature and Elements</v>
      </c>
      <c r="E961" s="3" t="str">
        <f>IFERROR(__xludf.DUMMYFUNCTION("GOOGLETRANSLATE(B961, ""nl"", ""en"")"),"A storm cloud splitting in two")</f>
        <v>A storm cloud splitting in two</v>
      </c>
    </row>
    <row r="962" ht="15.75" customHeight="1">
      <c r="A962" s="3" t="s">
        <v>9</v>
      </c>
      <c r="B962" s="3" t="s">
        <v>14</v>
      </c>
      <c r="D962" s="3" t="str">
        <f>IFERROR(__xludf.DUMMYFUNCTION("GOOGLETRANSLATE(A962, ""nl"", ""en"")"),"Psychological and Emotional Interpretations")</f>
        <v>Psychological and Emotional Interpretations</v>
      </c>
      <c r="E962" s="3" t="str">
        <f>IFERROR(__xludf.DUMMYFUNCTION("GOOGLETRANSLATE(B962, ""nl"", ""en"")"),"An unclear hug")</f>
        <v>An unclear hug</v>
      </c>
    </row>
    <row r="963" ht="15.75" customHeight="1">
      <c r="A963" s="3" t="s">
        <v>9</v>
      </c>
      <c r="B963" s="3" t="s">
        <v>14</v>
      </c>
      <c r="D963" s="3" t="str">
        <f>IFERROR(__xludf.DUMMYFUNCTION("GOOGLETRANSLATE(A963, ""nl"", ""en"")"),"Psychological and Emotional Interpretations")</f>
        <v>Psychological and Emotional Interpretations</v>
      </c>
      <c r="E963" s="3" t="str">
        <f>IFERROR(__xludf.DUMMYFUNCTION("GOOGLETRANSLATE(B963, ""nl"", ""en"")"),"An unclear hug")</f>
        <v>An unclear hug</v>
      </c>
    </row>
    <row r="964" ht="15.75" customHeight="1">
      <c r="A964" s="3" t="s">
        <v>7</v>
      </c>
      <c r="B964" s="3" t="s">
        <v>53</v>
      </c>
      <c r="D964" s="3" t="str">
        <f>IFERROR(__xludf.DUMMYFUNCTION("GOOGLETRANSLATE(A964, ""nl"", ""en"")"),"Human Figures and Physicality")</f>
        <v>Human Figures and Physicality</v>
      </c>
      <c r="E964" s="3" t="str">
        <f>IFERROR(__xludf.DUMMYFUNCTION("GOOGLETRANSLATE(B964, ""nl"", ""en"")"),"A face that both smiles and cries")</f>
        <v>A face that both smiles and cries</v>
      </c>
    </row>
    <row r="965" ht="15.75" customHeight="1">
      <c r="A965" s="3" t="s">
        <v>4</v>
      </c>
      <c r="B965" s="3" t="s">
        <v>44</v>
      </c>
      <c r="D965" s="3" t="str">
        <f>IFERROR(__xludf.DUMMYFUNCTION("GOOGLETRANSLATE(A965, ""nl"", ""en"")"),"Architectural and Structural Associations")</f>
        <v>Architectural and Structural Associations</v>
      </c>
      <c r="E965" s="3" t="str">
        <f>IFERROR(__xludf.DUMMYFUNCTION("GOOGLETRANSLATE(B965, ""nl"", ""en"")"),"A structure that pulsates in waves")</f>
        <v>A structure that pulsates in waves</v>
      </c>
    </row>
    <row r="966" ht="15.75" customHeight="1">
      <c r="A966" s="3" t="s">
        <v>15</v>
      </c>
      <c r="B966" s="3" t="s">
        <v>38</v>
      </c>
      <c r="D966" s="3" t="str">
        <f>IFERROR(__xludf.DUMMYFUNCTION("GOOGLETRANSLATE(A966, ""nl"", ""en"")"),"Animals and Organic Forms")</f>
        <v>Animals and Organic Forms</v>
      </c>
      <c r="E966" s="3" t="str">
        <f>IFERROR(__xludf.DUMMYFUNCTION("GOOGLETRANSLATE(B966, ""nl"", ""en"")"),"A lion with an open mouth")</f>
        <v>A lion with an open mouth</v>
      </c>
    </row>
    <row r="967" ht="15.75" customHeight="1">
      <c r="A967" s="3" t="s">
        <v>24</v>
      </c>
      <c r="B967" s="3" t="s">
        <v>25</v>
      </c>
      <c r="D967" s="3" t="str">
        <f>IFERROR(__xludf.DUMMYFUNCTION("GOOGLETRANSLATE(A967, ""nl"", ""en"")"),"Cosmic and Abstract Patterns")</f>
        <v>Cosmic and Abstract Patterns</v>
      </c>
      <c r="E967" s="3" t="str">
        <f>IFERROR(__xludf.DUMMYFUNCTION("GOOGLETRANSLATE(B967, ""nl"", ""en"")"),"A meteor shower dissolving into each other")</f>
        <v>A meteor shower dissolving into each other</v>
      </c>
    </row>
    <row r="968" ht="15.75" customHeight="1">
      <c r="A968" s="3" t="s">
        <v>4</v>
      </c>
      <c r="B968" s="3" t="s">
        <v>55</v>
      </c>
      <c r="D968" s="3" t="str">
        <f>IFERROR(__xludf.DUMMYFUNCTION("GOOGLETRANSLATE(A968, ""nl"", ""en"")"),"Architectural and Structural Associations")</f>
        <v>Architectural and Structural Associations</v>
      </c>
      <c r="E968" s="3" t="str">
        <f>IFERROR(__xludf.DUMMYFUNCTION("GOOGLETRANSLATE(B968, ""nl"", ""en"")"),"A prism that splits light into colors")</f>
        <v>A prism that splits light into colors</v>
      </c>
    </row>
    <row r="969" ht="15.75" customHeight="1">
      <c r="A969" s="3" t="s">
        <v>24</v>
      </c>
      <c r="B969" s="3" t="s">
        <v>54</v>
      </c>
      <c r="D969" s="3" t="str">
        <f>IFERROR(__xludf.DUMMYFUNCTION("GOOGLETRANSLATE(A969, ""nl"", ""en"")"),"Cosmic and Abstract Patterns")</f>
        <v>Cosmic and Abstract Patterns</v>
      </c>
      <c r="E969" s="3" t="str">
        <f>IFERROR(__xludf.DUMMYFUNCTION("GOOGLETRANSLATE(B969, ""nl"", ""en"")"),"A quantum particle in superposition")</f>
        <v>A quantum particle in superposition</v>
      </c>
    </row>
    <row r="970" ht="15.75" customHeight="1">
      <c r="A970" s="3" t="s">
        <v>12</v>
      </c>
      <c r="B970" s="3" t="s">
        <v>13</v>
      </c>
      <c r="D970" s="3" t="str">
        <f>IFERROR(__xludf.DUMMYFUNCTION("GOOGLETRANSLATE(A970, ""nl"", ""en"")"),"Nature and Elements")</f>
        <v>Nature and Elements</v>
      </c>
      <c r="E970" s="3" t="str">
        <f>IFERROR(__xludf.DUMMYFUNCTION("GOOGLETRANSLATE(B970, ""nl"", ""en"")"),"A lightning strike in slow motion")</f>
        <v>A lightning strike in slow motion</v>
      </c>
    </row>
    <row r="971" ht="15.75" customHeight="1">
      <c r="A971" s="3" t="s">
        <v>4</v>
      </c>
      <c r="B971" s="3" t="s">
        <v>20</v>
      </c>
      <c r="D971" s="3" t="str">
        <f>IFERROR(__xludf.DUMMYFUNCTION("GOOGLETRANSLATE(A971, ""nl"", ""en"")"),"Architectural and Structural Associations")</f>
        <v>Architectural and Structural Associations</v>
      </c>
      <c r="E971" s="3" t="str">
        <f>IFERROR(__xludf.DUMMYFUNCTION("GOOGLETRANSLATE(B971, ""nl"", ""en"")"),"A tower that grows by itself")</f>
        <v>A tower that grows by itself</v>
      </c>
    </row>
    <row r="972" ht="15.75" customHeight="1">
      <c r="A972" s="3" t="s">
        <v>7</v>
      </c>
      <c r="B972" s="3" t="s">
        <v>41</v>
      </c>
      <c r="D972" s="3" t="str">
        <f>IFERROR(__xludf.DUMMYFUNCTION("GOOGLETRANSLATE(A972, ""nl"", ""en"")"),"Human Figures and Physicality")</f>
        <v>Human Figures and Physicality</v>
      </c>
      <c r="E972" s="3" t="str">
        <f>IFERROR(__xludf.DUMMYFUNCTION("GOOGLETRANSLATE(B972, ""nl"", ""en"")"),"A face that fades into abstraction")</f>
        <v>A face that fades into abstraction</v>
      </c>
    </row>
    <row r="973" ht="15.75" customHeight="1">
      <c r="A973" s="3" t="s">
        <v>9</v>
      </c>
      <c r="B973" s="3" t="s">
        <v>14</v>
      </c>
      <c r="D973" s="3" t="str">
        <f>IFERROR(__xludf.DUMMYFUNCTION("GOOGLETRANSLATE(A973, ""nl"", ""en"")"),"Psychological and Emotional Interpretations")</f>
        <v>Psychological and Emotional Interpretations</v>
      </c>
      <c r="E973" s="3" t="str">
        <f>IFERROR(__xludf.DUMMYFUNCTION("GOOGLETRANSLATE(B973, ""nl"", ""en"")"),"An unclear hug")</f>
        <v>An unclear hug</v>
      </c>
    </row>
    <row r="974" ht="15.75" customHeight="1">
      <c r="A974" s="3" t="s">
        <v>24</v>
      </c>
      <c r="B974" s="3" t="s">
        <v>25</v>
      </c>
      <c r="D974" s="3" t="str">
        <f>IFERROR(__xludf.DUMMYFUNCTION("GOOGLETRANSLATE(A974, ""nl"", ""en"")"),"Cosmic and Abstract Patterns")</f>
        <v>Cosmic and Abstract Patterns</v>
      </c>
      <c r="E974" s="3" t="str">
        <f>IFERROR(__xludf.DUMMYFUNCTION("GOOGLETRANSLATE(B974, ""nl"", ""en"")"),"A meteor shower dissolving into each other")</f>
        <v>A meteor shower dissolving into each other</v>
      </c>
    </row>
    <row r="975" ht="15.75" customHeight="1">
      <c r="A975" s="3" t="s">
        <v>12</v>
      </c>
      <c r="B975" s="3" t="s">
        <v>23</v>
      </c>
      <c r="D975" s="3" t="str">
        <f>IFERROR(__xludf.DUMMYFUNCTION("GOOGLETRANSLATE(A975, ""nl"", ""en"")"),"Nature and Elements")</f>
        <v>Nature and Elements</v>
      </c>
      <c r="E975" s="3" t="str">
        <f>IFERROR(__xludf.DUMMYFUNCTION("GOOGLETRANSLATE(B975, ""nl"", ""en"")"),"A storm cloud splitting in two")</f>
        <v>A storm cloud splitting in two</v>
      </c>
    </row>
    <row r="976" ht="15.75" customHeight="1">
      <c r="A976" s="3" t="s">
        <v>7</v>
      </c>
      <c r="B976" s="3" t="s">
        <v>56</v>
      </c>
      <c r="D976" s="3" t="str">
        <f>IFERROR(__xludf.DUMMYFUNCTION("GOOGLETRANSLATE(A976, ""nl"", ""en"")"),"Human Figures and Physicality")</f>
        <v>Human Figures and Physicality</v>
      </c>
      <c r="E976" s="3" t="str">
        <f>IFERROR(__xludf.DUMMYFUNCTION("GOOGLETRANSLATE(B976, ""nl"", ""en"")"),"A shadow that seems to move")</f>
        <v>A shadow that seems to move</v>
      </c>
    </row>
    <row r="977" ht="15.75" customHeight="1">
      <c r="A977" s="3" t="s">
        <v>4</v>
      </c>
      <c r="B977" s="3" t="s">
        <v>44</v>
      </c>
      <c r="D977" s="3" t="str">
        <f>IFERROR(__xludf.DUMMYFUNCTION("GOOGLETRANSLATE(A977, ""nl"", ""en"")"),"Architectural and Structural Associations")</f>
        <v>Architectural and Structural Associations</v>
      </c>
      <c r="E977" s="3" t="str">
        <f>IFERROR(__xludf.DUMMYFUNCTION("GOOGLETRANSLATE(B977, ""nl"", ""en"")"),"A structure that pulsates in waves")</f>
        <v>A structure that pulsates in waves</v>
      </c>
    </row>
    <row r="978" ht="15.75" customHeight="1">
      <c r="A978" s="3" t="s">
        <v>9</v>
      </c>
      <c r="B978" s="3" t="s">
        <v>57</v>
      </c>
      <c r="D978" s="3" t="str">
        <f>IFERROR(__xludf.DUMMYFUNCTION("GOOGLETRANSLATE(A978, ""nl"", ""en"")"),"Psychological and Emotional Interpretations")</f>
        <v>Psychological and Emotional Interpretations</v>
      </c>
      <c r="E978" s="3" t="str">
        <f>IFERROR(__xludf.DUMMYFUNCTION("GOOGLETRANSLATE(B978, ""nl"", ""en"")"),"An explosion of colours and feelings")</f>
        <v>An explosion of colours and feelings</v>
      </c>
    </row>
    <row r="979" ht="15.75" customHeight="1">
      <c r="A979" s="3" t="s">
        <v>12</v>
      </c>
      <c r="B979" s="3" t="s">
        <v>47</v>
      </c>
      <c r="D979" s="3" t="str">
        <f>IFERROR(__xludf.DUMMYFUNCTION("GOOGLETRANSLATE(A979, ""nl"", ""en"")"),"Nature and Elements")</f>
        <v>Nature and Elements</v>
      </c>
      <c r="E979" s="3" t="str">
        <f>IFERROR(__xludf.DUMMYFUNCTION("GOOGLETRANSLATE(B979, ""nl"", ""en"")"),"A desert landscape that slowly changes")</f>
        <v>A desert landscape that slowly changes</v>
      </c>
    </row>
    <row r="980" ht="15.75" customHeight="1">
      <c r="A980" s="3" t="s">
        <v>24</v>
      </c>
      <c r="B980" s="3" t="s">
        <v>33</v>
      </c>
      <c r="D980" s="3" t="str">
        <f>IFERROR(__xludf.DUMMYFUNCTION("GOOGLETRANSLATE(A980, ""nl"", ""en"")"),"Cosmic and Abstract Patterns")</f>
        <v>Cosmic and Abstract Patterns</v>
      </c>
      <c r="E980" s="3" t="str">
        <f>IFERROR(__xludf.DUMMYFUNCTION("GOOGLETRANSLATE(B980, ""nl"", ""en"")"),"An eye that repeats itself in endless patterns")</f>
        <v>An eye that repeats itself in endless patterns</v>
      </c>
    </row>
    <row r="981" ht="15.75" customHeight="1">
      <c r="A981" s="3" t="s">
        <v>7</v>
      </c>
      <c r="B981" s="3" t="s">
        <v>53</v>
      </c>
      <c r="D981" s="3" t="str">
        <f>IFERROR(__xludf.DUMMYFUNCTION("GOOGLETRANSLATE(A981, ""nl"", ""en"")"),"Human Figures and Physicality")</f>
        <v>Human Figures and Physicality</v>
      </c>
      <c r="E981" s="3" t="str">
        <f>IFERROR(__xludf.DUMMYFUNCTION("GOOGLETRANSLATE(B981, ""nl"", ""en"")"),"A face that both smiles and cries")</f>
        <v>A face that both smiles and cries</v>
      </c>
    </row>
    <row r="982" ht="15.75" customHeight="1">
      <c r="A982" s="3" t="s">
        <v>4</v>
      </c>
      <c r="B982" s="3" t="s">
        <v>35</v>
      </c>
      <c r="D982" s="3" t="str">
        <f>IFERROR(__xludf.DUMMYFUNCTION("GOOGLETRANSLATE(A982, ""nl"", ""en"")"),"Architectural and Structural Associations")</f>
        <v>Architectural and Structural Associations</v>
      </c>
      <c r="E982" s="3" t="str">
        <f>IFERROR(__xludf.DUMMYFUNCTION("GOOGLETRANSLATE(B982, ""nl"", ""en"")"),"A floating building without a base")</f>
        <v>A floating building without a base</v>
      </c>
    </row>
    <row r="983" ht="15.75" customHeight="1">
      <c r="A983" s="3" t="s">
        <v>9</v>
      </c>
      <c r="B983" s="3" t="s">
        <v>14</v>
      </c>
      <c r="D983" s="3" t="str">
        <f>IFERROR(__xludf.DUMMYFUNCTION("GOOGLETRANSLATE(A983, ""nl"", ""en"")"),"Psychological and Emotional Interpretations")</f>
        <v>Psychological and Emotional Interpretations</v>
      </c>
      <c r="E983" s="3" t="str">
        <f>IFERROR(__xludf.DUMMYFUNCTION("GOOGLETRANSLATE(B983, ""nl"", ""en"")"),"An unclear hug")</f>
        <v>An unclear hug</v>
      </c>
    </row>
    <row r="984" ht="15.75" customHeight="1">
      <c r="A984" s="3" t="s">
        <v>24</v>
      </c>
      <c r="B984" s="3" t="s">
        <v>54</v>
      </c>
      <c r="D984" s="3" t="str">
        <f>IFERROR(__xludf.DUMMYFUNCTION("GOOGLETRANSLATE(A984, ""nl"", ""en"")"),"Cosmic and Abstract Patterns")</f>
        <v>Cosmic and Abstract Patterns</v>
      </c>
      <c r="E984" s="3" t="str">
        <f>IFERROR(__xludf.DUMMYFUNCTION("GOOGLETRANSLATE(B984, ""nl"", ""en"")"),"A quantum particle in superposition")</f>
        <v>A quantum particle in superposition</v>
      </c>
    </row>
    <row r="985" ht="15.75" customHeight="1">
      <c r="A985" s="3" t="s">
        <v>12</v>
      </c>
      <c r="B985" s="3" t="s">
        <v>13</v>
      </c>
      <c r="D985" s="3" t="str">
        <f>IFERROR(__xludf.DUMMYFUNCTION("GOOGLETRANSLATE(A985, ""nl"", ""en"")"),"Nature and Elements")</f>
        <v>Nature and Elements</v>
      </c>
      <c r="E985" s="3" t="str">
        <f>IFERROR(__xludf.DUMMYFUNCTION("GOOGLETRANSLATE(B985, ""nl"", ""en"")"),"A lightning strike in slow motion")</f>
        <v>A lightning strike in slow motion</v>
      </c>
    </row>
    <row r="986" ht="15.75" customHeight="1">
      <c r="A986" s="3" t="s">
        <v>24</v>
      </c>
      <c r="B986" s="3" t="s">
        <v>25</v>
      </c>
      <c r="D986" s="3" t="str">
        <f>IFERROR(__xludf.DUMMYFUNCTION("GOOGLETRANSLATE(A986, ""nl"", ""en"")"),"Cosmic and Abstract Patterns")</f>
        <v>Cosmic and Abstract Patterns</v>
      </c>
      <c r="E986" s="3" t="str">
        <f>IFERROR(__xludf.DUMMYFUNCTION("GOOGLETRANSLATE(B986, ""nl"", ""en"")"),"A meteor shower dissolving into each other")</f>
        <v>A meteor shower dissolving into each other</v>
      </c>
    </row>
    <row r="987" ht="15.75" customHeight="1">
      <c r="A987" s="3" t="s">
        <v>7</v>
      </c>
      <c r="B987" s="3" t="s">
        <v>56</v>
      </c>
      <c r="D987" s="3" t="str">
        <f>IFERROR(__xludf.DUMMYFUNCTION("GOOGLETRANSLATE(A987, ""nl"", ""en"")"),"Human Figures and Physicality")</f>
        <v>Human Figures and Physicality</v>
      </c>
      <c r="E987" s="3" t="str">
        <f>IFERROR(__xludf.DUMMYFUNCTION("GOOGLETRANSLATE(B987, ""nl"", ""en"")"),"A shadow that seems to move")</f>
        <v>A shadow that seems to move</v>
      </c>
    </row>
    <row r="988" ht="15.75" customHeight="1">
      <c r="A988" s="3" t="s">
        <v>7</v>
      </c>
      <c r="B988" s="3" t="s">
        <v>41</v>
      </c>
      <c r="D988" s="3" t="str">
        <f>IFERROR(__xludf.DUMMYFUNCTION("GOOGLETRANSLATE(A988, ""nl"", ""en"")"),"Human Figures and Physicality")</f>
        <v>Human Figures and Physicality</v>
      </c>
      <c r="E988" s="3" t="str">
        <f>IFERROR(__xludf.DUMMYFUNCTION("GOOGLETRANSLATE(B988, ""nl"", ""en"")"),"A face that fades into abstraction")</f>
        <v>A face that fades into abstraction</v>
      </c>
    </row>
    <row r="989" ht="15.75" customHeight="1">
      <c r="A989" s="3" t="s">
        <v>12</v>
      </c>
      <c r="B989" s="3" t="s">
        <v>23</v>
      </c>
      <c r="D989" s="3" t="str">
        <f>IFERROR(__xludf.DUMMYFUNCTION("GOOGLETRANSLATE(A989, ""nl"", ""en"")"),"Nature and Elements")</f>
        <v>Nature and Elements</v>
      </c>
      <c r="E989" s="3" t="str">
        <f>IFERROR(__xludf.DUMMYFUNCTION("GOOGLETRANSLATE(B989, ""nl"", ""en"")"),"A storm cloud splitting in two")</f>
        <v>A storm cloud splitting in two</v>
      </c>
    </row>
    <row r="990" ht="15.75" customHeight="1">
      <c r="A990" s="3" t="s">
        <v>24</v>
      </c>
      <c r="B990" s="3" t="s">
        <v>25</v>
      </c>
      <c r="D990" s="3" t="str">
        <f>IFERROR(__xludf.DUMMYFUNCTION("GOOGLETRANSLATE(A990, ""nl"", ""en"")"),"Cosmic and Abstract Patterns")</f>
        <v>Cosmic and Abstract Patterns</v>
      </c>
      <c r="E990" s="3" t="str">
        <f>IFERROR(__xludf.DUMMYFUNCTION("GOOGLETRANSLATE(B990, ""nl"", ""en"")"),"A meteor shower dissolving into each other")</f>
        <v>A meteor shower dissolving into each other</v>
      </c>
    </row>
    <row r="991" ht="15.75" customHeight="1">
      <c r="A991" s="3" t="s">
        <v>15</v>
      </c>
      <c r="B991" s="3" t="s">
        <v>45</v>
      </c>
      <c r="D991" s="3" t="str">
        <f>IFERROR(__xludf.DUMMYFUNCTION("GOOGLETRANSLATE(A991, ""nl"", ""en"")"),"Animals and Organic Forms")</f>
        <v>Animals and Organic Forms</v>
      </c>
      <c r="E991" s="3" t="str">
        <f>IFERROR(__xludf.DUMMYFUNCTION("GOOGLETRANSLATE(B991, ""nl"", ""en"")"),"A snake biting its own tail")</f>
        <v>A snake biting its own tail</v>
      </c>
    </row>
    <row r="992" ht="15.75" customHeight="1">
      <c r="A992" s="3" t="s">
        <v>7</v>
      </c>
      <c r="B992" s="3" t="s">
        <v>53</v>
      </c>
      <c r="D992" s="3" t="str">
        <f>IFERROR(__xludf.DUMMYFUNCTION("GOOGLETRANSLATE(A992, ""nl"", ""en"")"),"Human Figures and Physicality")</f>
        <v>Human Figures and Physicality</v>
      </c>
      <c r="E992" s="3" t="str">
        <f>IFERROR(__xludf.DUMMYFUNCTION("GOOGLETRANSLATE(B992, ""nl"", ""en"")"),"A face that both smiles and cries")</f>
        <v>A face that both smiles and cries</v>
      </c>
    </row>
    <row r="993" ht="15.75" customHeight="1">
      <c r="A993" s="3" t="s">
        <v>24</v>
      </c>
      <c r="B993" s="3" t="s">
        <v>33</v>
      </c>
      <c r="D993" s="3" t="str">
        <f>IFERROR(__xludf.DUMMYFUNCTION("GOOGLETRANSLATE(A993, ""nl"", ""en"")"),"Cosmic and Abstract Patterns")</f>
        <v>Cosmic and Abstract Patterns</v>
      </c>
      <c r="E993" s="3" t="str">
        <f>IFERROR(__xludf.DUMMYFUNCTION("GOOGLETRANSLATE(B993, ""nl"", ""en"")"),"An eye that repeats itself in endless patterns")</f>
        <v>An eye that repeats itself in endless patterns</v>
      </c>
    </row>
    <row r="994" ht="15.75" customHeight="1">
      <c r="A994" s="3" t="s">
        <v>15</v>
      </c>
      <c r="B994" s="3" t="s">
        <v>22</v>
      </c>
      <c r="D994" s="3" t="str">
        <f>IFERROR(__xludf.DUMMYFUNCTION("GOOGLETRANSLATE(A994, ""nl"", ""en"")"),"Animals and Organic Forms")</f>
        <v>Animals and Organic Forms</v>
      </c>
      <c r="E994" s="3" t="str">
        <f>IFERROR(__xludf.DUMMYFUNCTION("GOOGLETRANSLATE(B994, ""nl"", ""en"")"),"A bird taking off")</f>
        <v>A bird taking off</v>
      </c>
    </row>
    <row r="995" ht="15.75" customHeight="1">
      <c r="A995" s="3" t="s">
        <v>12</v>
      </c>
      <c r="B995" s="3" t="s">
        <v>51</v>
      </c>
      <c r="D995" s="3" t="str">
        <f>IFERROR(__xludf.DUMMYFUNCTION("GOOGLETRANSLATE(A995, ""nl"", ""en"")"),"Nature and Elements")</f>
        <v>Nature and Elements</v>
      </c>
      <c r="E995" s="3" t="str">
        <f>IFERROR(__xludf.DUMMYFUNCTION("GOOGLETRANSLATE(B995, ""nl"", ""en"")"),"An evaporating puddle of water")</f>
        <v>An evaporating puddle of water</v>
      </c>
    </row>
    <row r="996" ht="15.75" customHeight="1">
      <c r="A996" s="3" t="s">
        <v>4</v>
      </c>
      <c r="B996" s="3" t="s">
        <v>21</v>
      </c>
      <c r="D996" s="3" t="str">
        <f>IFERROR(__xludf.DUMMYFUNCTION("GOOGLETRANSLATE(A996, ""nl"", ""en"")"),"Architectural and Structural Associations")</f>
        <v>Architectural and Structural Associations</v>
      </c>
      <c r="E996" s="3" t="str">
        <f>IFERROR(__xludf.DUMMYFUNCTION("GOOGLETRANSLATE(B996, ""nl"", ""en"")"),"A bridge that leads nowhere")</f>
        <v>A bridge that leads nowhere</v>
      </c>
    </row>
    <row r="997" ht="15.75" customHeight="1">
      <c r="A997" s="3" t="s">
        <v>15</v>
      </c>
      <c r="B997" s="3" t="s">
        <v>45</v>
      </c>
      <c r="D997" s="3" t="str">
        <f>IFERROR(__xludf.DUMMYFUNCTION("GOOGLETRANSLATE(A997, ""nl"", ""en"")"),"Animals and Organic Forms")</f>
        <v>Animals and Organic Forms</v>
      </c>
      <c r="E997" s="3" t="str">
        <f>IFERROR(__xludf.DUMMYFUNCTION("GOOGLETRANSLATE(B997, ""nl"", ""en"")"),"A snake biting its own tail")</f>
        <v>A snake biting its own tail</v>
      </c>
    </row>
    <row r="998" ht="15.75" customHeight="1">
      <c r="A998" s="3" t="s">
        <v>4</v>
      </c>
      <c r="B998" s="3" t="s">
        <v>5</v>
      </c>
      <c r="D998" s="3" t="str">
        <f>IFERROR(__xludf.DUMMYFUNCTION("GOOGLETRANSLATE(A998, ""nl"", ""en"")"),"Architectural and Structural Associations")</f>
        <v>Architectural and Structural Associations</v>
      </c>
      <c r="E998" s="3" t="str">
        <f>IFERROR(__xludf.DUMMYFUNCTION("GOOGLETRANSLATE(B998, ""nl"", ""en"")"),"A cathedral shaped from mist")</f>
        <v>A cathedral shaped from mist</v>
      </c>
    </row>
    <row r="999" ht="15.75" customHeight="1">
      <c r="A999" s="3" t="s">
        <v>12</v>
      </c>
      <c r="B999" s="3" t="s">
        <v>23</v>
      </c>
      <c r="D999" s="3" t="str">
        <f>IFERROR(__xludf.DUMMYFUNCTION("GOOGLETRANSLATE(A999, ""nl"", ""en"")"),"Nature and Elements")</f>
        <v>Nature and Elements</v>
      </c>
      <c r="E999" s="3" t="str">
        <f>IFERROR(__xludf.DUMMYFUNCTION("GOOGLETRANSLATE(B999, ""nl"", ""en"")"),"A storm cloud splitting in two")</f>
        <v>A storm cloud splitting in two</v>
      </c>
    </row>
    <row r="1000" ht="15.75" customHeight="1">
      <c r="A1000" s="3" t="s">
        <v>9</v>
      </c>
      <c r="B1000" s="3" t="s">
        <v>37</v>
      </c>
      <c r="D1000" s="3" t="str">
        <f>IFERROR(__xludf.DUMMYFUNCTION("GOOGLETRANSLATE(A1000, ""nl"", ""en"")"),"Psychological and Emotional Interpretations")</f>
        <v>Psychological and Emotional Interpretations</v>
      </c>
      <c r="E1000" s="3" t="str">
        <f>IFERROR(__xludf.DUMMYFUNCTION("GOOGLETRANSLATE(B1000, ""nl"", ""en"")"),"A figure looking through itself")</f>
        <v>A figure looking through itself</v>
      </c>
    </row>
    <row r="1001" ht="15.75" customHeight="1">
      <c r="A1001" s="3" t="s">
        <v>4</v>
      </c>
      <c r="B1001" s="3" t="s">
        <v>55</v>
      </c>
      <c r="D1001" s="3" t="str">
        <f>IFERROR(__xludf.DUMMYFUNCTION("GOOGLETRANSLATE(A1001, ""nl"", ""en"")"),"Architectural and Structural Associations")</f>
        <v>Architectural and Structural Associations</v>
      </c>
      <c r="E1001" s="3" t="str">
        <f>IFERROR(__xludf.DUMMYFUNCTION("GOOGLETRANSLATE(B1001, ""nl"", ""en"")"),"A prism that splits light into colors")</f>
        <v>A prism that splits light into colors</v>
      </c>
    </row>
    <row r="1002" ht="15.75" customHeight="1">
      <c r="A1002" s="3" t="s">
        <v>4</v>
      </c>
      <c r="B1002" s="3" t="s">
        <v>55</v>
      </c>
      <c r="D1002" s="3" t="str">
        <f>IFERROR(__xludf.DUMMYFUNCTION("GOOGLETRANSLATE(A1002, ""nl"", ""en"")"),"Architectural and Structural Associations")</f>
        <v>Architectural and Structural Associations</v>
      </c>
      <c r="E1002" s="3" t="str">
        <f>IFERROR(__xludf.DUMMYFUNCTION("GOOGLETRANSLATE(B1002, ""nl"", ""en"")"),"A prism that splits light into colors")</f>
        <v>A prism that splits light into colors</v>
      </c>
    </row>
    <row r="1003" ht="15.75" customHeight="1">
      <c r="A1003" s="3" t="s">
        <v>7</v>
      </c>
      <c r="B1003" s="3" t="s">
        <v>8</v>
      </c>
      <c r="D1003" s="3" t="str">
        <f>IFERROR(__xludf.DUMMYFUNCTION("GOOGLETRANSLATE(A1003, ""nl"", ""en"")"),"Human Figures and Physicality")</f>
        <v>Human Figures and Physicality</v>
      </c>
      <c r="E1003" s="3" t="str">
        <f>IFERROR(__xludf.DUMMYFUNCTION("GOOGLETRANSLATE(B1003, ""nl"", ""en"")"),"Two figures mirroring each other")</f>
        <v>Two figures mirroring each other</v>
      </c>
    </row>
    <row r="1004" ht="15.75" customHeight="1">
      <c r="A1004" s="3" t="s">
        <v>4</v>
      </c>
      <c r="B1004" s="3" t="s">
        <v>55</v>
      </c>
      <c r="D1004" s="3" t="str">
        <f>IFERROR(__xludf.DUMMYFUNCTION("GOOGLETRANSLATE(A1004, ""nl"", ""en"")"),"Architectural and Structural Associations")</f>
        <v>Architectural and Structural Associations</v>
      </c>
      <c r="E1004" s="3" t="str">
        <f>IFERROR(__xludf.DUMMYFUNCTION("GOOGLETRANSLATE(B1004, ""nl"", ""en"")"),"A prism that splits light into colors")</f>
        <v>A prism that splits light into colors</v>
      </c>
    </row>
    <row r="1005" ht="15.75" customHeight="1">
      <c r="A1005" s="3" t="s">
        <v>12</v>
      </c>
      <c r="B1005" s="3" t="s">
        <v>30</v>
      </c>
      <c r="D1005" s="3" t="str">
        <f>IFERROR(__xludf.DUMMYFUNCTION("GOOGLETRANSLATE(A1005, ""nl"", ""en"")"),"Nature and Elements")</f>
        <v>Nature and Elements</v>
      </c>
      <c r="E1005" s="3" t="str">
        <f>IFERROR(__xludf.DUMMYFUNCTION("GOOGLETRANSLATE(B1005, ""nl"", ""en"")"),"Waves breaking in fractal patterns")</f>
        <v>Waves breaking in fractal patterns</v>
      </c>
    </row>
    <row r="1006" ht="15.75" customHeight="1">
      <c r="A1006" s="3" t="s">
        <v>4</v>
      </c>
      <c r="B1006" s="3" t="s">
        <v>55</v>
      </c>
      <c r="D1006" s="3" t="str">
        <f>IFERROR(__xludf.DUMMYFUNCTION("GOOGLETRANSLATE(A1006, ""nl"", ""en"")"),"Architectural and Structural Associations")</f>
        <v>Architectural and Structural Associations</v>
      </c>
      <c r="E1006" s="3" t="str">
        <f>IFERROR(__xludf.DUMMYFUNCTION("GOOGLETRANSLATE(B1006, ""nl"", ""en"")"),"A prism that splits light into colors")</f>
        <v>A prism that splits light into colors</v>
      </c>
    </row>
    <row r="1007" ht="15.75" customHeight="1">
      <c r="A1007" s="3" t="s">
        <v>4</v>
      </c>
      <c r="B1007" s="3" t="s">
        <v>44</v>
      </c>
      <c r="D1007" s="3" t="str">
        <f>IFERROR(__xludf.DUMMYFUNCTION("GOOGLETRANSLATE(A1007, ""nl"", ""en"")"),"Architectural and Structural Associations")</f>
        <v>Architectural and Structural Associations</v>
      </c>
      <c r="E1007" s="3" t="str">
        <f>IFERROR(__xludf.DUMMYFUNCTION("GOOGLETRANSLATE(B1007, ""nl"", ""en"")"),"A structure that pulsates in waves")</f>
        <v>A structure that pulsates in waves</v>
      </c>
    </row>
    <row r="1008" ht="15.75" customHeight="1">
      <c r="A1008" s="3" t="s">
        <v>4</v>
      </c>
      <c r="B1008" s="3" t="s">
        <v>21</v>
      </c>
      <c r="D1008" s="3" t="str">
        <f>IFERROR(__xludf.DUMMYFUNCTION("GOOGLETRANSLATE(A1008, ""nl"", ""en"")"),"Architectural and Structural Associations")</f>
        <v>Architectural and Structural Associations</v>
      </c>
      <c r="E1008" s="3" t="str">
        <f>IFERROR(__xludf.DUMMYFUNCTION("GOOGLETRANSLATE(B1008, ""nl"", ""en"")"),"A bridge that leads nowhere")</f>
        <v>A bridge that leads nowhere</v>
      </c>
    </row>
    <row r="1009" ht="15.75" customHeight="1">
      <c r="A1009" s="3" t="s">
        <v>7</v>
      </c>
      <c r="B1009" s="3" t="s">
        <v>8</v>
      </c>
      <c r="D1009" s="3" t="str">
        <f>IFERROR(__xludf.DUMMYFUNCTION("GOOGLETRANSLATE(A1009, ""nl"", ""en"")"),"Human Figures and Physicality")</f>
        <v>Human Figures and Physicality</v>
      </c>
      <c r="E1009" s="3" t="str">
        <f>IFERROR(__xludf.DUMMYFUNCTION("GOOGLETRANSLATE(B1009, ""nl"", ""en"")"),"Two figures mirroring each other")</f>
        <v>Two figures mirroring each other</v>
      </c>
    </row>
    <row r="1010" ht="15.75" customHeight="1">
      <c r="A1010" s="3" t="s">
        <v>7</v>
      </c>
      <c r="B1010" s="3" t="s">
        <v>8</v>
      </c>
      <c r="D1010" s="3" t="str">
        <f>IFERROR(__xludf.DUMMYFUNCTION("GOOGLETRANSLATE(A1010, ""nl"", ""en"")"),"Human Figures and Physicality")</f>
        <v>Human Figures and Physicality</v>
      </c>
      <c r="E1010" s="3" t="str">
        <f>IFERROR(__xludf.DUMMYFUNCTION("GOOGLETRANSLATE(B1010, ""nl"", ""en"")"),"Two figures mirroring each other")</f>
        <v>Two figures mirroring each other</v>
      </c>
    </row>
    <row r="1011" ht="15.75" customHeight="1">
      <c r="A1011" s="3" t="s">
        <v>9</v>
      </c>
      <c r="B1011" s="3" t="s">
        <v>11</v>
      </c>
      <c r="D1011" s="3" t="str">
        <f>IFERROR(__xludf.DUMMYFUNCTION("GOOGLETRANSLATE(A1011, ""nl"", ""en"")"),"Psychological and Emotional Interpretations")</f>
        <v>Psychological and Emotional Interpretations</v>
      </c>
      <c r="E1011" s="3" t="str">
        <f>IFERROR(__xludf.DUMMYFUNCTION("GOOGLETRANSLATE(B1011, ""nl"", ""en"")"),"An emotion captured in abstraction")</f>
        <v>An emotion captured in abstraction</v>
      </c>
    </row>
    <row r="1012" ht="15.75" customHeight="1">
      <c r="A1012" s="3" t="s">
        <v>7</v>
      </c>
      <c r="B1012" s="3" t="s">
        <v>40</v>
      </c>
      <c r="D1012" s="3" t="str">
        <f>IFERROR(__xludf.DUMMYFUNCTION("GOOGLETRANSLATE(A1012, ""nl"", ""en"")"),"Human Figures and Physicality")</f>
        <v>Human Figures and Physicality</v>
      </c>
      <c r="E1012" s="3" t="str">
        <f>IFERROR(__xludf.DUMMYFUNCTION("GOOGLETRANSLATE(B1012, ""nl"", ""en"")"),"A figure who is withdrawn into himself")</f>
        <v>A figure who is withdrawn into himself</v>
      </c>
    </row>
    <row r="1013" ht="15.75" customHeight="1">
      <c r="A1013" s="3" t="s">
        <v>24</v>
      </c>
      <c r="B1013" s="3" t="s">
        <v>29</v>
      </c>
      <c r="D1013" s="3" t="str">
        <f>IFERROR(__xludf.DUMMYFUNCTION("GOOGLETRANSLATE(A1013, ""nl"", ""en"")"),"Cosmic and Abstract Patterns")</f>
        <v>Cosmic and Abstract Patterns</v>
      </c>
      <c r="E1013" s="3" t="str">
        <f>IFERROR(__xludf.DUMMYFUNCTION("GOOGLETRANSLATE(B1013, ""nl"", ""en"")"),"A galaxy unfolding")</f>
        <v>A galaxy unfolding</v>
      </c>
    </row>
    <row r="1014" ht="15.75" customHeight="1">
      <c r="A1014" s="3" t="s">
        <v>15</v>
      </c>
      <c r="B1014" s="3" t="s">
        <v>50</v>
      </c>
      <c r="D1014" s="3" t="str">
        <f>IFERROR(__xludf.DUMMYFUNCTION("GOOGLETRANSLATE(A1014, ""nl"", ""en"")"),"Animals and Organic Forms")</f>
        <v>Animals and Organic Forms</v>
      </c>
      <c r="E1014" s="3" t="str">
        <f>IFERROR(__xludf.DUMMYFUNCTION("GOOGLETRANSLATE(B1014, ""nl"", ""en"")"),"A squid with extended tentacles")</f>
        <v>A squid with extended tentacles</v>
      </c>
    </row>
    <row r="1015" ht="15.75" customHeight="1">
      <c r="A1015" s="3" t="s">
        <v>24</v>
      </c>
      <c r="B1015" s="3" t="s">
        <v>54</v>
      </c>
      <c r="D1015" s="3" t="str">
        <f>IFERROR(__xludf.DUMMYFUNCTION("GOOGLETRANSLATE(A1015, ""nl"", ""en"")"),"Cosmic and Abstract Patterns")</f>
        <v>Cosmic and Abstract Patterns</v>
      </c>
      <c r="E1015" s="3" t="str">
        <f>IFERROR(__xludf.DUMMYFUNCTION("GOOGLETRANSLATE(B1015, ""nl"", ""en"")"),"A quantum particle in superposition")</f>
        <v>A quantum particle in superposition</v>
      </c>
    </row>
    <row r="1016" ht="15.75" customHeight="1">
      <c r="A1016" s="3" t="s">
        <v>15</v>
      </c>
      <c r="B1016" s="3" t="s">
        <v>52</v>
      </c>
      <c r="D1016" s="3" t="str">
        <f>IFERROR(__xludf.DUMMYFUNCTION("GOOGLETRANSLATE(A1016, ""nl"", ""en"")"),"Animals and Organic Forms")</f>
        <v>Animals and Organic Forms</v>
      </c>
      <c r="E1016" s="3" t="str">
        <f>IFERROR(__xludf.DUMMYFUNCTION("GOOGLETRANSLATE(B1016, ""nl"", ""en"")"),"A mask made of leaves")</f>
        <v>A mask made of leaves</v>
      </c>
    </row>
    <row r="1017" ht="15.75" customHeight="1">
      <c r="A1017" s="3" t="s">
        <v>7</v>
      </c>
      <c r="B1017" s="3" t="s">
        <v>40</v>
      </c>
      <c r="D1017" s="3" t="str">
        <f>IFERROR(__xludf.DUMMYFUNCTION("GOOGLETRANSLATE(A1017, ""nl"", ""en"")"),"Human Figures and Physicality")</f>
        <v>Human Figures and Physicality</v>
      </c>
      <c r="E1017" s="3" t="str">
        <f>IFERROR(__xludf.DUMMYFUNCTION("GOOGLETRANSLATE(B1017, ""nl"", ""en"")"),"A figure who is withdrawn into himself")</f>
        <v>A figure who is withdrawn into himself</v>
      </c>
    </row>
    <row r="1018" ht="15.75" customHeight="1">
      <c r="A1018" s="3" t="s">
        <v>9</v>
      </c>
      <c r="B1018" s="3" t="s">
        <v>37</v>
      </c>
      <c r="D1018" s="3" t="str">
        <f>IFERROR(__xludf.DUMMYFUNCTION("GOOGLETRANSLATE(A1018, ""nl"", ""en"")"),"Psychological and Emotional Interpretations")</f>
        <v>Psychological and Emotional Interpretations</v>
      </c>
      <c r="E1018" s="3" t="str">
        <f>IFERROR(__xludf.DUMMYFUNCTION("GOOGLETRANSLATE(B1018, ""nl"", ""en"")"),"A figure looking through itself")</f>
        <v>A figure looking through itself</v>
      </c>
    </row>
    <row r="1019" ht="15.75" customHeight="1">
      <c r="A1019" s="3" t="s">
        <v>24</v>
      </c>
      <c r="B1019" s="3" t="s">
        <v>31</v>
      </c>
      <c r="D1019" s="3" t="str">
        <f>IFERROR(__xludf.DUMMYFUNCTION("GOOGLETRANSLATE(A1019, ""nl"", ""en"")"),"Cosmic and Abstract Patterns")</f>
        <v>Cosmic and Abstract Patterns</v>
      </c>
      <c r="E1019" s="3" t="str">
        <f>IFERROR(__xludf.DUMMYFUNCTION("GOOGLETRANSLATE(B1019, ""nl"", ""en"")"),"A planet with unusual rings")</f>
        <v>A planet with unusual rings</v>
      </c>
    </row>
    <row r="1020" ht="15.75" customHeight="1">
      <c r="A1020" s="3" t="s">
        <v>7</v>
      </c>
      <c r="B1020" s="3" t="s">
        <v>40</v>
      </c>
      <c r="D1020" s="3" t="str">
        <f>IFERROR(__xludf.DUMMYFUNCTION("GOOGLETRANSLATE(A1020, ""nl"", ""en"")"),"Human Figures and Physicality")</f>
        <v>Human Figures and Physicality</v>
      </c>
      <c r="E1020" s="3" t="str">
        <f>IFERROR(__xludf.DUMMYFUNCTION("GOOGLETRANSLATE(B1020, ""nl"", ""en"")"),"A figure who is withdrawn into himself")</f>
        <v>A figure who is withdrawn into himself</v>
      </c>
    </row>
    <row r="1021" ht="15.75" customHeight="1">
      <c r="A1021" s="3" t="s">
        <v>24</v>
      </c>
      <c r="B1021" s="3" t="s">
        <v>29</v>
      </c>
      <c r="D1021" s="3" t="str">
        <f>IFERROR(__xludf.DUMMYFUNCTION("GOOGLETRANSLATE(A1021, ""nl"", ""en"")"),"Cosmic and Abstract Patterns")</f>
        <v>Cosmic and Abstract Patterns</v>
      </c>
      <c r="E1021" s="3" t="str">
        <f>IFERROR(__xludf.DUMMYFUNCTION("GOOGLETRANSLATE(B1021, ""nl"", ""en"")"),"A galaxy unfolding")</f>
        <v>A galaxy unfolding</v>
      </c>
    </row>
    <row r="1022" ht="15.75" customHeight="1">
      <c r="A1022" s="3" t="s">
        <v>4</v>
      </c>
      <c r="B1022" s="3" t="s">
        <v>35</v>
      </c>
      <c r="D1022" s="3" t="str">
        <f>IFERROR(__xludf.DUMMYFUNCTION("GOOGLETRANSLATE(A1022, ""nl"", ""en"")"),"Architectural and Structural Associations")</f>
        <v>Architectural and Structural Associations</v>
      </c>
      <c r="E1022" s="3" t="str">
        <f>IFERROR(__xludf.DUMMYFUNCTION("GOOGLETRANSLATE(B1022, ""nl"", ""en"")"),"A floating building without a base")</f>
        <v>A floating building without a base</v>
      </c>
    </row>
    <row r="1023" ht="15.75" customHeight="1">
      <c r="A1023" s="3" t="s">
        <v>24</v>
      </c>
      <c r="B1023" s="3" t="s">
        <v>25</v>
      </c>
      <c r="D1023" s="3" t="str">
        <f>IFERROR(__xludf.DUMMYFUNCTION("GOOGLETRANSLATE(A1023, ""nl"", ""en"")"),"Cosmic and Abstract Patterns")</f>
        <v>Cosmic and Abstract Patterns</v>
      </c>
      <c r="E1023" s="3" t="str">
        <f>IFERROR(__xludf.DUMMYFUNCTION("GOOGLETRANSLATE(B1023, ""nl"", ""en"")"),"A meteor shower dissolving into each other")</f>
        <v>A meteor shower dissolving into each other</v>
      </c>
    </row>
    <row r="1024" ht="15.75" customHeight="1">
      <c r="A1024" s="3" t="s">
        <v>4</v>
      </c>
      <c r="B1024" s="3" t="s">
        <v>55</v>
      </c>
      <c r="D1024" s="3" t="str">
        <f>IFERROR(__xludf.DUMMYFUNCTION("GOOGLETRANSLATE(A1024, ""nl"", ""en"")"),"Architectural and Structural Associations")</f>
        <v>Architectural and Structural Associations</v>
      </c>
      <c r="E1024" s="3" t="str">
        <f>IFERROR(__xludf.DUMMYFUNCTION("GOOGLETRANSLATE(B1024, ""nl"", ""en"")"),"A prism that splits light into colors")</f>
        <v>A prism that splits light into colors</v>
      </c>
    </row>
    <row r="1025" ht="15.75" customHeight="1">
      <c r="A1025" s="3" t="s">
        <v>15</v>
      </c>
      <c r="B1025" s="3" t="s">
        <v>52</v>
      </c>
      <c r="D1025" s="3" t="str">
        <f>IFERROR(__xludf.DUMMYFUNCTION("GOOGLETRANSLATE(A1025, ""nl"", ""en"")"),"Animals and Organic Forms")</f>
        <v>Animals and Organic Forms</v>
      </c>
      <c r="E1025" s="3" t="str">
        <f>IFERROR(__xludf.DUMMYFUNCTION("GOOGLETRANSLATE(B1025, ""nl"", ""en"")"),"A mask made of leaves")</f>
        <v>A mask made of leaves</v>
      </c>
    </row>
    <row r="1026" ht="15.75" customHeight="1">
      <c r="A1026" s="3" t="s">
        <v>12</v>
      </c>
      <c r="B1026" s="3" t="s">
        <v>51</v>
      </c>
      <c r="D1026" s="3" t="str">
        <f>IFERROR(__xludf.DUMMYFUNCTION("GOOGLETRANSLATE(A1026, ""nl"", ""en"")"),"Nature and Elements")</f>
        <v>Nature and Elements</v>
      </c>
      <c r="E1026" s="3" t="str">
        <f>IFERROR(__xludf.DUMMYFUNCTION("GOOGLETRANSLATE(B1026, ""nl"", ""en"")"),"An evaporating puddle of water")</f>
        <v>An evaporating puddle of water</v>
      </c>
    </row>
    <row r="1027" ht="15.75" customHeight="1">
      <c r="A1027" s="3" t="s">
        <v>9</v>
      </c>
      <c r="B1027" s="3" t="s">
        <v>37</v>
      </c>
      <c r="D1027" s="3" t="str">
        <f>IFERROR(__xludf.DUMMYFUNCTION("GOOGLETRANSLATE(A1027, ""nl"", ""en"")"),"Psychological and Emotional Interpretations")</f>
        <v>Psychological and Emotional Interpretations</v>
      </c>
      <c r="E1027" s="3" t="str">
        <f>IFERROR(__xludf.DUMMYFUNCTION("GOOGLETRANSLATE(B1027, ""nl"", ""en"")"),"A figure looking through itself")</f>
        <v>A figure looking through itself</v>
      </c>
    </row>
    <row r="1028" ht="15.75" customHeight="1">
      <c r="A1028" s="3" t="s">
        <v>12</v>
      </c>
      <c r="B1028" s="3" t="s">
        <v>51</v>
      </c>
      <c r="D1028" s="3" t="str">
        <f>IFERROR(__xludf.DUMMYFUNCTION("GOOGLETRANSLATE(A1028, ""nl"", ""en"")"),"Nature and Elements")</f>
        <v>Nature and Elements</v>
      </c>
      <c r="E1028" s="3" t="str">
        <f>IFERROR(__xludf.DUMMYFUNCTION("GOOGLETRANSLATE(B1028, ""nl"", ""en"")"),"An evaporating puddle of water")</f>
        <v>An evaporating puddle of water</v>
      </c>
    </row>
    <row r="1029" ht="15.75" customHeight="1">
      <c r="A1029" s="3" t="s">
        <v>15</v>
      </c>
      <c r="B1029" s="3" t="s">
        <v>52</v>
      </c>
      <c r="D1029" s="3" t="str">
        <f>IFERROR(__xludf.DUMMYFUNCTION("GOOGLETRANSLATE(A1029, ""nl"", ""en"")"),"Animals and Organic Forms")</f>
        <v>Animals and Organic Forms</v>
      </c>
      <c r="E1029" s="3" t="str">
        <f>IFERROR(__xludf.DUMMYFUNCTION("GOOGLETRANSLATE(B1029, ""nl"", ""en"")"),"A mask made of leaves")</f>
        <v>A mask made of leaves</v>
      </c>
    </row>
    <row r="1030" ht="15.75" customHeight="1">
      <c r="A1030" s="3" t="s">
        <v>4</v>
      </c>
      <c r="B1030" s="3" t="s">
        <v>5</v>
      </c>
      <c r="D1030" s="3" t="str">
        <f>IFERROR(__xludf.DUMMYFUNCTION("GOOGLETRANSLATE(A1030, ""nl"", ""en"")"),"Architectural and Structural Associations")</f>
        <v>Architectural and Structural Associations</v>
      </c>
      <c r="E1030" s="3" t="str">
        <f>IFERROR(__xludf.DUMMYFUNCTION("GOOGLETRANSLATE(B1030, ""nl"", ""en"")"),"A cathedral shaped from mist")</f>
        <v>A cathedral shaped from mist</v>
      </c>
    </row>
    <row r="1031" ht="15.75" customHeight="1">
      <c r="A1031" s="3" t="s">
        <v>24</v>
      </c>
      <c r="B1031" s="3" t="s">
        <v>32</v>
      </c>
      <c r="D1031" s="3" t="str">
        <f>IFERROR(__xludf.DUMMYFUNCTION("GOOGLETRANSLATE(A1031, ""nl"", ""en"")"),"Cosmic and Abstract Patterns")</f>
        <v>Cosmic and Abstract Patterns</v>
      </c>
      <c r="E1031" s="3" t="str">
        <f>IFERROR(__xludf.DUMMYFUNCTION("GOOGLETRANSLATE(B1031, ""nl"", ""en"")"),"A time loop captured in image")</f>
        <v>A time loop captured in image</v>
      </c>
    </row>
    <row r="1032" ht="15.75" customHeight="1">
      <c r="A1032" s="3" t="s">
        <v>7</v>
      </c>
      <c r="B1032" s="3" t="s">
        <v>34</v>
      </c>
      <c r="D1032" s="3" t="str">
        <f>IFERROR(__xludf.DUMMYFUNCTION("GOOGLETRANSLATE(A1032, ""nl"", ""en"")"),"Human Figures and Physicality")</f>
        <v>Human Figures and Physicality</v>
      </c>
      <c r="E1032" s="3" t="str">
        <f>IFERROR(__xludf.DUMMYFUNCTION("GOOGLETRANSLATE(B1032, ""nl"", ""en"")"),"Hands almost touching")</f>
        <v>Hands almost touching</v>
      </c>
    </row>
    <row r="1033" ht="15.75" customHeight="1">
      <c r="A1033" s="3" t="s">
        <v>24</v>
      </c>
      <c r="B1033" s="3" t="s">
        <v>32</v>
      </c>
      <c r="D1033" s="3" t="str">
        <f>IFERROR(__xludf.DUMMYFUNCTION("GOOGLETRANSLATE(A1033, ""nl"", ""en"")"),"Cosmic and Abstract Patterns")</f>
        <v>Cosmic and Abstract Patterns</v>
      </c>
      <c r="E1033" s="3" t="str">
        <f>IFERROR(__xludf.DUMMYFUNCTION("GOOGLETRANSLATE(B1033, ""nl"", ""en"")"),"A time loop captured in image")</f>
        <v>A time loop captured in image</v>
      </c>
    </row>
    <row r="1034" ht="15.75" customHeight="1">
      <c r="A1034" s="3" t="s">
        <v>4</v>
      </c>
      <c r="B1034" s="3" t="s">
        <v>35</v>
      </c>
      <c r="D1034" s="3" t="str">
        <f>IFERROR(__xludf.DUMMYFUNCTION("GOOGLETRANSLATE(A1034, ""nl"", ""en"")"),"Architectural and Structural Associations")</f>
        <v>Architectural and Structural Associations</v>
      </c>
      <c r="E1034" s="3" t="str">
        <f>IFERROR(__xludf.DUMMYFUNCTION("GOOGLETRANSLATE(B1034, ""nl"", ""en"")"),"A floating building without a base")</f>
        <v>A floating building without a base</v>
      </c>
    </row>
    <row r="1035" ht="15.75" customHeight="1">
      <c r="A1035" s="3" t="s">
        <v>15</v>
      </c>
      <c r="B1035" s="3" t="s">
        <v>46</v>
      </c>
      <c r="D1035" s="3" t="str">
        <f>IFERROR(__xludf.DUMMYFUNCTION("GOOGLETRANSLATE(A1035, ""nl"", ""en"")"),"Animals and Organic Forms")</f>
        <v>Animals and Organic Forms</v>
      </c>
      <c r="E1035" s="3" t="str">
        <f>IFERROR(__xludf.DUMMYFUNCTION("GOOGLETRANSLATE(B1035, ""nl"", ""en"")"),"A flock of fish moving as one")</f>
        <v>A flock of fish moving as one</v>
      </c>
    </row>
    <row r="1036" ht="15.75" customHeight="1">
      <c r="A1036" s="3" t="s">
        <v>9</v>
      </c>
      <c r="B1036" s="3" t="s">
        <v>57</v>
      </c>
      <c r="D1036" s="3" t="str">
        <f>IFERROR(__xludf.DUMMYFUNCTION("GOOGLETRANSLATE(A1036, ""nl"", ""en"")"),"Psychological and Emotional Interpretations")</f>
        <v>Psychological and Emotional Interpretations</v>
      </c>
      <c r="E1036" s="3" t="str">
        <f>IFERROR(__xludf.DUMMYFUNCTION("GOOGLETRANSLATE(B1036, ""nl"", ""en"")"),"An explosion of colours and feelings")</f>
        <v>An explosion of colours and feelings</v>
      </c>
    </row>
    <row r="1037" ht="15.75" customHeight="1">
      <c r="A1037" s="3" t="s">
        <v>12</v>
      </c>
      <c r="B1037" s="3" t="s">
        <v>19</v>
      </c>
      <c r="D1037" s="3" t="str">
        <f>IFERROR(__xludf.DUMMYFUNCTION("GOOGLETRANSLATE(A1037, ""nl"", ""en"")"),"Nature and Elements")</f>
        <v>Nature and Elements</v>
      </c>
      <c r="E1037" s="3" t="str">
        <f>IFERROR(__xludf.DUMMYFUNCTION("GOOGLETRANSLATE(B1037, ""nl"", ""en"")"),"A mountain range that seems to breathe")</f>
        <v>A mountain range that seems to breathe</v>
      </c>
    </row>
    <row r="1038" ht="15.75" customHeight="1">
      <c r="A1038" s="3" t="s">
        <v>24</v>
      </c>
      <c r="B1038" s="3" t="s">
        <v>33</v>
      </c>
      <c r="D1038" s="3" t="str">
        <f>IFERROR(__xludf.DUMMYFUNCTION("GOOGLETRANSLATE(A1038, ""nl"", ""en"")"),"Cosmic and Abstract Patterns")</f>
        <v>Cosmic and Abstract Patterns</v>
      </c>
      <c r="E1038" s="3" t="str">
        <f>IFERROR(__xludf.DUMMYFUNCTION("GOOGLETRANSLATE(B1038, ""nl"", ""en"")"),"An eye that repeats itself in endless patterns")</f>
        <v>An eye that repeats itself in endless patterns</v>
      </c>
    </row>
    <row r="1039" ht="15.75" customHeight="1">
      <c r="A1039" s="3" t="s">
        <v>12</v>
      </c>
      <c r="B1039" s="3" t="s">
        <v>13</v>
      </c>
      <c r="D1039" s="3" t="str">
        <f>IFERROR(__xludf.DUMMYFUNCTION("GOOGLETRANSLATE(A1039, ""nl"", ""en"")"),"Nature and Elements")</f>
        <v>Nature and Elements</v>
      </c>
      <c r="E1039" s="3" t="str">
        <f>IFERROR(__xludf.DUMMYFUNCTION("GOOGLETRANSLATE(B1039, ""nl"", ""en"")"),"A lightning strike in slow motion")</f>
        <v>A lightning strike in slow motion</v>
      </c>
    </row>
    <row r="1040" ht="15.75" customHeight="1">
      <c r="A1040" s="3" t="s">
        <v>7</v>
      </c>
      <c r="B1040" s="3" t="s">
        <v>28</v>
      </c>
      <c r="D1040" s="3" t="str">
        <f>IFERROR(__xludf.DUMMYFUNCTION("GOOGLETRANSLATE(A1040, ""nl"", ""en"")"),"Human Figures and Physicality")</f>
        <v>Human Figures and Physicality</v>
      </c>
      <c r="E1040" s="3" t="str">
        <f>IFERROR(__xludf.DUMMYFUNCTION("GOOGLETRANSLATE(B1040, ""nl"", ""en"")"),"A dancing silhouette")</f>
        <v>A dancing silhouette</v>
      </c>
    </row>
    <row r="1041" ht="15.75" customHeight="1">
      <c r="A1041" s="3" t="s">
        <v>12</v>
      </c>
      <c r="B1041" s="3" t="s">
        <v>30</v>
      </c>
      <c r="D1041" s="3" t="str">
        <f>IFERROR(__xludf.DUMMYFUNCTION("GOOGLETRANSLATE(A1041, ""nl"", ""en"")"),"Nature and Elements")</f>
        <v>Nature and Elements</v>
      </c>
      <c r="E1041" s="3" t="str">
        <f>IFERROR(__xludf.DUMMYFUNCTION("GOOGLETRANSLATE(B1041, ""nl"", ""en"")"),"Waves breaking in fractal patterns")</f>
        <v>Waves breaking in fractal patterns</v>
      </c>
    </row>
    <row r="1042" ht="15.75" customHeight="1">
      <c r="A1042" s="3" t="s">
        <v>12</v>
      </c>
      <c r="B1042" s="3" t="s">
        <v>51</v>
      </c>
      <c r="D1042" s="3" t="str">
        <f>IFERROR(__xludf.DUMMYFUNCTION("GOOGLETRANSLATE(A1042, ""nl"", ""en"")"),"Nature and Elements")</f>
        <v>Nature and Elements</v>
      </c>
      <c r="E1042" s="3" t="str">
        <f>IFERROR(__xludf.DUMMYFUNCTION("GOOGLETRANSLATE(B1042, ""nl"", ""en"")"),"An evaporating puddle of water")</f>
        <v>An evaporating puddle of water</v>
      </c>
    </row>
    <row r="1043" ht="15.75" customHeight="1">
      <c r="A1043" s="3" t="s">
        <v>9</v>
      </c>
      <c r="B1043" s="3" t="s">
        <v>10</v>
      </c>
      <c r="D1043" s="3" t="str">
        <f>IFERROR(__xludf.DUMMYFUNCTION("GOOGLETRANSLATE(A1043, ""nl"", ""en"")"),"Psychological and Emotional Interpretations")</f>
        <v>Psychological and Emotional Interpretations</v>
      </c>
      <c r="E1043" s="3" t="str">
        <f>IFERROR(__xludf.DUMMYFUNCTION("GOOGLETRANSLATE(B1043, ""nl"", ""en"")"),"A face transforming in light")</f>
        <v>A face transforming in light</v>
      </c>
    </row>
    <row r="1044" ht="15.75" customHeight="1">
      <c r="A1044" s="3" t="s">
        <v>7</v>
      </c>
      <c r="B1044" s="3" t="s">
        <v>41</v>
      </c>
      <c r="D1044" s="3" t="str">
        <f>IFERROR(__xludf.DUMMYFUNCTION("GOOGLETRANSLATE(A1044, ""nl"", ""en"")"),"Human Figures and Physicality")</f>
        <v>Human Figures and Physicality</v>
      </c>
      <c r="E1044" s="3" t="str">
        <f>IFERROR(__xludf.DUMMYFUNCTION("GOOGLETRANSLATE(B1044, ""nl"", ""en"")"),"A face that fades into abstraction")</f>
        <v>A face that fades into abstraction</v>
      </c>
    </row>
    <row r="1045" ht="15.75" customHeight="1">
      <c r="A1045" s="3" t="s">
        <v>15</v>
      </c>
      <c r="B1045" s="3" t="s">
        <v>45</v>
      </c>
      <c r="D1045" s="3" t="str">
        <f>IFERROR(__xludf.DUMMYFUNCTION("GOOGLETRANSLATE(A1045, ""nl"", ""en"")"),"Animals and Organic Forms")</f>
        <v>Animals and Organic Forms</v>
      </c>
      <c r="E1045" s="3" t="str">
        <f>IFERROR(__xludf.DUMMYFUNCTION("GOOGLETRANSLATE(B1045, ""nl"", ""en"")"),"A snake biting its own tail")</f>
        <v>A snake biting its own tail</v>
      </c>
    </row>
    <row r="1046" ht="15.75" customHeight="1">
      <c r="A1046" s="3" t="s">
        <v>9</v>
      </c>
      <c r="B1046" s="3" t="s">
        <v>17</v>
      </c>
      <c r="D1046" s="3" t="str">
        <f>IFERROR(__xludf.DUMMYFUNCTION("GOOGLETRANSLATE(A1046, ""nl"", ""en"")"),"Psychological and Emotional Interpretations")</f>
        <v>Psychological and Emotional Interpretations</v>
      </c>
      <c r="E1046" s="3" t="str">
        <f>IFERROR(__xludf.DUMMYFUNCTION("GOOGLETRANSLATE(B1046, ""nl"", ""en"")"),"A figure that seems to melt")</f>
        <v>A figure that seems to melt</v>
      </c>
    </row>
    <row r="1047" ht="15.75" customHeight="1">
      <c r="A1047" s="3" t="s">
        <v>24</v>
      </c>
      <c r="B1047" s="3" t="s">
        <v>25</v>
      </c>
      <c r="D1047" s="3" t="str">
        <f>IFERROR(__xludf.DUMMYFUNCTION("GOOGLETRANSLATE(A1047, ""nl"", ""en"")"),"Cosmic and Abstract Patterns")</f>
        <v>Cosmic and Abstract Patterns</v>
      </c>
      <c r="E1047" s="3" t="str">
        <f>IFERROR(__xludf.DUMMYFUNCTION("GOOGLETRANSLATE(B1047, ""nl"", ""en"")"),"A meteor shower dissolving into each other")</f>
        <v>A meteor shower dissolving into each other</v>
      </c>
    </row>
    <row r="1048" ht="15.75" customHeight="1">
      <c r="A1048" s="3" t="s">
        <v>9</v>
      </c>
      <c r="B1048" s="3" t="s">
        <v>11</v>
      </c>
      <c r="D1048" s="3" t="str">
        <f>IFERROR(__xludf.DUMMYFUNCTION("GOOGLETRANSLATE(A1048, ""nl"", ""en"")"),"Psychological and Emotional Interpretations")</f>
        <v>Psychological and Emotional Interpretations</v>
      </c>
      <c r="E1048" s="3" t="str">
        <f>IFERROR(__xludf.DUMMYFUNCTION("GOOGLETRANSLATE(B1048, ""nl"", ""en"")"),"An emotion captured in abstraction")</f>
        <v>An emotion captured in abstraction</v>
      </c>
    </row>
    <row r="1049" ht="15.75" customHeight="1">
      <c r="A1049" s="3" t="s">
        <v>15</v>
      </c>
      <c r="B1049" s="3" t="s">
        <v>22</v>
      </c>
      <c r="D1049" s="3" t="str">
        <f>IFERROR(__xludf.DUMMYFUNCTION("GOOGLETRANSLATE(A1049, ""nl"", ""en"")"),"Animals and Organic Forms")</f>
        <v>Animals and Organic Forms</v>
      </c>
      <c r="E1049" s="3" t="str">
        <f>IFERROR(__xludf.DUMMYFUNCTION("GOOGLETRANSLATE(B1049, ""nl"", ""en"")"),"A bird taking off")</f>
        <v>A bird taking off</v>
      </c>
    </row>
    <row r="1050" ht="15.75" customHeight="1">
      <c r="A1050" s="3" t="s">
        <v>4</v>
      </c>
      <c r="B1050" s="3" t="s">
        <v>35</v>
      </c>
      <c r="D1050" s="3" t="str">
        <f>IFERROR(__xludf.DUMMYFUNCTION("GOOGLETRANSLATE(A1050, ""nl"", ""en"")"),"Architectural and Structural Associations")</f>
        <v>Architectural and Structural Associations</v>
      </c>
      <c r="E1050" s="3" t="str">
        <f>IFERROR(__xludf.DUMMYFUNCTION("GOOGLETRANSLATE(B1050, ""nl"", ""en"")"),"A floating building without a base")</f>
        <v>A floating building without a base</v>
      </c>
    </row>
    <row r="1051" ht="15.75" customHeight="1">
      <c r="A1051" s="3" t="s">
        <v>7</v>
      </c>
      <c r="B1051" s="3" t="s">
        <v>41</v>
      </c>
      <c r="D1051" s="3" t="str">
        <f>IFERROR(__xludf.DUMMYFUNCTION("GOOGLETRANSLATE(A1051, ""nl"", ""en"")"),"Human Figures and Physicality")</f>
        <v>Human Figures and Physicality</v>
      </c>
      <c r="E1051" s="3" t="str">
        <f>IFERROR(__xludf.DUMMYFUNCTION("GOOGLETRANSLATE(B1051, ""nl"", ""en"")"),"A face that fades into abstraction")</f>
        <v>A face that fades into abstraction</v>
      </c>
    </row>
    <row r="1052" ht="15.75" customHeight="1">
      <c r="A1052" s="3" t="s">
        <v>15</v>
      </c>
      <c r="B1052" s="3" t="s">
        <v>38</v>
      </c>
      <c r="D1052" s="3" t="str">
        <f>IFERROR(__xludf.DUMMYFUNCTION("GOOGLETRANSLATE(A1052, ""nl"", ""en"")"),"Animals and Organic Forms")</f>
        <v>Animals and Organic Forms</v>
      </c>
      <c r="E1052" s="3" t="str">
        <f>IFERROR(__xludf.DUMMYFUNCTION("GOOGLETRANSLATE(B1052, ""nl"", ""en"")"),"A lion with an open mouth")</f>
        <v>A lion with an open mouth</v>
      </c>
    </row>
    <row r="1053" ht="15.75" customHeight="1">
      <c r="A1053" s="3" t="s">
        <v>4</v>
      </c>
      <c r="B1053" s="3" t="s">
        <v>21</v>
      </c>
      <c r="D1053" s="3" t="str">
        <f>IFERROR(__xludf.DUMMYFUNCTION("GOOGLETRANSLATE(A1053, ""nl"", ""en"")"),"Architectural and Structural Associations")</f>
        <v>Architectural and Structural Associations</v>
      </c>
      <c r="E1053" s="3" t="str">
        <f>IFERROR(__xludf.DUMMYFUNCTION("GOOGLETRANSLATE(B1053, ""nl"", ""en"")"),"A bridge that leads nowhere")</f>
        <v>A bridge that leads nowhere</v>
      </c>
    </row>
    <row r="1054" ht="15.75" customHeight="1">
      <c r="A1054" s="3" t="s">
        <v>9</v>
      </c>
      <c r="B1054" s="3" t="s">
        <v>57</v>
      </c>
      <c r="D1054" s="3" t="str">
        <f>IFERROR(__xludf.DUMMYFUNCTION("GOOGLETRANSLATE(A1054, ""nl"", ""en"")"),"Psychological and Emotional Interpretations")</f>
        <v>Psychological and Emotional Interpretations</v>
      </c>
      <c r="E1054" s="3" t="str">
        <f>IFERROR(__xludf.DUMMYFUNCTION("GOOGLETRANSLATE(B1054, ""nl"", ""en"")"),"An explosion of colours and feelings")</f>
        <v>An explosion of colours and feelings</v>
      </c>
    </row>
    <row r="1055" ht="15.75" customHeight="1">
      <c r="A1055" s="3" t="s">
        <v>7</v>
      </c>
      <c r="B1055" s="3" t="s">
        <v>53</v>
      </c>
      <c r="D1055" s="3" t="str">
        <f>IFERROR(__xludf.DUMMYFUNCTION("GOOGLETRANSLATE(A1055, ""nl"", ""en"")"),"Human Figures and Physicality")</f>
        <v>Human Figures and Physicality</v>
      </c>
      <c r="E1055" s="3" t="str">
        <f>IFERROR(__xludf.DUMMYFUNCTION("GOOGLETRANSLATE(B1055, ""nl"", ""en"")"),"A face that both smiles and cries")</f>
        <v>A face that both smiles and cries</v>
      </c>
    </row>
    <row r="1056" ht="15.75" customHeight="1">
      <c r="A1056" s="3" t="s">
        <v>15</v>
      </c>
      <c r="B1056" s="3" t="s">
        <v>16</v>
      </c>
      <c r="D1056" s="3" t="str">
        <f>IFERROR(__xludf.DUMMYFUNCTION("GOOGLETRANSLATE(A1056, ""nl"", ""en"")"),"Animals and Organic Forms")</f>
        <v>Animals and Organic Forms</v>
      </c>
      <c r="E1056" s="3" t="str">
        <f>IFERROR(__xludf.DUMMYFUNCTION("GOOGLETRANSLATE(B1056, ""nl"", ""en"")"),"A butterfly in transformation")</f>
        <v>A butterfly in transformation</v>
      </c>
    </row>
    <row r="1057" ht="15.75" customHeight="1">
      <c r="A1057" s="3" t="s">
        <v>24</v>
      </c>
      <c r="B1057" s="3" t="s">
        <v>48</v>
      </c>
      <c r="D1057" s="3" t="str">
        <f>IFERROR(__xludf.DUMMYFUNCTION("GOOGLETRANSLATE(A1057, ""nl"", ""en"")"),"Cosmic and Abstract Patterns")</f>
        <v>Cosmic and Abstract Patterns</v>
      </c>
      <c r="E1057" s="3" t="str">
        <f>IFERROR(__xludf.DUMMYFUNCTION("GOOGLETRANSLATE(B1057, ""nl"", ""en"")"),"A fractal that repeats itself")</f>
        <v>A fractal that repeats itself</v>
      </c>
    </row>
    <row r="1058" ht="15.75" customHeight="1">
      <c r="A1058" s="3" t="s">
        <v>9</v>
      </c>
      <c r="B1058" s="3" t="s">
        <v>11</v>
      </c>
      <c r="D1058" s="3" t="str">
        <f>IFERROR(__xludf.DUMMYFUNCTION("GOOGLETRANSLATE(A1058, ""nl"", ""en"")"),"Psychological and Emotional Interpretations")</f>
        <v>Psychological and Emotional Interpretations</v>
      </c>
      <c r="E1058" s="3" t="str">
        <f>IFERROR(__xludf.DUMMYFUNCTION("GOOGLETRANSLATE(B1058, ""nl"", ""en"")"),"An emotion captured in abstraction")</f>
        <v>An emotion captured in abstraction</v>
      </c>
    </row>
    <row r="1059" ht="15.75" customHeight="1">
      <c r="A1059" s="3" t="s">
        <v>9</v>
      </c>
      <c r="B1059" s="3" t="s">
        <v>17</v>
      </c>
      <c r="D1059" s="3" t="str">
        <f>IFERROR(__xludf.DUMMYFUNCTION("GOOGLETRANSLATE(A1059, ""nl"", ""en"")"),"Psychological and Emotional Interpretations")</f>
        <v>Psychological and Emotional Interpretations</v>
      </c>
      <c r="E1059" s="3" t="str">
        <f>IFERROR(__xludf.DUMMYFUNCTION("GOOGLETRANSLATE(B1059, ""nl"", ""en"")"),"A figure that seems to melt")</f>
        <v>A figure that seems to melt</v>
      </c>
    </row>
    <row r="1060" ht="15.75" customHeight="1">
      <c r="A1060" s="3" t="s">
        <v>12</v>
      </c>
      <c r="B1060" s="3" t="s">
        <v>23</v>
      </c>
      <c r="D1060" s="3" t="str">
        <f>IFERROR(__xludf.DUMMYFUNCTION("GOOGLETRANSLATE(A1060, ""nl"", ""en"")"),"Nature and Elements")</f>
        <v>Nature and Elements</v>
      </c>
      <c r="E1060" s="3" t="str">
        <f>IFERROR(__xludf.DUMMYFUNCTION("GOOGLETRANSLATE(B1060, ""nl"", ""en"")"),"A storm cloud splitting in two")</f>
        <v>A storm cloud splitting in two</v>
      </c>
    </row>
    <row r="1061" ht="15.75" customHeight="1">
      <c r="A1061" s="3" t="s">
        <v>15</v>
      </c>
      <c r="B1061" s="3" t="s">
        <v>16</v>
      </c>
      <c r="D1061" s="3" t="str">
        <f>IFERROR(__xludf.DUMMYFUNCTION("GOOGLETRANSLATE(A1061, ""nl"", ""en"")"),"Animals and Organic Forms")</f>
        <v>Animals and Organic Forms</v>
      </c>
      <c r="E1061" s="3" t="str">
        <f>IFERROR(__xludf.DUMMYFUNCTION("GOOGLETRANSLATE(B1061, ""nl"", ""en"")"),"A butterfly in transformation")</f>
        <v>A butterfly in transformation</v>
      </c>
    </row>
    <row r="1062" ht="15.75" customHeight="1">
      <c r="A1062" s="3" t="s">
        <v>7</v>
      </c>
      <c r="B1062" s="3" t="s">
        <v>41</v>
      </c>
      <c r="D1062" s="3" t="str">
        <f>IFERROR(__xludf.DUMMYFUNCTION("GOOGLETRANSLATE(A1062, ""nl"", ""en"")"),"Human Figures and Physicality")</f>
        <v>Human Figures and Physicality</v>
      </c>
      <c r="E1062" s="3" t="str">
        <f>IFERROR(__xludf.DUMMYFUNCTION("GOOGLETRANSLATE(B1062, ""nl"", ""en"")"),"A face that fades into abstraction")</f>
        <v>A face that fades into abstraction</v>
      </c>
    </row>
    <row r="1063" ht="15.75" customHeight="1">
      <c r="A1063" s="3" t="s">
        <v>9</v>
      </c>
      <c r="B1063" s="3" t="s">
        <v>10</v>
      </c>
      <c r="D1063" s="3" t="str">
        <f>IFERROR(__xludf.DUMMYFUNCTION("GOOGLETRANSLATE(A1063, ""nl"", ""en"")"),"Psychological and Emotional Interpretations")</f>
        <v>Psychological and Emotional Interpretations</v>
      </c>
      <c r="E1063" s="3" t="str">
        <f>IFERROR(__xludf.DUMMYFUNCTION("GOOGLETRANSLATE(B1063, ""nl"", ""en"")"),"A face transforming in light")</f>
        <v>A face transforming in light</v>
      </c>
    </row>
    <row r="1064" ht="15.75" customHeight="1">
      <c r="A1064" s="3" t="s">
        <v>24</v>
      </c>
      <c r="B1064" s="3" t="s">
        <v>32</v>
      </c>
      <c r="D1064" s="3" t="str">
        <f>IFERROR(__xludf.DUMMYFUNCTION("GOOGLETRANSLATE(A1064, ""nl"", ""en"")"),"Cosmic and Abstract Patterns")</f>
        <v>Cosmic and Abstract Patterns</v>
      </c>
      <c r="E1064" s="3" t="str">
        <f>IFERROR(__xludf.DUMMYFUNCTION("GOOGLETRANSLATE(B1064, ""nl"", ""en"")"),"A time loop captured in image")</f>
        <v>A time loop captured in image</v>
      </c>
    </row>
    <row r="1065" ht="15.75" customHeight="1">
      <c r="A1065" s="3" t="s">
        <v>12</v>
      </c>
      <c r="B1065" s="3" t="s">
        <v>18</v>
      </c>
      <c r="D1065" s="3" t="str">
        <f>IFERROR(__xludf.DUMMYFUNCTION("GOOGLETRANSLATE(A1065, ""nl"", ""en"")"),"Nature and Elements")</f>
        <v>Nature and Elements</v>
      </c>
      <c r="E1065" s="3" t="str">
        <f>IFERROR(__xludf.DUMMYFUNCTION("GOOGLETRANSLATE(B1065, ""nl"", ""en"")"),"A tree with endless branches")</f>
        <v>A tree with endless branches</v>
      </c>
    </row>
    <row r="1066" ht="15.75" customHeight="1">
      <c r="A1066" s="3" t="s">
        <v>9</v>
      </c>
      <c r="B1066" s="3" t="s">
        <v>37</v>
      </c>
      <c r="D1066" s="3" t="str">
        <f>IFERROR(__xludf.DUMMYFUNCTION("GOOGLETRANSLATE(A1066, ""nl"", ""en"")"),"Psychological and Emotional Interpretations")</f>
        <v>Psychological and Emotional Interpretations</v>
      </c>
      <c r="E1066" s="3" t="str">
        <f>IFERROR(__xludf.DUMMYFUNCTION("GOOGLETRANSLATE(B1066, ""nl"", ""en"")"),"A figure looking through itself")</f>
        <v>A figure looking through itself</v>
      </c>
    </row>
    <row r="1067" ht="15.75" customHeight="1">
      <c r="A1067" s="3" t="s">
        <v>12</v>
      </c>
      <c r="B1067" s="3" t="s">
        <v>19</v>
      </c>
      <c r="D1067" s="3" t="str">
        <f>IFERROR(__xludf.DUMMYFUNCTION("GOOGLETRANSLATE(A1067, ""nl"", ""en"")"),"Nature and Elements")</f>
        <v>Nature and Elements</v>
      </c>
      <c r="E1067" s="3" t="str">
        <f>IFERROR(__xludf.DUMMYFUNCTION("GOOGLETRANSLATE(B1067, ""nl"", ""en"")"),"A mountain range that seems to breathe")</f>
        <v>A mountain range that seems to breathe</v>
      </c>
    </row>
    <row r="1068" ht="15.75" customHeight="1">
      <c r="A1068" s="3" t="s">
        <v>15</v>
      </c>
      <c r="B1068" s="3" t="s">
        <v>16</v>
      </c>
      <c r="D1068" s="3" t="str">
        <f>IFERROR(__xludf.DUMMYFUNCTION("GOOGLETRANSLATE(A1068, ""nl"", ""en"")"),"Animals and Organic Forms")</f>
        <v>Animals and Organic Forms</v>
      </c>
      <c r="E1068" s="3" t="str">
        <f>IFERROR(__xludf.DUMMYFUNCTION("GOOGLETRANSLATE(B1068, ""nl"", ""en"")"),"A butterfly in transformation")</f>
        <v>A butterfly in transformation</v>
      </c>
    </row>
    <row r="1069" ht="15.75" customHeight="1">
      <c r="A1069" s="3" t="s">
        <v>9</v>
      </c>
      <c r="B1069" s="3" t="s">
        <v>17</v>
      </c>
      <c r="D1069" s="3" t="str">
        <f>IFERROR(__xludf.DUMMYFUNCTION("GOOGLETRANSLATE(A1069, ""nl"", ""en"")"),"Psychological and Emotional Interpretations")</f>
        <v>Psychological and Emotional Interpretations</v>
      </c>
      <c r="E1069" s="3" t="str">
        <f>IFERROR(__xludf.DUMMYFUNCTION("GOOGLETRANSLATE(B1069, ""nl"", ""en"")"),"A figure that seems to melt")</f>
        <v>A figure that seems to melt</v>
      </c>
    </row>
    <row r="1070" ht="15.75" customHeight="1">
      <c r="A1070" s="3" t="s">
        <v>4</v>
      </c>
      <c r="B1070" s="3" t="s">
        <v>55</v>
      </c>
      <c r="D1070" s="3" t="str">
        <f>IFERROR(__xludf.DUMMYFUNCTION("GOOGLETRANSLATE(A1070, ""nl"", ""en"")"),"Architectural and Structural Associations")</f>
        <v>Architectural and Structural Associations</v>
      </c>
      <c r="E1070" s="3" t="str">
        <f>IFERROR(__xludf.DUMMYFUNCTION("GOOGLETRANSLATE(B1070, ""nl"", ""en"")"),"A prism that splits light into colors")</f>
        <v>A prism that splits light into colors</v>
      </c>
    </row>
    <row r="1071" ht="15.75" customHeight="1">
      <c r="A1071" s="3" t="s">
        <v>24</v>
      </c>
      <c r="B1071" s="3" t="s">
        <v>29</v>
      </c>
      <c r="D1071" s="3" t="str">
        <f>IFERROR(__xludf.DUMMYFUNCTION("GOOGLETRANSLATE(A1071, ""nl"", ""en"")"),"Cosmic and Abstract Patterns")</f>
        <v>Cosmic and Abstract Patterns</v>
      </c>
      <c r="E1071" s="3" t="str">
        <f>IFERROR(__xludf.DUMMYFUNCTION("GOOGLETRANSLATE(B1071, ""nl"", ""en"")"),"A galaxy unfolding")</f>
        <v>A galaxy unfolding</v>
      </c>
    </row>
    <row r="1072" ht="15.75" customHeight="1">
      <c r="A1072" s="3" t="s">
        <v>9</v>
      </c>
      <c r="B1072" s="3" t="s">
        <v>11</v>
      </c>
      <c r="D1072" s="3" t="str">
        <f>IFERROR(__xludf.DUMMYFUNCTION("GOOGLETRANSLATE(A1072, ""nl"", ""en"")"),"Psychological and Emotional Interpretations")</f>
        <v>Psychological and Emotional Interpretations</v>
      </c>
      <c r="E1072" s="3" t="str">
        <f>IFERROR(__xludf.DUMMYFUNCTION("GOOGLETRANSLATE(B1072, ""nl"", ""en"")"),"An emotion captured in abstraction")</f>
        <v>An emotion captured in abstraction</v>
      </c>
    </row>
    <row r="1073" ht="15.75" customHeight="1">
      <c r="A1073" s="3" t="s">
        <v>9</v>
      </c>
      <c r="B1073" s="3" t="s">
        <v>42</v>
      </c>
      <c r="D1073" s="3" t="str">
        <f>IFERROR(__xludf.DUMMYFUNCTION("GOOGLETRANSLATE(A1073, ""nl"", ""en"")"),"Psychological and Emotional Interpretations")</f>
        <v>Psychological and Emotional Interpretations</v>
      </c>
      <c r="E1073" s="3" t="str">
        <f>IFERROR(__xludf.DUMMYFUNCTION("GOOGLETRANSLATE(B1073, ""nl"", ""en"")"),"A mask that slowly disappears")</f>
        <v>A mask that slowly disappears</v>
      </c>
    </row>
    <row r="1074" ht="15.75" customHeight="1">
      <c r="A1074" s="3" t="s">
        <v>9</v>
      </c>
      <c r="B1074" s="3" t="s">
        <v>10</v>
      </c>
      <c r="D1074" s="3" t="str">
        <f>IFERROR(__xludf.DUMMYFUNCTION("GOOGLETRANSLATE(A1074, ""nl"", ""en"")"),"Psychological and Emotional Interpretations")</f>
        <v>Psychological and Emotional Interpretations</v>
      </c>
      <c r="E1074" s="3" t="str">
        <f>IFERROR(__xludf.DUMMYFUNCTION("GOOGLETRANSLATE(B1074, ""nl"", ""en"")"),"A face transforming in light")</f>
        <v>A face transforming in light</v>
      </c>
    </row>
    <row r="1075" ht="15.75" customHeight="1">
      <c r="A1075" s="3" t="s">
        <v>12</v>
      </c>
      <c r="B1075" s="3" t="s">
        <v>19</v>
      </c>
      <c r="D1075" s="3" t="str">
        <f>IFERROR(__xludf.DUMMYFUNCTION("GOOGLETRANSLATE(A1075, ""nl"", ""en"")"),"Nature and Elements")</f>
        <v>Nature and Elements</v>
      </c>
      <c r="E1075" s="3" t="str">
        <f>IFERROR(__xludf.DUMMYFUNCTION("GOOGLETRANSLATE(B1075, ""nl"", ""en"")"),"A mountain range that seems to breathe")</f>
        <v>A mountain range that seems to breathe</v>
      </c>
    </row>
    <row r="1076" ht="15.75" customHeight="1">
      <c r="A1076" s="3" t="s">
        <v>7</v>
      </c>
      <c r="B1076" s="3" t="s">
        <v>34</v>
      </c>
      <c r="D1076" s="3" t="str">
        <f>IFERROR(__xludf.DUMMYFUNCTION("GOOGLETRANSLATE(A1076, ""nl"", ""en"")"),"Human Figures and Physicality")</f>
        <v>Human Figures and Physicality</v>
      </c>
      <c r="E1076" s="3" t="str">
        <f>IFERROR(__xludf.DUMMYFUNCTION("GOOGLETRANSLATE(B1076, ""nl"", ""en"")"),"Hands almost touching")</f>
        <v>Hands almost touching</v>
      </c>
    </row>
    <row r="1077" ht="15.75" customHeight="1">
      <c r="A1077" s="3" t="s">
        <v>7</v>
      </c>
      <c r="B1077" s="3" t="s">
        <v>40</v>
      </c>
      <c r="D1077" s="3" t="str">
        <f>IFERROR(__xludf.DUMMYFUNCTION("GOOGLETRANSLATE(A1077, ""nl"", ""en"")"),"Human Figures and Physicality")</f>
        <v>Human Figures and Physicality</v>
      </c>
      <c r="E1077" s="3" t="str">
        <f>IFERROR(__xludf.DUMMYFUNCTION("GOOGLETRANSLATE(B1077, ""nl"", ""en"")"),"A figure who is withdrawn into himself")</f>
        <v>A figure who is withdrawn into himself</v>
      </c>
    </row>
    <row r="1078" ht="15.75" customHeight="1">
      <c r="A1078" s="3" t="s">
        <v>7</v>
      </c>
      <c r="B1078" s="3" t="s">
        <v>28</v>
      </c>
      <c r="D1078" s="3" t="str">
        <f>IFERROR(__xludf.DUMMYFUNCTION("GOOGLETRANSLATE(A1078, ""nl"", ""en"")"),"Human Figures and Physicality")</f>
        <v>Human Figures and Physicality</v>
      </c>
      <c r="E1078" s="3" t="str">
        <f>IFERROR(__xludf.DUMMYFUNCTION("GOOGLETRANSLATE(B1078, ""nl"", ""en"")"),"A dancing silhouette")</f>
        <v>A dancing silhouette</v>
      </c>
    </row>
    <row r="1079" ht="15.75" customHeight="1">
      <c r="A1079" s="3" t="s">
        <v>7</v>
      </c>
      <c r="B1079" s="3" t="s">
        <v>28</v>
      </c>
      <c r="D1079" s="3" t="str">
        <f>IFERROR(__xludf.DUMMYFUNCTION("GOOGLETRANSLATE(A1079, ""nl"", ""en"")"),"Human Figures and Physicality")</f>
        <v>Human Figures and Physicality</v>
      </c>
      <c r="E1079" s="3" t="str">
        <f>IFERROR(__xludf.DUMMYFUNCTION("GOOGLETRANSLATE(B1079, ""nl"", ""en"")"),"A dancing silhouette")</f>
        <v>A dancing silhouette</v>
      </c>
    </row>
    <row r="1080" ht="15.75" customHeight="1">
      <c r="A1080" s="3" t="s">
        <v>9</v>
      </c>
      <c r="B1080" s="3" t="s">
        <v>10</v>
      </c>
      <c r="D1080" s="3" t="str">
        <f>IFERROR(__xludf.DUMMYFUNCTION("GOOGLETRANSLATE(A1080, ""nl"", ""en"")"),"Psychological and Emotional Interpretations")</f>
        <v>Psychological and Emotional Interpretations</v>
      </c>
      <c r="E1080" s="3" t="str">
        <f>IFERROR(__xludf.DUMMYFUNCTION("GOOGLETRANSLATE(B1080, ""nl"", ""en"")"),"A face transforming in light")</f>
        <v>A face transforming in light</v>
      </c>
    </row>
    <row r="1081" ht="15.75" customHeight="1">
      <c r="A1081" s="3" t="s">
        <v>9</v>
      </c>
      <c r="B1081" s="3" t="s">
        <v>11</v>
      </c>
      <c r="D1081" s="3" t="str">
        <f>IFERROR(__xludf.DUMMYFUNCTION("GOOGLETRANSLATE(A1081, ""nl"", ""en"")"),"Psychological and Emotional Interpretations")</f>
        <v>Psychological and Emotional Interpretations</v>
      </c>
      <c r="E1081" s="3" t="str">
        <f>IFERROR(__xludf.DUMMYFUNCTION("GOOGLETRANSLATE(B1081, ""nl"", ""en"")"),"An emotion captured in abstraction")</f>
        <v>An emotion captured in abstraction</v>
      </c>
    </row>
    <row r="1082" ht="15.75" customHeight="1">
      <c r="A1082" s="3" t="s">
        <v>7</v>
      </c>
      <c r="B1082" s="3" t="s">
        <v>28</v>
      </c>
      <c r="D1082" s="3" t="str">
        <f>IFERROR(__xludf.DUMMYFUNCTION("GOOGLETRANSLATE(A1082, ""nl"", ""en"")"),"Human Figures and Physicality")</f>
        <v>Human Figures and Physicality</v>
      </c>
      <c r="E1082" s="3" t="str">
        <f>IFERROR(__xludf.DUMMYFUNCTION("GOOGLETRANSLATE(B1082, ""nl"", ""en"")"),"A dancing silhouette")</f>
        <v>A dancing silhouette</v>
      </c>
    </row>
    <row r="1083" ht="15.75" customHeight="1">
      <c r="A1083" s="3" t="s">
        <v>7</v>
      </c>
      <c r="B1083" s="3" t="s">
        <v>41</v>
      </c>
      <c r="D1083" s="3" t="str">
        <f>IFERROR(__xludf.DUMMYFUNCTION("GOOGLETRANSLATE(A1083, ""nl"", ""en"")"),"Human Figures and Physicality")</f>
        <v>Human Figures and Physicality</v>
      </c>
      <c r="E1083" s="3" t="str">
        <f>IFERROR(__xludf.DUMMYFUNCTION("GOOGLETRANSLATE(B1083, ""nl"", ""en"")"),"A face that fades into abstraction")</f>
        <v>A face that fades into abstraction</v>
      </c>
    </row>
    <row r="1084" ht="15.75" customHeight="1">
      <c r="A1084" s="3" t="s">
        <v>15</v>
      </c>
      <c r="B1084" s="3" t="s">
        <v>16</v>
      </c>
      <c r="D1084" s="3" t="str">
        <f>IFERROR(__xludf.DUMMYFUNCTION("GOOGLETRANSLATE(A1084, ""nl"", ""en"")"),"Animals and Organic Forms")</f>
        <v>Animals and Organic Forms</v>
      </c>
      <c r="E1084" s="3" t="str">
        <f>IFERROR(__xludf.DUMMYFUNCTION("GOOGLETRANSLATE(B1084, ""nl"", ""en"")"),"A butterfly in transformation")</f>
        <v>A butterfly in transformation</v>
      </c>
    </row>
    <row r="1085" ht="15.75" customHeight="1">
      <c r="A1085" s="3" t="s">
        <v>4</v>
      </c>
      <c r="B1085" s="3" t="s">
        <v>21</v>
      </c>
      <c r="D1085" s="3" t="str">
        <f>IFERROR(__xludf.DUMMYFUNCTION("GOOGLETRANSLATE(A1085, ""nl"", ""en"")"),"Architectural and Structural Associations")</f>
        <v>Architectural and Structural Associations</v>
      </c>
      <c r="E1085" s="3" t="str">
        <f>IFERROR(__xludf.DUMMYFUNCTION("GOOGLETRANSLATE(B1085, ""nl"", ""en"")"),"A bridge that leads nowhere")</f>
        <v>A bridge that leads nowhere</v>
      </c>
    </row>
    <row r="1086" ht="15.75" customHeight="1">
      <c r="A1086" s="3" t="s">
        <v>24</v>
      </c>
      <c r="B1086" s="3" t="s">
        <v>48</v>
      </c>
      <c r="D1086" s="3" t="str">
        <f>IFERROR(__xludf.DUMMYFUNCTION("GOOGLETRANSLATE(A1086, ""nl"", ""en"")"),"Cosmic and Abstract Patterns")</f>
        <v>Cosmic and Abstract Patterns</v>
      </c>
      <c r="E1086" s="3" t="str">
        <f>IFERROR(__xludf.DUMMYFUNCTION("GOOGLETRANSLATE(B1086, ""nl"", ""en"")"),"A fractal that repeats itself")</f>
        <v>A fractal that repeats itself</v>
      </c>
    </row>
    <row r="1087" ht="15.75" customHeight="1">
      <c r="A1087" s="3" t="s">
        <v>4</v>
      </c>
      <c r="B1087" s="3" t="s">
        <v>20</v>
      </c>
      <c r="D1087" s="3" t="str">
        <f>IFERROR(__xludf.DUMMYFUNCTION("GOOGLETRANSLATE(A1087, ""nl"", ""en"")"),"Architectural and Structural Associations")</f>
        <v>Architectural and Structural Associations</v>
      </c>
      <c r="E1087" s="3" t="str">
        <f>IFERROR(__xludf.DUMMYFUNCTION("GOOGLETRANSLATE(B1087, ""nl"", ""en"")"),"A tower that grows by itself")</f>
        <v>A tower that grows by itself</v>
      </c>
    </row>
    <row r="1088" ht="15.75" customHeight="1">
      <c r="A1088" s="3" t="s">
        <v>12</v>
      </c>
      <c r="B1088" s="3" t="s">
        <v>51</v>
      </c>
      <c r="D1088" s="3" t="str">
        <f>IFERROR(__xludf.DUMMYFUNCTION("GOOGLETRANSLATE(A1088, ""nl"", ""en"")"),"Nature and Elements")</f>
        <v>Nature and Elements</v>
      </c>
      <c r="E1088" s="3" t="str">
        <f>IFERROR(__xludf.DUMMYFUNCTION("GOOGLETRANSLATE(B1088, ""nl"", ""en"")"),"An evaporating puddle of water")</f>
        <v>An evaporating puddle of water</v>
      </c>
    </row>
    <row r="1089" ht="15.75" customHeight="1">
      <c r="A1089" s="3" t="s">
        <v>15</v>
      </c>
      <c r="B1089" s="3" t="s">
        <v>22</v>
      </c>
      <c r="D1089" s="3" t="str">
        <f>IFERROR(__xludf.DUMMYFUNCTION("GOOGLETRANSLATE(A1089, ""nl"", ""en"")"),"Animals and Organic Forms")</f>
        <v>Animals and Organic Forms</v>
      </c>
      <c r="E1089" s="3" t="str">
        <f>IFERROR(__xludf.DUMMYFUNCTION("GOOGLETRANSLATE(B1089, ""nl"", ""en"")"),"A bird taking off")</f>
        <v>A bird taking off</v>
      </c>
    </row>
    <row r="1090" ht="15.75" customHeight="1">
      <c r="A1090" s="3" t="s">
        <v>15</v>
      </c>
      <c r="B1090" s="3" t="s">
        <v>26</v>
      </c>
      <c r="D1090" s="3" t="str">
        <f>IFERROR(__xludf.DUMMYFUNCTION("GOOGLETRANSLATE(A1090, ""nl"", ""en"")"),"Animals and Organic Forms")</f>
        <v>Animals and Organic Forms</v>
      </c>
      <c r="E1090" s="3" t="str">
        <f>IFERROR(__xludf.DUMMYFUNCTION("GOOGLETRANSLATE(B1090, ""nl"", ""en"")"),"A frog preparing to jump")</f>
        <v>A frog preparing to jump</v>
      </c>
    </row>
    <row r="1091" ht="15.75" customHeight="1">
      <c r="A1091" s="3" t="s">
        <v>7</v>
      </c>
      <c r="B1091" s="3" t="s">
        <v>40</v>
      </c>
      <c r="D1091" s="3" t="str">
        <f>IFERROR(__xludf.DUMMYFUNCTION("GOOGLETRANSLATE(A1091, ""nl"", ""en"")"),"Human Figures and Physicality")</f>
        <v>Human Figures and Physicality</v>
      </c>
      <c r="E1091" s="3" t="str">
        <f>IFERROR(__xludf.DUMMYFUNCTION("GOOGLETRANSLATE(B1091, ""nl"", ""en"")"),"A figure who is withdrawn into himself")</f>
        <v>A figure who is withdrawn into himself</v>
      </c>
    </row>
    <row r="1092" ht="15.75" customHeight="1">
      <c r="A1092" s="3" t="s">
        <v>4</v>
      </c>
      <c r="B1092" s="3" t="s">
        <v>44</v>
      </c>
      <c r="D1092" s="3" t="str">
        <f>IFERROR(__xludf.DUMMYFUNCTION("GOOGLETRANSLATE(A1092, ""nl"", ""en"")"),"Architectural and Structural Associations")</f>
        <v>Architectural and Structural Associations</v>
      </c>
      <c r="E1092" s="3" t="str">
        <f>IFERROR(__xludf.DUMMYFUNCTION("GOOGLETRANSLATE(B1092, ""nl"", ""en"")"),"A structure that pulsates in waves")</f>
        <v>A structure that pulsates in waves</v>
      </c>
    </row>
    <row r="1093" ht="15.75" customHeight="1">
      <c r="A1093" s="3" t="s">
        <v>9</v>
      </c>
      <c r="B1093" s="3" t="s">
        <v>37</v>
      </c>
      <c r="D1093" s="3" t="str">
        <f>IFERROR(__xludf.DUMMYFUNCTION("GOOGLETRANSLATE(A1093, ""nl"", ""en"")"),"Psychological and Emotional Interpretations")</f>
        <v>Psychological and Emotional Interpretations</v>
      </c>
      <c r="E1093" s="3" t="str">
        <f>IFERROR(__xludf.DUMMYFUNCTION("GOOGLETRANSLATE(B1093, ""nl"", ""en"")"),"A figure looking through itself")</f>
        <v>A figure looking through itself</v>
      </c>
    </row>
    <row r="1094" ht="15.75" customHeight="1">
      <c r="A1094" s="3" t="s">
        <v>15</v>
      </c>
      <c r="B1094" s="3" t="s">
        <v>38</v>
      </c>
      <c r="D1094" s="3" t="str">
        <f>IFERROR(__xludf.DUMMYFUNCTION("GOOGLETRANSLATE(A1094, ""nl"", ""en"")"),"Animals and Organic Forms")</f>
        <v>Animals and Organic Forms</v>
      </c>
      <c r="E1094" s="3" t="str">
        <f>IFERROR(__xludf.DUMMYFUNCTION("GOOGLETRANSLATE(B1094, ""nl"", ""en"")"),"A lion with an open mouth")</f>
        <v>A lion with an open mouth</v>
      </c>
    </row>
    <row r="1095" ht="15.75" customHeight="1">
      <c r="A1095" s="3" t="s">
        <v>7</v>
      </c>
      <c r="B1095" s="3" t="s">
        <v>28</v>
      </c>
      <c r="D1095" s="3" t="str">
        <f>IFERROR(__xludf.DUMMYFUNCTION("GOOGLETRANSLATE(A1095, ""nl"", ""en"")"),"Human Figures and Physicality")</f>
        <v>Human Figures and Physicality</v>
      </c>
      <c r="E1095" s="3" t="str">
        <f>IFERROR(__xludf.DUMMYFUNCTION("GOOGLETRANSLATE(B1095, ""nl"", ""en"")"),"A dancing silhouette")</f>
        <v>A dancing silhouette</v>
      </c>
    </row>
    <row r="1096" ht="15.75" customHeight="1">
      <c r="A1096" s="3" t="s">
        <v>7</v>
      </c>
      <c r="B1096" s="3" t="s">
        <v>53</v>
      </c>
      <c r="D1096" s="3" t="str">
        <f>IFERROR(__xludf.DUMMYFUNCTION("GOOGLETRANSLATE(A1096, ""nl"", ""en"")"),"Human Figures and Physicality")</f>
        <v>Human Figures and Physicality</v>
      </c>
      <c r="E1096" s="3" t="str">
        <f>IFERROR(__xludf.DUMMYFUNCTION("GOOGLETRANSLATE(B1096, ""nl"", ""en"")"),"A face that both smiles and cries")</f>
        <v>A face that both smiles and cries</v>
      </c>
    </row>
    <row r="1097" ht="15.75" customHeight="1">
      <c r="A1097" s="3" t="s">
        <v>4</v>
      </c>
      <c r="B1097" s="3" t="s">
        <v>21</v>
      </c>
      <c r="D1097" s="3" t="str">
        <f>IFERROR(__xludf.DUMMYFUNCTION("GOOGLETRANSLATE(A1097, ""nl"", ""en"")"),"Architectural and Structural Associations")</f>
        <v>Architectural and Structural Associations</v>
      </c>
      <c r="E1097" s="3" t="str">
        <f>IFERROR(__xludf.DUMMYFUNCTION("GOOGLETRANSLATE(B1097, ""nl"", ""en"")"),"A bridge that leads nowhere")</f>
        <v>A bridge that leads nowhere</v>
      </c>
    </row>
    <row r="1098" ht="15.75" customHeight="1">
      <c r="A1098" s="3" t="s">
        <v>7</v>
      </c>
      <c r="B1098" s="3" t="s">
        <v>8</v>
      </c>
      <c r="D1098" s="3" t="str">
        <f>IFERROR(__xludf.DUMMYFUNCTION("GOOGLETRANSLATE(A1098, ""nl"", ""en"")"),"Human Figures and Physicality")</f>
        <v>Human Figures and Physicality</v>
      </c>
      <c r="E1098" s="3" t="str">
        <f>IFERROR(__xludf.DUMMYFUNCTION("GOOGLETRANSLATE(B1098, ""nl"", ""en"")"),"Two figures mirroring each other")</f>
        <v>Two figures mirroring each other</v>
      </c>
    </row>
    <row r="1099" ht="15.75" customHeight="1">
      <c r="A1099" s="3" t="s">
        <v>9</v>
      </c>
      <c r="B1099" s="3" t="s">
        <v>57</v>
      </c>
      <c r="D1099" s="3" t="str">
        <f>IFERROR(__xludf.DUMMYFUNCTION("GOOGLETRANSLATE(A1099, ""nl"", ""en"")"),"Psychological and Emotional Interpretations")</f>
        <v>Psychological and Emotional Interpretations</v>
      </c>
      <c r="E1099" s="3" t="str">
        <f>IFERROR(__xludf.DUMMYFUNCTION("GOOGLETRANSLATE(B1099, ""nl"", ""en"")"),"An explosion of colours and feelings")</f>
        <v>An explosion of colours and feelings</v>
      </c>
    </row>
    <row r="1100" ht="15.75" customHeight="1">
      <c r="A1100" s="3" t="s">
        <v>15</v>
      </c>
      <c r="B1100" s="3" t="s">
        <v>50</v>
      </c>
      <c r="D1100" s="3" t="str">
        <f>IFERROR(__xludf.DUMMYFUNCTION("GOOGLETRANSLATE(A1100, ""nl"", ""en"")"),"Animals and Organic Forms")</f>
        <v>Animals and Organic Forms</v>
      </c>
      <c r="E1100" s="3" t="str">
        <f>IFERROR(__xludf.DUMMYFUNCTION("GOOGLETRANSLATE(B1100, ""nl"", ""en"")"),"A squid with extended tentacles")</f>
        <v>A squid with extended tentacles</v>
      </c>
    </row>
    <row r="1101" ht="15.75" customHeight="1">
      <c r="A1101" s="3" t="s">
        <v>7</v>
      </c>
      <c r="B1101" s="3" t="s">
        <v>34</v>
      </c>
      <c r="D1101" s="3" t="str">
        <f>IFERROR(__xludf.DUMMYFUNCTION("GOOGLETRANSLATE(A1101, ""nl"", ""en"")"),"Human Figures and Physicality")</f>
        <v>Human Figures and Physicality</v>
      </c>
      <c r="E1101" s="3" t="str">
        <f>IFERROR(__xludf.DUMMYFUNCTION("GOOGLETRANSLATE(B1101, ""nl"", ""en"")"),"Hands almost touching")</f>
        <v>Hands almost touching</v>
      </c>
    </row>
    <row r="1102" ht="15.75" customHeight="1">
      <c r="A1102" s="3" t="s">
        <v>24</v>
      </c>
      <c r="B1102" s="3" t="s">
        <v>54</v>
      </c>
      <c r="D1102" s="3" t="str">
        <f>IFERROR(__xludf.DUMMYFUNCTION("GOOGLETRANSLATE(A1102, ""nl"", ""en"")"),"Cosmic and Abstract Patterns")</f>
        <v>Cosmic and Abstract Patterns</v>
      </c>
      <c r="E1102" s="3" t="str">
        <f>IFERROR(__xludf.DUMMYFUNCTION("GOOGLETRANSLATE(B1102, ""nl"", ""en"")"),"A quantum particle in superposition")</f>
        <v>A quantum particle in superposition</v>
      </c>
    </row>
    <row r="1103" ht="15.75" customHeight="1">
      <c r="A1103" s="3" t="s">
        <v>15</v>
      </c>
      <c r="B1103" s="3" t="s">
        <v>38</v>
      </c>
      <c r="D1103" s="3" t="str">
        <f>IFERROR(__xludf.DUMMYFUNCTION("GOOGLETRANSLATE(A1103, ""nl"", ""en"")"),"Animals and Organic Forms")</f>
        <v>Animals and Organic Forms</v>
      </c>
      <c r="E1103" s="3" t="str">
        <f>IFERROR(__xludf.DUMMYFUNCTION("GOOGLETRANSLATE(B1103, ""nl"", ""en"")"),"A lion with an open mouth")</f>
        <v>A lion with an open mouth</v>
      </c>
    </row>
    <row r="1104" ht="15.75" customHeight="1">
      <c r="A1104" s="3" t="s">
        <v>12</v>
      </c>
      <c r="B1104" s="3" t="s">
        <v>30</v>
      </c>
      <c r="D1104" s="3" t="str">
        <f>IFERROR(__xludf.DUMMYFUNCTION("GOOGLETRANSLATE(A1104, ""nl"", ""en"")"),"Nature and Elements")</f>
        <v>Nature and Elements</v>
      </c>
      <c r="E1104" s="3" t="str">
        <f>IFERROR(__xludf.DUMMYFUNCTION("GOOGLETRANSLATE(B1104, ""nl"", ""en"")"),"Waves breaking in fractal patterns")</f>
        <v>Waves breaking in fractal patterns</v>
      </c>
    </row>
    <row r="1105" ht="15.75" customHeight="1">
      <c r="A1105" s="3" t="s">
        <v>4</v>
      </c>
      <c r="B1105" s="3" t="s">
        <v>21</v>
      </c>
      <c r="D1105" s="3" t="str">
        <f>IFERROR(__xludf.DUMMYFUNCTION("GOOGLETRANSLATE(A1105, ""nl"", ""en"")"),"Architectural and Structural Associations")</f>
        <v>Architectural and Structural Associations</v>
      </c>
      <c r="E1105" s="3" t="str">
        <f>IFERROR(__xludf.DUMMYFUNCTION("GOOGLETRANSLATE(B1105, ""nl"", ""en"")"),"A bridge that leads nowhere")</f>
        <v>A bridge that leads nowhere</v>
      </c>
    </row>
    <row r="1106" ht="15.75" customHeight="1">
      <c r="A1106" s="3" t="s">
        <v>7</v>
      </c>
      <c r="B1106" s="3" t="s">
        <v>8</v>
      </c>
      <c r="D1106" s="3" t="str">
        <f>IFERROR(__xludf.DUMMYFUNCTION("GOOGLETRANSLATE(A1106, ""nl"", ""en"")"),"Human Figures and Physicality")</f>
        <v>Human Figures and Physicality</v>
      </c>
      <c r="E1106" s="3" t="str">
        <f>IFERROR(__xludf.DUMMYFUNCTION("GOOGLETRANSLATE(B1106, ""nl"", ""en"")"),"Two figures mirroring each other")</f>
        <v>Two figures mirroring each other</v>
      </c>
    </row>
    <row r="1107" ht="15.75" customHeight="1">
      <c r="A1107" s="3" t="s">
        <v>4</v>
      </c>
      <c r="B1107" s="3" t="s">
        <v>55</v>
      </c>
      <c r="D1107" s="3" t="str">
        <f>IFERROR(__xludf.DUMMYFUNCTION("GOOGLETRANSLATE(A1107, ""nl"", ""en"")"),"Architectural and Structural Associations")</f>
        <v>Architectural and Structural Associations</v>
      </c>
      <c r="E1107" s="3" t="str">
        <f>IFERROR(__xludf.DUMMYFUNCTION("GOOGLETRANSLATE(B1107, ""nl"", ""en"")"),"A prism that splits light into colors")</f>
        <v>A prism that splits light into colors</v>
      </c>
    </row>
    <row r="1108" ht="15.75" customHeight="1">
      <c r="A1108" s="3" t="s">
        <v>12</v>
      </c>
      <c r="B1108" s="3" t="s">
        <v>30</v>
      </c>
      <c r="D1108" s="3" t="str">
        <f>IFERROR(__xludf.DUMMYFUNCTION("GOOGLETRANSLATE(A1108, ""nl"", ""en"")"),"Nature and Elements")</f>
        <v>Nature and Elements</v>
      </c>
      <c r="E1108" s="3" t="str">
        <f>IFERROR(__xludf.DUMMYFUNCTION("GOOGLETRANSLATE(B1108, ""nl"", ""en"")"),"Waves breaking in fractal patterns")</f>
        <v>Waves breaking in fractal patterns</v>
      </c>
    </row>
    <row r="1109" ht="15.75" customHeight="1">
      <c r="A1109" s="3" t="s">
        <v>15</v>
      </c>
      <c r="B1109" s="3" t="s">
        <v>22</v>
      </c>
      <c r="D1109" s="3" t="str">
        <f>IFERROR(__xludf.DUMMYFUNCTION("GOOGLETRANSLATE(A1109, ""nl"", ""en"")"),"Animals and Organic Forms")</f>
        <v>Animals and Organic Forms</v>
      </c>
      <c r="E1109" s="3" t="str">
        <f>IFERROR(__xludf.DUMMYFUNCTION("GOOGLETRANSLATE(B1109, ""nl"", ""en"")"),"A bird taking off")</f>
        <v>A bird taking off</v>
      </c>
    </row>
    <row r="1110" ht="15.75" customHeight="1">
      <c r="A1110" s="3" t="s">
        <v>4</v>
      </c>
      <c r="B1110" s="3" t="s">
        <v>43</v>
      </c>
      <c r="D1110" s="3" t="str">
        <f>IFERROR(__xludf.DUMMYFUNCTION("GOOGLETRANSLATE(A1110, ""nl"", ""en"")"),"Architectural and Structural Associations")</f>
        <v>Architectural and Structural Associations</v>
      </c>
      <c r="E1110" s="3" t="str">
        <f>IFERROR(__xludf.DUMMYFUNCTION("GOOGLETRANSLATE(B1110, ""nl"", ""en"")"),"A network of tunnels and passages")</f>
        <v>A network of tunnels and passages</v>
      </c>
    </row>
    <row r="1111" ht="15.75" customHeight="1">
      <c r="A1111" s="3" t="s">
        <v>24</v>
      </c>
      <c r="B1111" s="3" t="s">
        <v>29</v>
      </c>
      <c r="D1111" s="3" t="str">
        <f>IFERROR(__xludf.DUMMYFUNCTION("GOOGLETRANSLATE(A1111, ""nl"", ""en"")"),"Cosmic and Abstract Patterns")</f>
        <v>Cosmic and Abstract Patterns</v>
      </c>
      <c r="E1111" s="3" t="str">
        <f>IFERROR(__xludf.DUMMYFUNCTION("GOOGLETRANSLATE(B1111, ""nl"", ""en"")"),"A galaxy unfolding")</f>
        <v>A galaxy unfolding</v>
      </c>
    </row>
    <row r="1112" ht="15.75" customHeight="1">
      <c r="A1112" s="3" t="s">
        <v>15</v>
      </c>
      <c r="B1112" s="3" t="s">
        <v>38</v>
      </c>
      <c r="D1112" s="3" t="str">
        <f>IFERROR(__xludf.DUMMYFUNCTION("GOOGLETRANSLATE(A1112, ""nl"", ""en"")"),"Animals and Organic Forms")</f>
        <v>Animals and Organic Forms</v>
      </c>
      <c r="E1112" s="3" t="str">
        <f>IFERROR(__xludf.DUMMYFUNCTION("GOOGLETRANSLATE(B1112, ""nl"", ""en"")"),"A lion with an open mouth")</f>
        <v>A lion with an open mouth</v>
      </c>
    </row>
    <row r="1113" ht="15.75" customHeight="1">
      <c r="A1113" s="3" t="s">
        <v>12</v>
      </c>
      <c r="B1113" s="3" t="s">
        <v>47</v>
      </c>
      <c r="D1113" s="3" t="str">
        <f>IFERROR(__xludf.DUMMYFUNCTION("GOOGLETRANSLATE(A1113, ""nl"", ""en"")"),"Nature and Elements")</f>
        <v>Nature and Elements</v>
      </c>
      <c r="E1113" s="3" t="str">
        <f>IFERROR(__xludf.DUMMYFUNCTION("GOOGLETRANSLATE(B1113, ""nl"", ""en"")"),"A desert landscape that slowly changes")</f>
        <v>A desert landscape that slowly changes</v>
      </c>
    </row>
    <row r="1114" ht="15.75" customHeight="1">
      <c r="A1114" s="3" t="s">
        <v>4</v>
      </c>
      <c r="B1114" s="3" t="s">
        <v>5</v>
      </c>
      <c r="D1114" s="3" t="str">
        <f>IFERROR(__xludf.DUMMYFUNCTION("GOOGLETRANSLATE(A1114, ""nl"", ""en"")"),"Architectural and Structural Associations")</f>
        <v>Architectural and Structural Associations</v>
      </c>
      <c r="E1114" s="3" t="str">
        <f>IFERROR(__xludf.DUMMYFUNCTION("GOOGLETRANSLATE(B1114, ""nl"", ""en"")"),"A cathedral shaped from mist")</f>
        <v>A cathedral shaped from mist</v>
      </c>
    </row>
    <row r="1115" ht="15.75" customHeight="1">
      <c r="A1115" s="3" t="s">
        <v>7</v>
      </c>
      <c r="B1115" s="3" t="s">
        <v>40</v>
      </c>
      <c r="D1115" s="3" t="str">
        <f>IFERROR(__xludf.DUMMYFUNCTION("GOOGLETRANSLATE(A1115, ""nl"", ""en"")"),"Human Figures and Physicality")</f>
        <v>Human Figures and Physicality</v>
      </c>
      <c r="E1115" s="3" t="str">
        <f>IFERROR(__xludf.DUMMYFUNCTION("GOOGLETRANSLATE(B1115, ""nl"", ""en"")"),"A figure who is withdrawn into himself")</f>
        <v>A figure who is withdrawn into himself</v>
      </c>
    </row>
    <row r="1116" ht="15.75" customHeight="1">
      <c r="A1116" s="3" t="s">
        <v>9</v>
      </c>
      <c r="B1116" s="3" t="s">
        <v>49</v>
      </c>
      <c r="D1116" s="3" t="str">
        <f>IFERROR(__xludf.DUMMYFUNCTION("GOOGLETRANSLATE(A1116, ""nl"", ""en"")"),"Psychological and Emotional Interpretations")</f>
        <v>Psychological and Emotional Interpretations</v>
      </c>
      <c r="E1116" s="3" t="str">
        <f>IFERROR(__xludf.DUMMYFUNCTION("GOOGLETRANSLATE(B1116, ""nl"", ""en"")"),"A spiral that turns inward")</f>
        <v>A spiral that turns inward</v>
      </c>
    </row>
    <row r="1117" ht="15.75" customHeight="1">
      <c r="A1117" s="3" t="s">
        <v>9</v>
      </c>
      <c r="B1117" s="3" t="s">
        <v>17</v>
      </c>
      <c r="D1117" s="3" t="str">
        <f>IFERROR(__xludf.DUMMYFUNCTION("GOOGLETRANSLATE(A1117, ""nl"", ""en"")"),"Psychological and Emotional Interpretations")</f>
        <v>Psychological and Emotional Interpretations</v>
      </c>
      <c r="E1117" s="3" t="str">
        <f>IFERROR(__xludf.DUMMYFUNCTION("GOOGLETRANSLATE(B1117, ""nl"", ""en"")"),"A figure that seems to melt")</f>
        <v>A figure that seems to melt</v>
      </c>
    </row>
    <row r="1118" ht="15.75" customHeight="1">
      <c r="A1118" s="3" t="s">
        <v>7</v>
      </c>
      <c r="B1118" s="3" t="s">
        <v>56</v>
      </c>
      <c r="D1118" s="3" t="str">
        <f>IFERROR(__xludf.DUMMYFUNCTION("GOOGLETRANSLATE(A1118, ""nl"", ""en"")"),"Human Figures and Physicality")</f>
        <v>Human Figures and Physicality</v>
      </c>
      <c r="E1118" s="3" t="str">
        <f>IFERROR(__xludf.DUMMYFUNCTION("GOOGLETRANSLATE(B1118, ""nl"", ""en"")"),"A shadow that seems to move")</f>
        <v>A shadow that seems to move</v>
      </c>
    </row>
    <row r="1119" ht="15.75" customHeight="1">
      <c r="A1119" s="3" t="s">
        <v>9</v>
      </c>
      <c r="B1119" s="3" t="s">
        <v>14</v>
      </c>
      <c r="D1119" s="3" t="str">
        <f>IFERROR(__xludf.DUMMYFUNCTION("GOOGLETRANSLATE(A1119, ""nl"", ""en"")"),"Psychological and Emotional Interpretations")</f>
        <v>Psychological and Emotional Interpretations</v>
      </c>
      <c r="E1119" s="3" t="str">
        <f>IFERROR(__xludf.DUMMYFUNCTION("GOOGLETRANSLATE(B1119, ""nl"", ""en"")"),"An unclear hug")</f>
        <v>An unclear hug</v>
      </c>
    </row>
    <row r="1120" ht="15.75" customHeight="1">
      <c r="A1120" s="3" t="s">
        <v>24</v>
      </c>
      <c r="B1120" s="3" t="s">
        <v>27</v>
      </c>
      <c r="D1120" s="3" t="str">
        <f>IFERROR(__xludf.DUMMYFUNCTION("GOOGLETRANSLATE(A1120, ""nl"", ""en"")"),"Cosmic and Abstract Patterns")</f>
        <v>Cosmic and Abstract Patterns</v>
      </c>
      <c r="E1120" s="3" t="str">
        <f>IFERROR(__xludf.DUMMYFUNCTION("GOOGLETRANSLATE(B1120, ""nl"", ""en"")"),"A pair of black holes in dance")</f>
        <v>A pair of black holes in dance</v>
      </c>
    </row>
    <row r="1121" ht="15.75" customHeight="1">
      <c r="A1121" s="3" t="s">
        <v>12</v>
      </c>
      <c r="B1121" s="3" t="s">
        <v>13</v>
      </c>
      <c r="D1121" s="3" t="str">
        <f>IFERROR(__xludf.DUMMYFUNCTION("GOOGLETRANSLATE(A1121, ""nl"", ""en"")"),"Nature and Elements")</f>
        <v>Nature and Elements</v>
      </c>
      <c r="E1121" s="3" t="str">
        <f>IFERROR(__xludf.DUMMYFUNCTION("GOOGLETRANSLATE(B1121, ""nl"", ""en"")"),"A lightning strike in slow motion")</f>
        <v>A lightning strike in slow motion</v>
      </c>
    </row>
    <row r="1122" ht="15.75" customHeight="1">
      <c r="A1122" s="3" t="s">
        <v>12</v>
      </c>
      <c r="B1122" s="3" t="s">
        <v>18</v>
      </c>
      <c r="D1122" s="3" t="str">
        <f>IFERROR(__xludf.DUMMYFUNCTION("GOOGLETRANSLATE(A1122, ""nl"", ""en"")"),"Nature and Elements")</f>
        <v>Nature and Elements</v>
      </c>
      <c r="E1122" s="3" t="str">
        <f>IFERROR(__xludf.DUMMYFUNCTION("GOOGLETRANSLATE(B1122, ""nl"", ""en"")"),"A tree with endless branches")</f>
        <v>A tree with endless branches</v>
      </c>
    </row>
    <row r="1123" ht="15.75" customHeight="1">
      <c r="A1123" s="3" t="s">
        <v>7</v>
      </c>
      <c r="B1123" s="3" t="s">
        <v>34</v>
      </c>
      <c r="D1123" s="3" t="str">
        <f>IFERROR(__xludf.DUMMYFUNCTION("GOOGLETRANSLATE(A1123, ""nl"", ""en"")"),"Human Figures and Physicality")</f>
        <v>Human Figures and Physicality</v>
      </c>
      <c r="E1123" s="3" t="str">
        <f>IFERROR(__xludf.DUMMYFUNCTION("GOOGLETRANSLATE(B1123, ""nl"", ""en"")"),"Hands almost touching")</f>
        <v>Hands almost touching</v>
      </c>
    </row>
    <row r="1124" ht="15.75" customHeight="1">
      <c r="A1124" s="3" t="s">
        <v>9</v>
      </c>
      <c r="B1124" s="3" t="s">
        <v>42</v>
      </c>
      <c r="D1124" s="3" t="str">
        <f>IFERROR(__xludf.DUMMYFUNCTION("GOOGLETRANSLATE(A1124, ""nl"", ""en"")"),"Psychological and Emotional Interpretations")</f>
        <v>Psychological and Emotional Interpretations</v>
      </c>
      <c r="E1124" s="3" t="str">
        <f>IFERROR(__xludf.DUMMYFUNCTION("GOOGLETRANSLATE(B1124, ""nl"", ""en"")"),"A mask that slowly disappears")</f>
        <v>A mask that slowly disappears</v>
      </c>
    </row>
    <row r="1125" ht="15.75" customHeight="1">
      <c r="A1125" s="3" t="s">
        <v>12</v>
      </c>
      <c r="B1125" s="3" t="s">
        <v>13</v>
      </c>
      <c r="D1125" s="3" t="str">
        <f>IFERROR(__xludf.DUMMYFUNCTION("GOOGLETRANSLATE(A1125, ""nl"", ""en"")"),"Nature and Elements")</f>
        <v>Nature and Elements</v>
      </c>
      <c r="E1125" s="3" t="str">
        <f>IFERROR(__xludf.DUMMYFUNCTION("GOOGLETRANSLATE(B1125, ""nl"", ""en"")"),"A lightning strike in slow motion")</f>
        <v>A lightning strike in slow motion</v>
      </c>
    </row>
    <row r="1126" ht="15.75" customHeight="1">
      <c r="A1126" s="3" t="s">
        <v>4</v>
      </c>
      <c r="B1126" s="3" t="s">
        <v>35</v>
      </c>
      <c r="D1126" s="3" t="str">
        <f>IFERROR(__xludf.DUMMYFUNCTION("GOOGLETRANSLATE(A1126, ""nl"", ""en"")"),"Architectural and Structural Associations")</f>
        <v>Architectural and Structural Associations</v>
      </c>
      <c r="E1126" s="3" t="str">
        <f>IFERROR(__xludf.DUMMYFUNCTION("GOOGLETRANSLATE(B1126, ""nl"", ""en"")"),"A floating building without a base")</f>
        <v>A floating building without a base</v>
      </c>
    </row>
    <row r="1127" ht="15.75" customHeight="1">
      <c r="A1127" s="3" t="s">
        <v>15</v>
      </c>
      <c r="B1127" s="3" t="s">
        <v>26</v>
      </c>
      <c r="D1127" s="3" t="str">
        <f>IFERROR(__xludf.DUMMYFUNCTION("GOOGLETRANSLATE(A1127, ""nl"", ""en"")"),"Animals and Organic Forms")</f>
        <v>Animals and Organic Forms</v>
      </c>
      <c r="E1127" s="3" t="str">
        <f>IFERROR(__xludf.DUMMYFUNCTION("GOOGLETRANSLATE(B1127, ""nl"", ""en"")"),"A frog preparing to jump")</f>
        <v>A frog preparing to jump</v>
      </c>
    </row>
    <row r="1128" ht="15.75" customHeight="1">
      <c r="A1128" s="3" t="s">
        <v>7</v>
      </c>
      <c r="B1128" s="3" t="s">
        <v>39</v>
      </c>
      <c r="D1128" s="3" t="str">
        <f>IFERROR(__xludf.DUMMYFUNCTION("GOOGLETRANSLATE(A1128, ""nl"", ""en"")"),"Human Figures and Physicality")</f>
        <v>Human Figures and Physicality</v>
      </c>
      <c r="E1128" s="3" t="str">
        <f>IFERROR(__xludf.DUMMYFUNCTION("GOOGLETRANSLATE(B1128, ""nl"", ""en"")"),"A torso without a head")</f>
        <v>A torso without a head</v>
      </c>
    </row>
    <row r="1129" ht="15.75" customHeight="1">
      <c r="A1129" s="3" t="s">
        <v>24</v>
      </c>
      <c r="B1129" s="3" t="s">
        <v>25</v>
      </c>
      <c r="D1129" s="3" t="str">
        <f>IFERROR(__xludf.DUMMYFUNCTION("GOOGLETRANSLATE(A1129, ""nl"", ""en"")"),"Cosmic and Abstract Patterns")</f>
        <v>Cosmic and Abstract Patterns</v>
      </c>
      <c r="E1129" s="3" t="str">
        <f>IFERROR(__xludf.DUMMYFUNCTION("GOOGLETRANSLATE(B1129, ""nl"", ""en"")"),"A meteor shower dissolving into each other")</f>
        <v>A meteor shower dissolving into each other</v>
      </c>
    </row>
    <row r="1130" ht="15.75" customHeight="1">
      <c r="A1130" s="3" t="s">
        <v>9</v>
      </c>
      <c r="B1130" s="3" t="s">
        <v>10</v>
      </c>
      <c r="D1130" s="3" t="str">
        <f>IFERROR(__xludf.DUMMYFUNCTION("GOOGLETRANSLATE(A1130, ""nl"", ""en"")"),"Psychological and Emotional Interpretations")</f>
        <v>Psychological and Emotional Interpretations</v>
      </c>
      <c r="E1130" s="3" t="str">
        <f>IFERROR(__xludf.DUMMYFUNCTION("GOOGLETRANSLATE(B1130, ""nl"", ""en"")"),"A face transforming in light")</f>
        <v>A face transforming in light</v>
      </c>
    </row>
    <row r="1131" ht="15.75" customHeight="1">
      <c r="A1131" s="3" t="s">
        <v>7</v>
      </c>
      <c r="B1131" s="3" t="s">
        <v>34</v>
      </c>
      <c r="D1131" s="3" t="str">
        <f>IFERROR(__xludf.DUMMYFUNCTION("GOOGLETRANSLATE(A1131, ""nl"", ""en"")"),"Human Figures and Physicality")</f>
        <v>Human Figures and Physicality</v>
      </c>
      <c r="E1131" s="3" t="str">
        <f>IFERROR(__xludf.DUMMYFUNCTION("GOOGLETRANSLATE(B1131, ""nl"", ""en"")"),"Hands almost touching")</f>
        <v>Hands almost touching</v>
      </c>
    </row>
    <row r="1132" ht="15.75" customHeight="1">
      <c r="A1132" s="3" t="s">
        <v>9</v>
      </c>
      <c r="B1132" s="3" t="s">
        <v>14</v>
      </c>
      <c r="D1132" s="3" t="str">
        <f>IFERROR(__xludf.DUMMYFUNCTION("GOOGLETRANSLATE(A1132, ""nl"", ""en"")"),"Psychological and Emotional Interpretations")</f>
        <v>Psychological and Emotional Interpretations</v>
      </c>
      <c r="E1132" s="3" t="str">
        <f>IFERROR(__xludf.DUMMYFUNCTION("GOOGLETRANSLATE(B1132, ""nl"", ""en"")"),"An unclear hug")</f>
        <v>An unclear hug</v>
      </c>
    </row>
    <row r="1133" ht="15.75" customHeight="1">
      <c r="A1133" s="3" t="s">
        <v>12</v>
      </c>
      <c r="B1133" s="3" t="s">
        <v>13</v>
      </c>
      <c r="D1133" s="3" t="str">
        <f>IFERROR(__xludf.DUMMYFUNCTION("GOOGLETRANSLATE(A1133, ""nl"", ""en"")"),"Nature and Elements")</f>
        <v>Nature and Elements</v>
      </c>
      <c r="E1133" s="3" t="str">
        <f>IFERROR(__xludf.DUMMYFUNCTION("GOOGLETRANSLATE(B1133, ""nl"", ""en"")"),"A lightning strike in slow motion")</f>
        <v>A lightning strike in slow motion</v>
      </c>
    </row>
    <row r="1134" ht="15.75" customHeight="1">
      <c r="A1134" s="3" t="s">
        <v>12</v>
      </c>
      <c r="B1134" s="3" t="s">
        <v>23</v>
      </c>
      <c r="D1134" s="3" t="str">
        <f>IFERROR(__xludf.DUMMYFUNCTION("GOOGLETRANSLATE(A1134, ""nl"", ""en"")"),"Nature and Elements")</f>
        <v>Nature and Elements</v>
      </c>
      <c r="E1134" s="3" t="str">
        <f>IFERROR(__xludf.DUMMYFUNCTION("GOOGLETRANSLATE(B1134, ""nl"", ""en"")"),"A storm cloud splitting in two")</f>
        <v>A storm cloud splitting in two</v>
      </c>
    </row>
    <row r="1135" ht="15.75" customHeight="1">
      <c r="A1135" s="3" t="s">
        <v>15</v>
      </c>
      <c r="B1135" s="3" t="s">
        <v>38</v>
      </c>
      <c r="D1135" s="3" t="str">
        <f>IFERROR(__xludf.DUMMYFUNCTION("GOOGLETRANSLATE(A1135, ""nl"", ""en"")"),"Animals and Organic Forms")</f>
        <v>Animals and Organic Forms</v>
      </c>
      <c r="E1135" s="3" t="str">
        <f>IFERROR(__xludf.DUMMYFUNCTION("GOOGLETRANSLATE(B1135, ""nl"", ""en"")"),"A lion with an open mouth")</f>
        <v>A lion with an open mouth</v>
      </c>
    </row>
    <row r="1136" ht="15.75" customHeight="1">
      <c r="A1136" s="3" t="s">
        <v>12</v>
      </c>
      <c r="B1136" s="3" t="s">
        <v>47</v>
      </c>
      <c r="D1136" s="3" t="str">
        <f>IFERROR(__xludf.DUMMYFUNCTION("GOOGLETRANSLATE(A1136, ""nl"", ""en"")"),"Nature and Elements")</f>
        <v>Nature and Elements</v>
      </c>
      <c r="E1136" s="3" t="str">
        <f>IFERROR(__xludf.DUMMYFUNCTION("GOOGLETRANSLATE(B1136, ""nl"", ""en"")"),"A desert landscape that slowly changes")</f>
        <v>A desert landscape that slowly changes</v>
      </c>
    </row>
    <row r="1137" ht="15.75" customHeight="1">
      <c r="A1137" s="3" t="s">
        <v>4</v>
      </c>
      <c r="B1137" s="3" t="s">
        <v>5</v>
      </c>
      <c r="D1137" s="3" t="str">
        <f>IFERROR(__xludf.DUMMYFUNCTION("GOOGLETRANSLATE(A1137, ""nl"", ""en"")"),"Architectural and Structural Associations")</f>
        <v>Architectural and Structural Associations</v>
      </c>
      <c r="E1137" s="3" t="str">
        <f>IFERROR(__xludf.DUMMYFUNCTION("GOOGLETRANSLATE(B1137, ""nl"", ""en"")"),"A cathedral shaped from mist")</f>
        <v>A cathedral shaped from mist</v>
      </c>
    </row>
    <row r="1138" ht="15.75" customHeight="1">
      <c r="A1138" s="3" t="s">
        <v>4</v>
      </c>
      <c r="B1138" s="3" t="s">
        <v>43</v>
      </c>
      <c r="D1138" s="3" t="str">
        <f>IFERROR(__xludf.DUMMYFUNCTION("GOOGLETRANSLATE(A1138, ""nl"", ""en"")"),"Architectural and Structural Associations")</f>
        <v>Architectural and Structural Associations</v>
      </c>
      <c r="E1138" s="3" t="str">
        <f>IFERROR(__xludf.DUMMYFUNCTION("GOOGLETRANSLATE(B1138, ""nl"", ""en"")"),"A network of tunnels and passages")</f>
        <v>A network of tunnels and passages</v>
      </c>
    </row>
    <row r="1139" ht="15.75" customHeight="1">
      <c r="A1139" s="3" t="s">
        <v>9</v>
      </c>
      <c r="B1139" s="3" t="s">
        <v>42</v>
      </c>
      <c r="D1139" s="3" t="str">
        <f>IFERROR(__xludf.DUMMYFUNCTION("GOOGLETRANSLATE(A1139, ""nl"", ""en"")"),"Psychological and Emotional Interpretations")</f>
        <v>Psychological and Emotional Interpretations</v>
      </c>
      <c r="E1139" s="3" t="str">
        <f>IFERROR(__xludf.DUMMYFUNCTION("GOOGLETRANSLATE(B1139, ""nl"", ""en"")"),"A mask that slowly disappears")</f>
        <v>A mask that slowly disappears</v>
      </c>
    </row>
    <row r="1140" ht="15.75" customHeight="1">
      <c r="A1140" s="3" t="s">
        <v>24</v>
      </c>
      <c r="B1140" s="3" t="s">
        <v>33</v>
      </c>
      <c r="D1140" s="3" t="str">
        <f>IFERROR(__xludf.DUMMYFUNCTION("GOOGLETRANSLATE(A1140, ""nl"", ""en"")"),"Cosmic and Abstract Patterns")</f>
        <v>Cosmic and Abstract Patterns</v>
      </c>
      <c r="E1140" s="3" t="str">
        <f>IFERROR(__xludf.DUMMYFUNCTION("GOOGLETRANSLATE(B1140, ""nl"", ""en"")"),"An eye that repeats itself in endless patterns")</f>
        <v>An eye that repeats itself in endless patterns</v>
      </c>
    </row>
    <row r="1141" ht="15.75" customHeight="1">
      <c r="A1141" s="3" t="s">
        <v>9</v>
      </c>
      <c r="B1141" s="3" t="s">
        <v>42</v>
      </c>
      <c r="D1141" s="3" t="str">
        <f>IFERROR(__xludf.DUMMYFUNCTION("GOOGLETRANSLATE(A1141, ""nl"", ""en"")"),"Psychological and Emotional Interpretations")</f>
        <v>Psychological and Emotional Interpretations</v>
      </c>
      <c r="E1141" s="3" t="str">
        <f>IFERROR(__xludf.DUMMYFUNCTION("GOOGLETRANSLATE(B1141, ""nl"", ""en"")"),"A mask that slowly disappears")</f>
        <v>A mask that slowly disappears</v>
      </c>
    </row>
    <row r="1142" ht="15.75" customHeight="1">
      <c r="A1142" s="3" t="s">
        <v>7</v>
      </c>
      <c r="B1142" s="3" t="s">
        <v>34</v>
      </c>
      <c r="D1142" s="3" t="str">
        <f>IFERROR(__xludf.DUMMYFUNCTION("GOOGLETRANSLATE(A1142, ""nl"", ""en"")"),"Human Figures and Physicality")</f>
        <v>Human Figures and Physicality</v>
      </c>
      <c r="E1142" s="3" t="str">
        <f>IFERROR(__xludf.DUMMYFUNCTION("GOOGLETRANSLATE(B1142, ""nl"", ""en"")"),"Hands almost touching")</f>
        <v>Hands almost touching</v>
      </c>
    </row>
    <row r="1143" ht="15.75" customHeight="1">
      <c r="A1143" s="3" t="s">
        <v>12</v>
      </c>
      <c r="B1143" s="3" t="s">
        <v>19</v>
      </c>
      <c r="D1143" s="3" t="str">
        <f>IFERROR(__xludf.DUMMYFUNCTION("GOOGLETRANSLATE(A1143, ""nl"", ""en"")"),"Nature and Elements")</f>
        <v>Nature and Elements</v>
      </c>
      <c r="E1143" s="3" t="str">
        <f>IFERROR(__xludf.DUMMYFUNCTION("GOOGLETRANSLATE(B1143, ""nl"", ""en"")"),"A mountain range that seems to breathe")</f>
        <v>A mountain range that seems to breathe</v>
      </c>
    </row>
    <row r="1144" ht="15.75" customHeight="1">
      <c r="A1144" s="3" t="s">
        <v>7</v>
      </c>
      <c r="B1144" s="3" t="s">
        <v>34</v>
      </c>
      <c r="D1144" s="3" t="str">
        <f>IFERROR(__xludf.DUMMYFUNCTION("GOOGLETRANSLATE(A1144, ""nl"", ""en"")"),"Human Figures and Physicality")</f>
        <v>Human Figures and Physicality</v>
      </c>
      <c r="E1144" s="3" t="str">
        <f>IFERROR(__xludf.DUMMYFUNCTION("GOOGLETRANSLATE(B1144, ""nl"", ""en"")"),"Hands almost touching")</f>
        <v>Hands almost touching</v>
      </c>
    </row>
    <row r="1145" ht="15.75" customHeight="1">
      <c r="A1145" s="3" t="s">
        <v>24</v>
      </c>
      <c r="B1145" s="3" t="s">
        <v>48</v>
      </c>
      <c r="D1145" s="3" t="str">
        <f>IFERROR(__xludf.DUMMYFUNCTION("GOOGLETRANSLATE(A1145, ""nl"", ""en"")"),"Cosmic and Abstract Patterns")</f>
        <v>Cosmic and Abstract Patterns</v>
      </c>
      <c r="E1145" s="3" t="str">
        <f>IFERROR(__xludf.DUMMYFUNCTION("GOOGLETRANSLATE(B1145, ""nl"", ""en"")"),"A fractal that repeats itself")</f>
        <v>A fractal that repeats itself</v>
      </c>
    </row>
    <row r="1146" ht="15.75" customHeight="1">
      <c r="A1146" s="3" t="s">
        <v>15</v>
      </c>
      <c r="B1146" s="3" t="s">
        <v>22</v>
      </c>
      <c r="D1146" s="3" t="str">
        <f>IFERROR(__xludf.DUMMYFUNCTION("GOOGLETRANSLATE(A1146, ""nl"", ""en"")"),"Animals and Organic Forms")</f>
        <v>Animals and Organic Forms</v>
      </c>
      <c r="E1146" s="3" t="str">
        <f>IFERROR(__xludf.DUMMYFUNCTION("GOOGLETRANSLATE(B1146, ""nl"", ""en"")"),"A bird taking off")</f>
        <v>A bird taking off</v>
      </c>
    </row>
    <row r="1147" ht="15.75" customHeight="1">
      <c r="A1147" s="3" t="s">
        <v>12</v>
      </c>
      <c r="B1147" s="3" t="s">
        <v>18</v>
      </c>
      <c r="D1147" s="3" t="str">
        <f>IFERROR(__xludf.DUMMYFUNCTION("GOOGLETRANSLATE(A1147, ""nl"", ""en"")"),"Nature and Elements")</f>
        <v>Nature and Elements</v>
      </c>
      <c r="E1147" s="3" t="str">
        <f>IFERROR(__xludf.DUMMYFUNCTION("GOOGLETRANSLATE(B1147, ""nl"", ""en"")"),"A tree with endless branches")</f>
        <v>A tree with endless branches</v>
      </c>
    </row>
    <row r="1148" ht="15.75" customHeight="1">
      <c r="A1148" s="3" t="s">
        <v>12</v>
      </c>
      <c r="B1148" s="3" t="s">
        <v>18</v>
      </c>
      <c r="D1148" s="3" t="str">
        <f>IFERROR(__xludf.DUMMYFUNCTION("GOOGLETRANSLATE(A1148, ""nl"", ""en"")"),"Nature and Elements")</f>
        <v>Nature and Elements</v>
      </c>
      <c r="E1148" s="3" t="str">
        <f>IFERROR(__xludf.DUMMYFUNCTION("GOOGLETRANSLATE(B1148, ""nl"", ""en"")"),"A tree with endless branches")</f>
        <v>A tree with endless branches</v>
      </c>
    </row>
    <row r="1149" ht="15.75" customHeight="1">
      <c r="A1149" s="3" t="s">
        <v>15</v>
      </c>
      <c r="B1149" s="3" t="s">
        <v>38</v>
      </c>
      <c r="D1149" s="3" t="str">
        <f>IFERROR(__xludf.DUMMYFUNCTION("GOOGLETRANSLATE(A1149, ""nl"", ""en"")"),"Animals and Organic Forms")</f>
        <v>Animals and Organic Forms</v>
      </c>
      <c r="E1149" s="3" t="str">
        <f>IFERROR(__xludf.DUMMYFUNCTION("GOOGLETRANSLATE(B1149, ""nl"", ""en"")"),"A lion with an open mouth")</f>
        <v>A lion with an open mouth</v>
      </c>
    </row>
    <row r="1150" ht="15.75" customHeight="1">
      <c r="A1150" s="3" t="s">
        <v>9</v>
      </c>
      <c r="B1150" s="3" t="s">
        <v>49</v>
      </c>
      <c r="D1150" s="3" t="str">
        <f>IFERROR(__xludf.DUMMYFUNCTION("GOOGLETRANSLATE(A1150, ""nl"", ""en"")"),"Psychological and Emotional Interpretations")</f>
        <v>Psychological and Emotional Interpretations</v>
      </c>
      <c r="E1150" s="3" t="str">
        <f>IFERROR(__xludf.DUMMYFUNCTION("GOOGLETRANSLATE(B1150, ""nl"", ""en"")"),"A spiral that turns inward")</f>
        <v>A spiral that turns inward</v>
      </c>
    </row>
    <row r="1151" ht="15.75" customHeight="1">
      <c r="A1151" s="3" t="s">
        <v>12</v>
      </c>
      <c r="B1151" s="3" t="s">
        <v>19</v>
      </c>
      <c r="D1151" s="3" t="str">
        <f>IFERROR(__xludf.DUMMYFUNCTION("GOOGLETRANSLATE(A1151, ""nl"", ""en"")"),"Nature and Elements")</f>
        <v>Nature and Elements</v>
      </c>
      <c r="E1151" s="3" t="str">
        <f>IFERROR(__xludf.DUMMYFUNCTION("GOOGLETRANSLATE(B1151, ""nl"", ""en"")"),"A mountain range that seems to breathe")</f>
        <v>A mountain range that seems to breathe</v>
      </c>
    </row>
    <row r="1152" ht="15.75" customHeight="1">
      <c r="A1152" s="3" t="s">
        <v>15</v>
      </c>
      <c r="B1152" s="3" t="s">
        <v>26</v>
      </c>
      <c r="D1152" s="3" t="str">
        <f>IFERROR(__xludf.DUMMYFUNCTION("GOOGLETRANSLATE(A1152, ""nl"", ""en"")"),"Animals and Organic Forms")</f>
        <v>Animals and Organic Forms</v>
      </c>
      <c r="E1152" s="3" t="str">
        <f>IFERROR(__xludf.DUMMYFUNCTION("GOOGLETRANSLATE(B1152, ""nl"", ""en"")"),"A frog preparing to jump")</f>
        <v>A frog preparing to jump</v>
      </c>
    </row>
    <row r="1153" ht="15.75" customHeight="1">
      <c r="A1153" s="3" t="s">
        <v>24</v>
      </c>
      <c r="B1153" s="3" t="s">
        <v>48</v>
      </c>
      <c r="D1153" s="3" t="str">
        <f>IFERROR(__xludf.DUMMYFUNCTION("GOOGLETRANSLATE(A1153, ""nl"", ""en"")"),"Cosmic and Abstract Patterns")</f>
        <v>Cosmic and Abstract Patterns</v>
      </c>
      <c r="E1153" s="3" t="str">
        <f>IFERROR(__xludf.DUMMYFUNCTION("GOOGLETRANSLATE(B1153, ""nl"", ""en"")"),"A fractal that repeats itself")</f>
        <v>A fractal that repeats itself</v>
      </c>
    </row>
    <row r="1154" ht="15.75" customHeight="1">
      <c r="A1154" s="3" t="s">
        <v>7</v>
      </c>
      <c r="B1154" s="3" t="s">
        <v>40</v>
      </c>
      <c r="D1154" s="3" t="str">
        <f>IFERROR(__xludf.DUMMYFUNCTION("GOOGLETRANSLATE(A1154, ""nl"", ""en"")"),"Human Figures and Physicality")</f>
        <v>Human Figures and Physicality</v>
      </c>
      <c r="E1154" s="3" t="str">
        <f>IFERROR(__xludf.DUMMYFUNCTION("GOOGLETRANSLATE(B1154, ""nl"", ""en"")"),"A figure who is withdrawn into himself")</f>
        <v>A figure who is withdrawn into himself</v>
      </c>
    </row>
    <row r="1155" ht="15.75" customHeight="1">
      <c r="A1155" s="3" t="s">
        <v>4</v>
      </c>
      <c r="B1155" s="3" t="s">
        <v>5</v>
      </c>
      <c r="D1155" s="3" t="str">
        <f>IFERROR(__xludf.DUMMYFUNCTION("GOOGLETRANSLATE(A1155, ""nl"", ""en"")"),"Architectural and Structural Associations")</f>
        <v>Architectural and Structural Associations</v>
      </c>
      <c r="E1155" s="3" t="str">
        <f>IFERROR(__xludf.DUMMYFUNCTION("GOOGLETRANSLATE(B1155, ""nl"", ""en"")"),"A cathedral shaped from mist")</f>
        <v>A cathedral shaped from mist</v>
      </c>
    </row>
    <row r="1156" ht="15.75" customHeight="1">
      <c r="A1156" s="3" t="s">
        <v>7</v>
      </c>
      <c r="B1156" s="3" t="s">
        <v>28</v>
      </c>
      <c r="D1156" s="3" t="str">
        <f>IFERROR(__xludf.DUMMYFUNCTION("GOOGLETRANSLATE(A1156, ""nl"", ""en"")"),"Human Figures and Physicality")</f>
        <v>Human Figures and Physicality</v>
      </c>
      <c r="E1156" s="3" t="str">
        <f>IFERROR(__xludf.DUMMYFUNCTION("GOOGLETRANSLATE(B1156, ""nl"", ""en"")"),"A dancing silhouette")</f>
        <v>A dancing silhouette</v>
      </c>
    </row>
    <row r="1157" ht="15.75" customHeight="1">
      <c r="A1157" s="3" t="s">
        <v>24</v>
      </c>
      <c r="B1157" s="3" t="s">
        <v>54</v>
      </c>
      <c r="D1157" s="3" t="str">
        <f>IFERROR(__xludf.DUMMYFUNCTION("GOOGLETRANSLATE(A1157, ""nl"", ""en"")"),"Cosmic and Abstract Patterns")</f>
        <v>Cosmic and Abstract Patterns</v>
      </c>
      <c r="E1157" s="3" t="str">
        <f>IFERROR(__xludf.DUMMYFUNCTION("GOOGLETRANSLATE(B1157, ""nl"", ""en"")"),"A quantum particle in superposition")</f>
        <v>A quantum particle in superposition</v>
      </c>
    </row>
    <row r="1158" ht="15.75" customHeight="1">
      <c r="A1158" s="3" t="s">
        <v>9</v>
      </c>
      <c r="B1158" s="3" t="s">
        <v>49</v>
      </c>
      <c r="D1158" s="3" t="str">
        <f>IFERROR(__xludf.DUMMYFUNCTION("GOOGLETRANSLATE(A1158, ""nl"", ""en"")"),"Psychological and Emotional Interpretations")</f>
        <v>Psychological and Emotional Interpretations</v>
      </c>
      <c r="E1158" s="3" t="str">
        <f>IFERROR(__xludf.DUMMYFUNCTION("GOOGLETRANSLATE(B1158, ""nl"", ""en"")"),"A spiral that turns inward")</f>
        <v>A spiral that turns inward</v>
      </c>
    </row>
    <row r="1159" ht="15.75" customHeight="1">
      <c r="A1159" s="3" t="s">
        <v>4</v>
      </c>
      <c r="B1159" s="3" t="s">
        <v>6</v>
      </c>
      <c r="D1159" s="3" t="str">
        <f>IFERROR(__xludf.DUMMYFUNCTION("GOOGLETRANSLATE(A1159, ""nl"", ""en"")"),"Architectural and Structural Associations")</f>
        <v>Architectural and Structural Associations</v>
      </c>
      <c r="E1159" s="3" t="str">
        <f>IFERROR(__xludf.DUMMYFUNCTION("GOOGLETRANSLATE(B1159, ""nl"", ""en"")"),"An endless labyrinth")</f>
        <v>An endless labyrinth</v>
      </c>
    </row>
    <row r="1160" ht="15.75" customHeight="1">
      <c r="A1160" s="3" t="s">
        <v>12</v>
      </c>
      <c r="B1160" s="3" t="s">
        <v>19</v>
      </c>
      <c r="D1160" s="3" t="str">
        <f>IFERROR(__xludf.DUMMYFUNCTION("GOOGLETRANSLATE(A1160, ""nl"", ""en"")"),"Nature and Elements")</f>
        <v>Nature and Elements</v>
      </c>
      <c r="E1160" s="3" t="str">
        <f>IFERROR(__xludf.DUMMYFUNCTION("GOOGLETRANSLATE(B1160, ""nl"", ""en"")"),"A mountain range that seems to breathe")</f>
        <v>A mountain range that seems to breathe</v>
      </c>
    </row>
    <row r="1161" ht="15.75" customHeight="1">
      <c r="A1161" s="3" t="s">
        <v>7</v>
      </c>
      <c r="B1161" s="3" t="s">
        <v>28</v>
      </c>
      <c r="D1161" s="3" t="str">
        <f>IFERROR(__xludf.DUMMYFUNCTION("GOOGLETRANSLATE(A1161, ""nl"", ""en"")"),"Human Figures and Physicality")</f>
        <v>Human Figures and Physicality</v>
      </c>
      <c r="E1161" s="3" t="str">
        <f>IFERROR(__xludf.DUMMYFUNCTION("GOOGLETRANSLATE(B1161, ""nl"", ""en"")"),"A dancing silhouette")</f>
        <v>A dancing silhouette</v>
      </c>
    </row>
    <row r="1162" ht="15.75" customHeight="1">
      <c r="A1162" s="3" t="s">
        <v>9</v>
      </c>
      <c r="B1162" s="3" t="s">
        <v>17</v>
      </c>
      <c r="D1162" s="3" t="str">
        <f>IFERROR(__xludf.DUMMYFUNCTION("GOOGLETRANSLATE(A1162, ""nl"", ""en"")"),"Psychological and Emotional Interpretations")</f>
        <v>Psychological and Emotional Interpretations</v>
      </c>
      <c r="E1162" s="3" t="str">
        <f>IFERROR(__xludf.DUMMYFUNCTION("GOOGLETRANSLATE(B1162, ""nl"", ""en"")"),"A figure that seems to melt")</f>
        <v>A figure that seems to melt</v>
      </c>
    </row>
    <row r="1163" ht="15.75" customHeight="1">
      <c r="A1163" s="3" t="s">
        <v>15</v>
      </c>
      <c r="B1163" s="3" t="s">
        <v>22</v>
      </c>
      <c r="D1163" s="3" t="str">
        <f>IFERROR(__xludf.DUMMYFUNCTION("GOOGLETRANSLATE(A1163, ""nl"", ""en"")"),"Animals and Organic Forms")</f>
        <v>Animals and Organic Forms</v>
      </c>
      <c r="E1163" s="3" t="str">
        <f>IFERROR(__xludf.DUMMYFUNCTION("GOOGLETRANSLATE(B1163, ""nl"", ""en"")"),"A bird taking off")</f>
        <v>A bird taking off</v>
      </c>
    </row>
    <row r="1164" ht="15.75" customHeight="1">
      <c r="A1164" s="3" t="s">
        <v>7</v>
      </c>
      <c r="B1164" s="3" t="s">
        <v>8</v>
      </c>
      <c r="D1164" s="3" t="str">
        <f>IFERROR(__xludf.DUMMYFUNCTION("GOOGLETRANSLATE(A1164, ""nl"", ""en"")"),"Human Figures and Physicality")</f>
        <v>Human Figures and Physicality</v>
      </c>
      <c r="E1164" s="3" t="str">
        <f>IFERROR(__xludf.DUMMYFUNCTION("GOOGLETRANSLATE(B1164, ""nl"", ""en"")"),"Two figures mirroring each other")</f>
        <v>Two figures mirroring each other</v>
      </c>
    </row>
    <row r="1165" ht="15.75" customHeight="1">
      <c r="A1165" s="3" t="s">
        <v>4</v>
      </c>
      <c r="B1165" s="3" t="s">
        <v>21</v>
      </c>
      <c r="D1165" s="3" t="str">
        <f>IFERROR(__xludf.DUMMYFUNCTION("GOOGLETRANSLATE(A1165, ""nl"", ""en"")"),"Architectural and Structural Associations")</f>
        <v>Architectural and Structural Associations</v>
      </c>
      <c r="E1165" s="3" t="str">
        <f>IFERROR(__xludf.DUMMYFUNCTION("GOOGLETRANSLATE(B1165, ""nl"", ""en"")"),"A bridge that leads nowhere")</f>
        <v>A bridge that leads nowhere</v>
      </c>
    </row>
    <row r="1166" ht="15.75" customHeight="1">
      <c r="A1166" s="3" t="s">
        <v>7</v>
      </c>
      <c r="B1166" s="3" t="s">
        <v>40</v>
      </c>
      <c r="D1166" s="3" t="str">
        <f>IFERROR(__xludf.DUMMYFUNCTION("GOOGLETRANSLATE(A1166, ""nl"", ""en"")"),"Human Figures and Physicality")</f>
        <v>Human Figures and Physicality</v>
      </c>
      <c r="E1166" s="3" t="str">
        <f>IFERROR(__xludf.DUMMYFUNCTION("GOOGLETRANSLATE(B1166, ""nl"", ""en"")"),"A figure who is withdrawn into himself")</f>
        <v>A figure who is withdrawn into himself</v>
      </c>
    </row>
    <row r="1167" ht="15.75" customHeight="1">
      <c r="A1167" s="3" t="s">
        <v>7</v>
      </c>
      <c r="B1167" s="3" t="s">
        <v>34</v>
      </c>
      <c r="D1167" s="3" t="str">
        <f>IFERROR(__xludf.DUMMYFUNCTION("GOOGLETRANSLATE(A1167, ""nl"", ""en"")"),"Human Figures and Physicality")</f>
        <v>Human Figures and Physicality</v>
      </c>
      <c r="E1167" s="3" t="str">
        <f>IFERROR(__xludf.DUMMYFUNCTION("GOOGLETRANSLATE(B1167, ""nl"", ""en"")"),"Hands almost touching")</f>
        <v>Hands almost touching</v>
      </c>
    </row>
    <row r="1168" ht="15.75" customHeight="1">
      <c r="A1168" s="3" t="s">
        <v>12</v>
      </c>
      <c r="B1168" s="3" t="s">
        <v>51</v>
      </c>
      <c r="D1168" s="3" t="str">
        <f>IFERROR(__xludf.DUMMYFUNCTION("GOOGLETRANSLATE(A1168, ""nl"", ""en"")"),"Nature and Elements")</f>
        <v>Nature and Elements</v>
      </c>
      <c r="E1168" s="3" t="str">
        <f>IFERROR(__xludf.DUMMYFUNCTION("GOOGLETRANSLATE(B1168, ""nl"", ""en"")"),"An evaporating puddle of water")</f>
        <v>An evaporating puddle of water</v>
      </c>
    </row>
    <row r="1169" ht="15.75" customHeight="1">
      <c r="A1169" s="3" t="s">
        <v>15</v>
      </c>
      <c r="B1169" s="3" t="s">
        <v>26</v>
      </c>
      <c r="D1169" s="3" t="str">
        <f>IFERROR(__xludf.DUMMYFUNCTION("GOOGLETRANSLATE(A1169, ""nl"", ""en"")"),"Animals and Organic Forms")</f>
        <v>Animals and Organic Forms</v>
      </c>
      <c r="E1169" s="3" t="str">
        <f>IFERROR(__xludf.DUMMYFUNCTION("GOOGLETRANSLATE(B1169, ""nl"", ""en"")"),"A frog preparing to jump")</f>
        <v>A frog preparing to jump</v>
      </c>
    </row>
    <row r="1170" ht="15.75" customHeight="1">
      <c r="A1170" s="3" t="s">
        <v>4</v>
      </c>
      <c r="B1170" s="3" t="s">
        <v>55</v>
      </c>
      <c r="D1170" s="3" t="str">
        <f>IFERROR(__xludf.DUMMYFUNCTION("GOOGLETRANSLATE(A1170, ""nl"", ""en"")"),"Architectural and Structural Associations")</f>
        <v>Architectural and Structural Associations</v>
      </c>
      <c r="E1170" s="3" t="str">
        <f>IFERROR(__xludf.DUMMYFUNCTION("GOOGLETRANSLATE(B1170, ""nl"", ""en"")"),"A prism that splits light into colors")</f>
        <v>A prism that splits light into colors</v>
      </c>
    </row>
    <row r="1171" ht="15.75" customHeight="1">
      <c r="A1171" s="3" t="s">
        <v>24</v>
      </c>
      <c r="B1171" s="3" t="s">
        <v>25</v>
      </c>
      <c r="D1171" s="3" t="str">
        <f>IFERROR(__xludf.DUMMYFUNCTION("GOOGLETRANSLATE(A1171, ""nl"", ""en"")"),"Cosmic and Abstract Patterns")</f>
        <v>Cosmic and Abstract Patterns</v>
      </c>
      <c r="E1171" s="3" t="str">
        <f>IFERROR(__xludf.DUMMYFUNCTION("GOOGLETRANSLATE(B1171, ""nl"", ""en"")"),"A meteor shower dissolving into each other")</f>
        <v>A meteor shower dissolving into each other</v>
      </c>
    </row>
    <row r="1172" ht="15.75" customHeight="1">
      <c r="A1172" s="3" t="s">
        <v>4</v>
      </c>
      <c r="B1172" s="3" t="s">
        <v>55</v>
      </c>
      <c r="D1172" s="3" t="str">
        <f>IFERROR(__xludf.DUMMYFUNCTION("GOOGLETRANSLATE(A1172, ""nl"", ""en"")"),"Architectural and Structural Associations")</f>
        <v>Architectural and Structural Associations</v>
      </c>
      <c r="E1172" s="3" t="str">
        <f>IFERROR(__xludf.DUMMYFUNCTION("GOOGLETRANSLATE(B1172, ""nl"", ""en"")"),"A prism that splits light into colors")</f>
        <v>A prism that splits light into colors</v>
      </c>
    </row>
    <row r="1173" ht="15.75" customHeight="1">
      <c r="A1173" s="3" t="s">
        <v>24</v>
      </c>
      <c r="B1173" s="3" t="s">
        <v>25</v>
      </c>
      <c r="D1173" s="3" t="str">
        <f>IFERROR(__xludf.DUMMYFUNCTION("GOOGLETRANSLATE(A1173, ""nl"", ""en"")"),"Cosmic and Abstract Patterns")</f>
        <v>Cosmic and Abstract Patterns</v>
      </c>
      <c r="E1173" s="3" t="str">
        <f>IFERROR(__xludf.DUMMYFUNCTION("GOOGLETRANSLATE(B1173, ""nl"", ""en"")"),"A meteor shower dissolving into each other")</f>
        <v>A meteor shower dissolving into each other</v>
      </c>
    </row>
    <row r="1174" ht="15.75" customHeight="1">
      <c r="A1174" s="3" t="s">
        <v>24</v>
      </c>
      <c r="B1174" s="3" t="s">
        <v>48</v>
      </c>
      <c r="D1174" s="3" t="str">
        <f>IFERROR(__xludf.DUMMYFUNCTION("GOOGLETRANSLATE(A1174, ""nl"", ""en"")"),"Cosmic and Abstract Patterns")</f>
        <v>Cosmic and Abstract Patterns</v>
      </c>
      <c r="E1174" s="3" t="str">
        <f>IFERROR(__xludf.DUMMYFUNCTION("GOOGLETRANSLATE(B1174, ""nl"", ""en"")"),"A fractal that repeats itself")</f>
        <v>A fractal that repeats itself</v>
      </c>
    </row>
    <row r="1175" ht="15.75" customHeight="1">
      <c r="A1175" s="3" t="s">
        <v>15</v>
      </c>
      <c r="B1175" s="3" t="s">
        <v>22</v>
      </c>
      <c r="D1175" s="3" t="str">
        <f>IFERROR(__xludf.DUMMYFUNCTION("GOOGLETRANSLATE(A1175, ""nl"", ""en"")"),"Animals and Organic Forms")</f>
        <v>Animals and Organic Forms</v>
      </c>
      <c r="E1175" s="3" t="str">
        <f>IFERROR(__xludf.DUMMYFUNCTION("GOOGLETRANSLATE(B1175, ""nl"", ""en"")"),"A bird taking off")</f>
        <v>A bird taking off</v>
      </c>
    </row>
    <row r="1176" ht="15.75" customHeight="1">
      <c r="A1176" s="3" t="s">
        <v>12</v>
      </c>
      <c r="B1176" s="3" t="s">
        <v>47</v>
      </c>
      <c r="D1176" s="3" t="str">
        <f>IFERROR(__xludf.DUMMYFUNCTION("GOOGLETRANSLATE(A1176, ""nl"", ""en"")"),"Nature and Elements")</f>
        <v>Nature and Elements</v>
      </c>
      <c r="E1176" s="3" t="str">
        <f>IFERROR(__xludf.DUMMYFUNCTION("GOOGLETRANSLATE(B1176, ""nl"", ""en"")"),"A desert landscape that slowly changes")</f>
        <v>A desert landscape that slowly changes</v>
      </c>
    </row>
    <row r="1177" ht="15.75" customHeight="1">
      <c r="A1177" s="3" t="s">
        <v>7</v>
      </c>
      <c r="B1177" s="3" t="s">
        <v>53</v>
      </c>
      <c r="D1177" s="3" t="str">
        <f>IFERROR(__xludf.DUMMYFUNCTION("GOOGLETRANSLATE(A1177, ""nl"", ""en"")"),"Human Figures and Physicality")</f>
        <v>Human Figures and Physicality</v>
      </c>
      <c r="E1177" s="3" t="str">
        <f>IFERROR(__xludf.DUMMYFUNCTION("GOOGLETRANSLATE(B1177, ""nl"", ""en"")"),"A face that both smiles and cries")</f>
        <v>A face that both smiles and cries</v>
      </c>
    </row>
    <row r="1178" ht="15.75" customHeight="1">
      <c r="A1178" s="3" t="s">
        <v>15</v>
      </c>
      <c r="B1178" s="3" t="s">
        <v>26</v>
      </c>
      <c r="D1178" s="3" t="str">
        <f>IFERROR(__xludf.DUMMYFUNCTION("GOOGLETRANSLATE(A1178, ""nl"", ""en"")"),"Animals and Organic Forms")</f>
        <v>Animals and Organic Forms</v>
      </c>
      <c r="E1178" s="3" t="str">
        <f>IFERROR(__xludf.DUMMYFUNCTION("GOOGLETRANSLATE(B1178, ""nl"", ""en"")"),"A frog preparing to jump")</f>
        <v>A frog preparing to jump</v>
      </c>
    </row>
    <row r="1179" ht="15.75" customHeight="1">
      <c r="A1179" s="3" t="s">
        <v>12</v>
      </c>
      <c r="B1179" s="3" t="s">
        <v>18</v>
      </c>
      <c r="D1179" s="3" t="str">
        <f>IFERROR(__xludf.DUMMYFUNCTION("GOOGLETRANSLATE(A1179, ""nl"", ""en"")"),"Nature and Elements")</f>
        <v>Nature and Elements</v>
      </c>
      <c r="E1179" s="3" t="str">
        <f>IFERROR(__xludf.DUMMYFUNCTION("GOOGLETRANSLATE(B1179, ""nl"", ""en"")"),"A tree with endless branches")</f>
        <v>A tree with endless branches</v>
      </c>
    </row>
    <row r="1180" ht="15.75" customHeight="1">
      <c r="A1180" s="3" t="s">
        <v>9</v>
      </c>
      <c r="B1180" s="3" t="s">
        <v>14</v>
      </c>
      <c r="D1180" s="3" t="str">
        <f>IFERROR(__xludf.DUMMYFUNCTION("GOOGLETRANSLATE(A1180, ""nl"", ""en"")"),"Psychological and Emotional Interpretations")</f>
        <v>Psychological and Emotional Interpretations</v>
      </c>
      <c r="E1180" s="3" t="str">
        <f>IFERROR(__xludf.DUMMYFUNCTION("GOOGLETRANSLATE(B1180, ""nl"", ""en"")"),"An unclear hug")</f>
        <v>An unclear hug</v>
      </c>
    </row>
    <row r="1181" ht="15.75" customHeight="1">
      <c r="A1181" s="3" t="s">
        <v>9</v>
      </c>
      <c r="B1181" s="3" t="s">
        <v>10</v>
      </c>
      <c r="D1181" s="3" t="str">
        <f>IFERROR(__xludf.DUMMYFUNCTION("GOOGLETRANSLATE(A1181, ""nl"", ""en"")"),"Psychological and Emotional Interpretations")</f>
        <v>Psychological and Emotional Interpretations</v>
      </c>
      <c r="E1181" s="3" t="str">
        <f>IFERROR(__xludf.DUMMYFUNCTION("GOOGLETRANSLATE(B1181, ""nl"", ""en"")"),"A face transforming in light")</f>
        <v>A face transforming in light</v>
      </c>
    </row>
    <row r="1182" ht="15.75" customHeight="1">
      <c r="A1182" s="3" t="s">
        <v>9</v>
      </c>
      <c r="B1182" s="3" t="s">
        <v>57</v>
      </c>
      <c r="D1182" s="3" t="str">
        <f>IFERROR(__xludf.DUMMYFUNCTION("GOOGLETRANSLATE(A1182, ""nl"", ""en"")"),"Psychological and Emotional Interpretations")</f>
        <v>Psychological and Emotional Interpretations</v>
      </c>
      <c r="E1182" s="3" t="str">
        <f>IFERROR(__xludf.DUMMYFUNCTION("GOOGLETRANSLATE(B1182, ""nl"", ""en"")"),"An explosion of colours and feelings")</f>
        <v>An explosion of colours and feelings</v>
      </c>
    </row>
    <row r="1183" ht="15.75" customHeight="1">
      <c r="A1183" s="3" t="s">
        <v>15</v>
      </c>
      <c r="B1183" s="3" t="s">
        <v>26</v>
      </c>
      <c r="D1183" s="3" t="str">
        <f>IFERROR(__xludf.DUMMYFUNCTION("GOOGLETRANSLATE(A1183, ""nl"", ""en"")"),"Animals and Organic Forms")</f>
        <v>Animals and Organic Forms</v>
      </c>
      <c r="E1183" s="3" t="str">
        <f>IFERROR(__xludf.DUMMYFUNCTION("GOOGLETRANSLATE(B1183, ""nl"", ""en"")"),"A frog preparing to jump")</f>
        <v>A frog preparing to jump</v>
      </c>
    </row>
    <row r="1184" ht="15.75" customHeight="1">
      <c r="A1184" s="3" t="s">
        <v>7</v>
      </c>
      <c r="B1184" s="3" t="s">
        <v>8</v>
      </c>
      <c r="D1184" s="3" t="str">
        <f>IFERROR(__xludf.DUMMYFUNCTION("GOOGLETRANSLATE(A1184, ""nl"", ""en"")"),"Human Figures and Physicality")</f>
        <v>Human Figures and Physicality</v>
      </c>
      <c r="E1184" s="3" t="str">
        <f>IFERROR(__xludf.DUMMYFUNCTION("GOOGLETRANSLATE(B1184, ""nl"", ""en"")"),"Two figures mirroring each other")</f>
        <v>Two figures mirroring each other</v>
      </c>
    </row>
    <row r="1185" ht="15.75" customHeight="1">
      <c r="A1185" s="3" t="s">
        <v>4</v>
      </c>
      <c r="B1185" s="3" t="s">
        <v>5</v>
      </c>
      <c r="D1185" s="3" t="str">
        <f>IFERROR(__xludf.DUMMYFUNCTION("GOOGLETRANSLATE(A1185, ""nl"", ""en"")"),"Architectural and Structural Associations")</f>
        <v>Architectural and Structural Associations</v>
      </c>
      <c r="E1185" s="3" t="str">
        <f>IFERROR(__xludf.DUMMYFUNCTION("GOOGLETRANSLATE(B1185, ""nl"", ""en"")"),"A cathedral shaped from mist")</f>
        <v>A cathedral shaped from mist</v>
      </c>
    </row>
    <row r="1186" ht="15.75" customHeight="1">
      <c r="A1186" s="3" t="s">
        <v>4</v>
      </c>
      <c r="B1186" s="3" t="s">
        <v>55</v>
      </c>
      <c r="D1186" s="3" t="str">
        <f>IFERROR(__xludf.DUMMYFUNCTION("GOOGLETRANSLATE(A1186, ""nl"", ""en"")"),"Architectural and Structural Associations")</f>
        <v>Architectural and Structural Associations</v>
      </c>
      <c r="E1186" s="3" t="str">
        <f>IFERROR(__xludf.DUMMYFUNCTION("GOOGLETRANSLATE(B1186, ""nl"", ""en"")"),"A prism that splits light into colors")</f>
        <v>A prism that splits light into colors</v>
      </c>
    </row>
    <row r="1187" ht="15.75" customHeight="1">
      <c r="A1187" s="3" t="s">
        <v>4</v>
      </c>
      <c r="B1187" s="3" t="s">
        <v>44</v>
      </c>
      <c r="D1187" s="3" t="str">
        <f>IFERROR(__xludf.DUMMYFUNCTION("GOOGLETRANSLATE(A1187, ""nl"", ""en"")"),"Architectural and Structural Associations")</f>
        <v>Architectural and Structural Associations</v>
      </c>
      <c r="E1187" s="3" t="str">
        <f>IFERROR(__xludf.DUMMYFUNCTION("GOOGLETRANSLATE(B1187, ""nl"", ""en"")"),"A structure that pulsates in waves")</f>
        <v>A structure that pulsates in waves</v>
      </c>
    </row>
    <row r="1188" ht="15.75" customHeight="1">
      <c r="A1188" s="3" t="s">
        <v>9</v>
      </c>
      <c r="B1188" s="3" t="s">
        <v>42</v>
      </c>
      <c r="D1188" s="3" t="str">
        <f>IFERROR(__xludf.DUMMYFUNCTION("GOOGLETRANSLATE(A1188, ""nl"", ""en"")"),"Psychological and Emotional Interpretations")</f>
        <v>Psychological and Emotional Interpretations</v>
      </c>
      <c r="E1188" s="3" t="str">
        <f>IFERROR(__xludf.DUMMYFUNCTION("GOOGLETRANSLATE(B1188, ""nl"", ""en"")"),"A mask that slowly disappears")</f>
        <v>A mask that slowly disappears</v>
      </c>
    </row>
    <row r="1189" ht="15.75" customHeight="1">
      <c r="A1189" s="3" t="s">
        <v>4</v>
      </c>
      <c r="B1189" s="3" t="s">
        <v>20</v>
      </c>
      <c r="D1189" s="3" t="str">
        <f>IFERROR(__xludf.DUMMYFUNCTION("GOOGLETRANSLATE(A1189, ""nl"", ""en"")"),"Architectural and Structural Associations")</f>
        <v>Architectural and Structural Associations</v>
      </c>
      <c r="E1189" s="3" t="str">
        <f>IFERROR(__xludf.DUMMYFUNCTION("GOOGLETRANSLATE(B1189, ""nl"", ""en"")"),"A tower that grows by itself")</f>
        <v>A tower that grows by itself</v>
      </c>
    </row>
    <row r="1190" ht="15.75" customHeight="1">
      <c r="A1190" s="3" t="s">
        <v>12</v>
      </c>
      <c r="B1190" s="3" t="s">
        <v>47</v>
      </c>
      <c r="D1190" s="3" t="str">
        <f>IFERROR(__xludf.DUMMYFUNCTION("GOOGLETRANSLATE(A1190, ""nl"", ""en"")"),"Nature and Elements")</f>
        <v>Nature and Elements</v>
      </c>
      <c r="E1190" s="3" t="str">
        <f>IFERROR(__xludf.DUMMYFUNCTION("GOOGLETRANSLATE(B1190, ""nl"", ""en"")"),"A desert landscape that slowly changes")</f>
        <v>A desert landscape that slowly changes</v>
      </c>
    </row>
    <row r="1191" ht="15.75" customHeight="1">
      <c r="A1191" s="3" t="s">
        <v>12</v>
      </c>
      <c r="B1191" s="3" t="s">
        <v>51</v>
      </c>
      <c r="D1191" s="3" t="str">
        <f>IFERROR(__xludf.DUMMYFUNCTION("GOOGLETRANSLATE(A1191, ""nl"", ""en"")"),"Nature and Elements")</f>
        <v>Nature and Elements</v>
      </c>
      <c r="E1191" s="3" t="str">
        <f>IFERROR(__xludf.DUMMYFUNCTION("GOOGLETRANSLATE(B1191, ""nl"", ""en"")"),"An evaporating puddle of water")</f>
        <v>An evaporating puddle of water</v>
      </c>
    </row>
    <row r="1192" ht="15.75" customHeight="1">
      <c r="A1192" s="3" t="s">
        <v>4</v>
      </c>
      <c r="B1192" s="3" t="s">
        <v>20</v>
      </c>
      <c r="D1192" s="3" t="str">
        <f>IFERROR(__xludf.DUMMYFUNCTION("GOOGLETRANSLATE(A1192, ""nl"", ""en"")"),"Architectural and Structural Associations")</f>
        <v>Architectural and Structural Associations</v>
      </c>
      <c r="E1192" s="3" t="str">
        <f>IFERROR(__xludf.DUMMYFUNCTION("GOOGLETRANSLATE(B1192, ""nl"", ""en"")"),"A tower that grows by itself")</f>
        <v>A tower that grows by itself</v>
      </c>
    </row>
    <row r="1193" ht="15.75" customHeight="1">
      <c r="A1193" s="3" t="s">
        <v>7</v>
      </c>
      <c r="B1193" s="3" t="s">
        <v>56</v>
      </c>
      <c r="D1193" s="3" t="str">
        <f>IFERROR(__xludf.DUMMYFUNCTION("GOOGLETRANSLATE(A1193, ""nl"", ""en"")"),"Human Figures and Physicality")</f>
        <v>Human Figures and Physicality</v>
      </c>
      <c r="E1193" s="3" t="str">
        <f>IFERROR(__xludf.DUMMYFUNCTION("GOOGLETRANSLATE(B1193, ""nl"", ""en"")"),"A shadow that seems to move")</f>
        <v>A shadow that seems to move</v>
      </c>
    </row>
    <row r="1194" ht="15.75" customHeight="1">
      <c r="A1194" s="3" t="s">
        <v>15</v>
      </c>
      <c r="B1194" s="3" t="s">
        <v>26</v>
      </c>
      <c r="D1194" s="3" t="str">
        <f>IFERROR(__xludf.DUMMYFUNCTION("GOOGLETRANSLATE(A1194, ""nl"", ""en"")"),"Animals and Organic Forms")</f>
        <v>Animals and Organic Forms</v>
      </c>
      <c r="E1194" s="3" t="str">
        <f>IFERROR(__xludf.DUMMYFUNCTION("GOOGLETRANSLATE(B1194, ""nl"", ""en"")"),"A frog preparing to jump")</f>
        <v>A frog preparing to jump</v>
      </c>
    </row>
    <row r="1195" ht="15.75" customHeight="1">
      <c r="A1195" s="3" t="s">
        <v>9</v>
      </c>
      <c r="B1195" s="3" t="s">
        <v>57</v>
      </c>
      <c r="D1195" s="3" t="str">
        <f>IFERROR(__xludf.DUMMYFUNCTION("GOOGLETRANSLATE(A1195, ""nl"", ""en"")"),"Psychological and Emotional Interpretations")</f>
        <v>Psychological and Emotional Interpretations</v>
      </c>
      <c r="E1195" s="3" t="str">
        <f>IFERROR(__xludf.DUMMYFUNCTION("GOOGLETRANSLATE(B1195, ""nl"", ""en"")"),"An explosion of colours and feelings")</f>
        <v>An explosion of colours and feelings</v>
      </c>
    </row>
    <row r="1196" ht="15.75" customHeight="1">
      <c r="A1196" s="3" t="s">
        <v>24</v>
      </c>
      <c r="B1196" s="3" t="s">
        <v>33</v>
      </c>
      <c r="D1196" s="3" t="str">
        <f>IFERROR(__xludf.DUMMYFUNCTION("GOOGLETRANSLATE(A1196, ""nl"", ""en"")"),"Cosmic and Abstract Patterns")</f>
        <v>Cosmic and Abstract Patterns</v>
      </c>
      <c r="E1196" s="3" t="str">
        <f>IFERROR(__xludf.DUMMYFUNCTION("GOOGLETRANSLATE(B1196, ""nl"", ""en"")"),"An eye that repeats itself in endless patterns")</f>
        <v>An eye that repeats itself in endless patterns</v>
      </c>
    </row>
    <row r="1197" ht="15.75" customHeight="1">
      <c r="A1197" s="3" t="s">
        <v>9</v>
      </c>
      <c r="B1197" s="3" t="s">
        <v>14</v>
      </c>
      <c r="D1197" s="3" t="str">
        <f>IFERROR(__xludf.DUMMYFUNCTION("GOOGLETRANSLATE(A1197, ""nl"", ""en"")"),"Psychological and Emotional Interpretations")</f>
        <v>Psychological and Emotional Interpretations</v>
      </c>
      <c r="E1197" s="3" t="str">
        <f>IFERROR(__xludf.DUMMYFUNCTION("GOOGLETRANSLATE(B1197, ""nl"", ""en"")"),"An unclear hug")</f>
        <v>An unclear hug</v>
      </c>
    </row>
    <row r="1198" ht="15.75" customHeight="1">
      <c r="A1198" s="3" t="s">
        <v>4</v>
      </c>
      <c r="B1198" s="3" t="s">
        <v>21</v>
      </c>
      <c r="D1198" s="3" t="str">
        <f>IFERROR(__xludf.DUMMYFUNCTION("GOOGLETRANSLATE(A1198, ""nl"", ""en"")"),"Architectural and Structural Associations")</f>
        <v>Architectural and Structural Associations</v>
      </c>
      <c r="E1198" s="3" t="str">
        <f>IFERROR(__xludf.DUMMYFUNCTION("GOOGLETRANSLATE(B1198, ""nl"", ""en"")"),"A bridge that leads nowhere")</f>
        <v>A bridge that leads nowhere</v>
      </c>
    </row>
    <row r="1199" ht="15.75" customHeight="1">
      <c r="A1199" s="3" t="s">
        <v>15</v>
      </c>
      <c r="B1199" s="3" t="s">
        <v>45</v>
      </c>
      <c r="D1199" s="3" t="str">
        <f>IFERROR(__xludf.DUMMYFUNCTION("GOOGLETRANSLATE(A1199, ""nl"", ""en"")"),"Animals and Organic Forms")</f>
        <v>Animals and Organic Forms</v>
      </c>
      <c r="E1199" s="3" t="str">
        <f>IFERROR(__xludf.DUMMYFUNCTION("GOOGLETRANSLATE(B1199, ""nl"", ""en"")"),"A snake biting its own tail")</f>
        <v>A snake biting its own tail</v>
      </c>
    </row>
    <row r="1200" ht="15.75" customHeight="1">
      <c r="A1200" s="3" t="s">
        <v>15</v>
      </c>
      <c r="B1200" s="3" t="s">
        <v>52</v>
      </c>
      <c r="D1200" s="3" t="str">
        <f>IFERROR(__xludf.DUMMYFUNCTION("GOOGLETRANSLATE(A1200, ""nl"", ""en"")"),"Animals and Organic Forms")</f>
        <v>Animals and Organic Forms</v>
      </c>
      <c r="E1200" s="3" t="str">
        <f>IFERROR(__xludf.DUMMYFUNCTION("GOOGLETRANSLATE(B1200, ""nl"", ""en"")"),"A mask made of leaves")</f>
        <v>A mask made of leaves</v>
      </c>
    </row>
    <row r="1201" ht="15.75" customHeight="1">
      <c r="A1201" s="3" t="s">
        <v>12</v>
      </c>
      <c r="B1201" s="3" t="s">
        <v>18</v>
      </c>
      <c r="D1201" s="3" t="str">
        <f>IFERROR(__xludf.DUMMYFUNCTION("GOOGLETRANSLATE(A1201, ""nl"", ""en"")"),"Nature and Elements")</f>
        <v>Nature and Elements</v>
      </c>
      <c r="E1201" s="3" t="str">
        <f>IFERROR(__xludf.DUMMYFUNCTION("GOOGLETRANSLATE(B1201, ""nl"", ""en"")"),"A tree with endless branches")</f>
        <v>A tree with endless branches</v>
      </c>
    </row>
    <row r="1202" ht="15.75" customHeight="1">
      <c r="A1202" s="3" t="s">
        <v>15</v>
      </c>
      <c r="B1202" s="3" t="s">
        <v>45</v>
      </c>
      <c r="D1202" s="3" t="str">
        <f>IFERROR(__xludf.DUMMYFUNCTION("GOOGLETRANSLATE(A1202, ""nl"", ""en"")"),"Animals and Organic Forms")</f>
        <v>Animals and Organic Forms</v>
      </c>
      <c r="E1202" s="3" t="str">
        <f>IFERROR(__xludf.DUMMYFUNCTION("GOOGLETRANSLATE(B1202, ""nl"", ""en"")"),"A snake biting its own tail")</f>
        <v>A snake biting its own tail</v>
      </c>
    </row>
    <row r="1203" ht="15.75" customHeight="1">
      <c r="A1203" s="3" t="s">
        <v>15</v>
      </c>
      <c r="B1203" s="3" t="s">
        <v>22</v>
      </c>
      <c r="D1203" s="3" t="str">
        <f>IFERROR(__xludf.DUMMYFUNCTION("GOOGLETRANSLATE(A1203, ""nl"", ""en"")"),"Animals and Organic Forms")</f>
        <v>Animals and Organic Forms</v>
      </c>
      <c r="E1203" s="3" t="str">
        <f>IFERROR(__xludf.DUMMYFUNCTION("GOOGLETRANSLATE(B1203, ""nl"", ""en"")"),"A bird taking off")</f>
        <v>A bird taking off</v>
      </c>
    </row>
    <row r="1204" ht="15.75" customHeight="1">
      <c r="A1204" s="3" t="s">
        <v>9</v>
      </c>
      <c r="B1204" s="3" t="s">
        <v>11</v>
      </c>
      <c r="D1204" s="3" t="str">
        <f>IFERROR(__xludf.DUMMYFUNCTION("GOOGLETRANSLATE(A1204, ""nl"", ""en"")"),"Psychological and Emotional Interpretations")</f>
        <v>Psychological and Emotional Interpretations</v>
      </c>
      <c r="E1204" s="3" t="str">
        <f>IFERROR(__xludf.DUMMYFUNCTION("GOOGLETRANSLATE(B1204, ""nl"", ""en"")"),"An emotion captured in abstraction")</f>
        <v>An emotion captured in abstraction</v>
      </c>
    </row>
    <row r="1205" ht="15.75" customHeight="1">
      <c r="A1205" s="3" t="s">
        <v>4</v>
      </c>
      <c r="B1205" s="3" t="s">
        <v>35</v>
      </c>
      <c r="D1205" s="3" t="str">
        <f>IFERROR(__xludf.DUMMYFUNCTION("GOOGLETRANSLATE(A1205, ""nl"", ""en"")"),"Architectural and Structural Associations")</f>
        <v>Architectural and Structural Associations</v>
      </c>
      <c r="E1205" s="3" t="str">
        <f>IFERROR(__xludf.DUMMYFUNCTION("GOOGLETRANSLATE(B1205, ""nl"", ""en"")"),"A floating building without a base")</f>
        <v>A floating building without a base</v>
      </c>
    </row>
    <row r="1206" ht="15.75" customHeight="1">
      <c r="A1206" s="3" t="s">
        <v>4</v>
      </c>
      <c r="B1206" s="3" t="s">
        <v>35</v>
      </c>
      <c r="D1206" s="3" t="str">
        <f>IFERROR(__xludf.DUMMYFUNCTION("GOOGLETRANSLATE(A1206, ""nl"", ""en"")"),"Architectural and Structural Associations")</f>
        <v>Architectural and Structural Associations</v>
      </c>
      <c r="E1206" s="3" t="str">
        <f>IFERROR(__xludf.DUMMYFUNCTION("GOOGLETRANSLATE(B1206, ""nl"", ""en"")"),"A floating building without a base")</f>
        <v>A floating building without a base</v>
      </c>
    </row>
    <row r="1207" ht="15.75" customHeight="1">
      <c r="A1207" s="3" t="s">
        <v>4</v>
      </c>
      <c r="B1207" s="3" t="s">
        <v>5</v>
      </c>
      <c r="D1207" s="3" t="str">
        <f>IFERROR(__xludf.DUMMYFUNCTION("GOOGLETRANSLATE(A1207, ""nl"", ""en"")"),"Architectural and Structural Associations")</f>
        <v>Architectural and Structural Associations</v>
      </c>
      <c r="E1207" s="3" t="str">
        <f>IFERROR(__xludf.DUMMYFUNCTION("GOOGLETRANSLATE(B1207, ""nl"", ""en"")"),"A cathedral shaped from mist")</f>
        <v>A cathedral shaped from mist</v>
      </c>
    </row>
    <row r="1208" ht="15.75" customHeight="1">
      <c r="A1208" s="3" t="s">
        <v>15</v>
      </c>
      <c r="B1208" s="3" t="s">
        <v>45</v>
      </c>
      <c r="D1208" s="3" t="str">
        <f>IFERROR(__xludf.DUMMYFUNCTION("GOOGLETRANSLATE(A1208, ""nl"", ""en"")"),"Animals and Organic Forms")</f>
        <v>Animals and Organic Forms</v>
      </c>
      <c r="E1208" s="3" t="str">
        <f>IFERROR(__xludf.DUMMYFUNCTION("GOOGLETRANSLATE(B1208, ""nl"", ""en"")"),"A snake biting its own tail")</f>
        <v>A snake biting its own tail</v>
      </c>
    </row>
    <row r="1209" ht="15.75" customHeight="1">
      <c r="A1209" s="3" t="s">
        <v>24</v>
      </c>
      <c r="B1209" s="3" t="s">
        <v>25</v>
      </c>
      <c r="D1209" s="3" t="str">
        <f>IFERROR(__xludf.DUMMYFUNCTION("GOOGLETRANSLATE(A1209, ""nl"", ""en"")"),"Cosmic and Abstract Patterns")</f>
        <v>Cosmic and Abstract Patterns</v>
      </c>
      <c r="E1209" s="3" t="str">
        <f>IFERROR(__xludf.DUMMYFUNCTION("GOOGLETRANSLATE(B1209, ""nl"", ""en"")"),"A meteor shower dissolving into each other")</f>
        <v>A meteor shower dissolving into each other</v>
      </c>
    </row>
    <row r="1210" ht="15.75" customHeight="1">
      <c r="A1210" s="3" t="s">
        <v>24</v>
      </c>
      <c r="B1210" s="3" t="s">
        <v>32</v>
      </c>
      <c r="D1210" s="3" t="str">
        <f>IFERROR(__xludf.DUMMYFUNCTION("GOOGLETRANSLATE(A1210, ""nl"", ""en"")"),"Cosmic and Abstract Patterns")</f>
        <v>Cosmic and Abstract Patterns</v>
      </c>
      <c r="E1210" s="3" t="str">
        <f>IFERROR(__xludf.DUMMYFUNCTION("GOOGLETRANSLATE(B1210, ""nl"", ""en"")"),"A time loop captured in image")</f>
        <v>A time loop captured in image</v>
      </c>
    </row>
    <row r="1211" ht="15.75" customHeight="1">
      <c r="A1211" s="3" t="s">
        <v>7</v>
      </c>
      <c r="B1211" s="3" t="s">
        <v>34</v>
      </c>
      <c r="D1211" s="3" t="str">
        <f>IFERROR(__xludf.DUMMYFUNCTION("GOOGLETRANSLATE(A1211, ""nl"", ""en"")"),"Human Figures and Physicality")</f>
        <v>Human Figures and Physicality</v>
      </c>
      <c r="E1211" s="3" t="str">
        <f>IFERROR(__xludf.DUMMYFUNCTION("GOOGLETRANSLATE(B1211, ""nl"", ""en"")"),"Hands almost touching")</f>
        <v>Hands almost touching</v>
      </c>
    </row>
    <row r="1212" ht="15.75" customHeight="1">
      <c r="A1212" s="3" t="s">
        <v>24</v>
      </c>
      <c r="B1212" s="3" t="s">
        <v>48</v>
      </c>
      <c r="D1212" s="3" t="str">
        <f>IFERROR(__xludf.DUMMYFUNCTION("GOOGLETRANSLATE(A1212, ""nl"", ""en"")"),"Cosmic and Abstract Patterns")</f>
        <v>Cosmic and Abstract Patterns</v>
      </c>
      <c r="E1212" s="3" t="str">
        <f>IFERROR(__xludf.DUMMYFUNCTION("GOOGLETRANSLATE(B1212, ""nl"", ""en"")"),"A fractal that repeats itself")</f>
        <v>A fractal that repeats itself</v>
      </c>
    </row>
    <row r="1213" ht="15.75" customHeight="1">
      <c r="A1213" s="3" t="s">
        <v>7</v>
      </c>
      <c r="B1213" s="3" t="s">
        <v>34</v>
      </c>
      <c r="D1213" s="3" t="str">
        <f>IFERROR(__xludf.DUMMYFUNCTION("GOOGLETRANSLATE(A1213, ""nl"", ""en"")"),"Human Figures and Physicality")</f>
        <v>Human Figures and Physicality</v>
      </c>
      <c r="E1213" s="3" t="str">
        <f>IFERROR(__xludf.DUMMYFUNCTION("GOOGLETRANSLATE(B1213, ""nl"", ""en"")"),"Hands almost touching")</f>
        <v>Hands almost touching</v>
      </c>
    </row>
    <row r="1214" ht="15.75" customHeight="1">
      <c r="A1214" s="3" t="s">
        <v>15</v>
      </c>
      <c r="B1214" s="3" t="s">
        <v>50</v>
      </c>
      <c r="D1214" s="3" t="str">
        <f>IFERROR(__xludf.DUMMYFUNCTION("GOOGLETRANSLATE(A1214, ""nl"", ""en"")"),"Animals and Organic Forms")</f>
        <v>Animals and Organic Forms</v>
      </c>
      <c r="E1214" s="3" t="str">
        <f>IFERROR(__xludf.DUMMYFUNCTION("GOOGLETRANSLATE(B1214, ""nl"", ""en"")"),"A squid with extended tentacles")</f>
        <v>A squid with extended tentacles</v>
      </c>
    </row>
    <row r="1215" ht="15.75" customHeight="1">
      <c r="A1215" s="3" t="s">
        <v>4</v>
      </c>
      <c r="B1215" s="3" t="s">
        <v>20</v>
      </c>
      <c r="D1215" s="3" t="str">
        <f>IFERROR(__xludf.DUMMYFUNCTION("GOOGLETRANSLATE(A1215, ""nl"", ""en"")"),"Architectural and Structural Associations")</f>
        <v>Architectural and Structural Associations</v>
      </c>
      <c r="E1215" s="3" t="str">
        <f>IFERROR(__xludf.DUMMYFUNCTION("GOOGLETRANSLATE(B1215, ""nl"", ""en"")"),"A tower that grows by itself")</f>
        <v>A tower that grows by itself</v>
      </c>
    </row>
    <row r="1216" ht="15.75" customHeight="1">
      <c r="A1216" s="3" t="s">
        <v>9</v>
      </c>
      <c r="B1216" s="3" t="s">
        <v>57</v>
      </c>
      <c r="D1216" s="3" t="str">
        <f>IFERROR(__xludf.DUMMYFUNCTION("GOOGLETRANSLATE(A1216, ""nl"", ""en"")"),"Psychological and Emotional Interpretations")</f>
        <v>Psychological and Emotional Interpretations</v>
      </c>
      <c r="E1216" s="3" t="str">
        <f>IFERROR(__xludf.DUMMYFUNCTION("GOOGLETRANSLATE(B1216, ""nl"", ""en"")"),"An explosion of colours and feelings")</f>
        <v>An explosion of colours and feelings</v>
      </c>
    </row>
    <row r="1217" ht="15.75" customHeight="1">
      <c r="A1217" s="3" t="s">
        <v>9</v>
      </c>
      <c r="B1217" s="3" t="s">
        <v>10</v>
      </c>
      <c r="D1217" s="3" t="str">
        <f>IFERROR(__xludf.DUMMYFUNCTION("GOOGLETRANSLATE(A1217, ""nl"", ""en"")"),"Psychological and Emotional Interpretations")</f>
        <v>Psychological and Emotional Interpretations</v>
      </c>
      <c r="E1217" s="3" t="str">
        <f>IFERROR(__xludf.DUMMYFUNCTION("GOOGLETRANSLATE(B1217, ""nl"", ""en"")"),"A face transforming in light")</f>
        <v>A face transforming in light</v>
      </c>
    </row>
    <row r="1218" ht="15.75" customHeight="1">
      <c r="A1218" s="3" t="s">
        <v>7</v>
      </c>
      <c r="B1218" s="3" t="s">
        <v>28</v>
      </c>
      <c r="D1218" s="3" t="str">
        <f>IFERROR(__xludf.DUMMYFUNCTION("GOOGLETRANSLATE(A1218, ""nl"", ""en"")"),"Human Figures and Physicality")</f>
        <v>Human Figures and Physicality</v>
      </c>
      <c r="E1218" s="3" t="str">
        <f>IFERROR(__xludf.DUMMYFUNCTION("GOOGLETRANSLATE(B1218, ""nl"", ""en"")"),"A dancing silhouette")</f>
        <v>A dancing silhouette</v>
      </c>
    </row>
    <row r="1219" ht="15.75" customHeight="1">
      <c r="A1219" s="3" t="s">
        <v>9</v>
      </c>
      <c r="B1219" s="3" t="s">
        <v>11</v>
      </c>
      <c r="D1219" s="3" t="str">
        <f>IFERROR(__xludf.DUMMYFUNCTION("GOOGLETRANSLATE(A1219, ""nl"", ""en"")"),"Psychological and Emotional Interpretations")</f>
        <v>Psychological and Emotional Interpretations</v>
      </c>
      <c r="E1219" s="3" t="str">
        <f>IFERROR(__xludf.DUMMYFUNCTION("GOOGLETRANSLATE(B1219, ""nl"", ""en"")"),"An emotion captured in abstraction")</f>
        <v>An emotion captured in abstraction</v>
      </c>
    </row>
    <row r="1220" ht="15.75" customHeight="1">
      <c r="A1220" s="3" t="s">
        <v>9</v>
      </c>
      <c r="B1220" s="3" t="s">
        <v>17</v>
      </c>
      <c r="D1220" s="3" t="str">
        <f>IFERROR(__xludf.DUMMYFUNCTION("GOOGLETRANSLATE(A1220, ""nl"", ""en"")"),"Psychological and Emotional Interpretations")</f>
        <v>Psychological and Emotional Interpretations</v>
      </c>
      <c r="E1220" s="3" t="str">
        <f>IFERROR(__xludf.DUMMYFUNCTION("GOOGLETRANSLATE(B1220, ""nl"", ""en"")"),"A figure that seems to melt")</f>
        <v>A figure that seems to melt</v>
      </c>
    </row>
    <row r="1221" ht="15.75" customHeight="1">
      <c r="A1221" s="3" t="s">
        <v>7</v>
      </c>
      <c r="B1221" s="3" t="s">
        <v>34</v>
      </c>
      <c r="D1221" s="3" t="str">
        <f>IFERROR(__xludf.DUMMYFUNCTION("GOOGLETRANSLATE(A1221, ""nl"", ""en"")"),"Human Figures and Physicality")</f>
        <v>Human Figures and Physicality</v>
      </c>
      <c r="E1221" s="3" t="str">
        <f>IFERROR(__xludf.DUMMYFUNCTION("GOOGLETRANSLATE(B1221, ""nl"", ""en"")"),"Hands almost touching")</f>
        <v>Hands almost touching</v>
      </c>
    </row>
    <row r="1222" ht="15.75" customHeight="1">
      <c r="A1222" s="3" t="s">
        <v>9</v>
      </c>
      <c r="B1222" s="3" t="s">
        <v>37</v>
      </c>
      <c r="D1222" s="3" t="str">
        <f>IFERROR(__xludf.DUMMYFUNCTION("GOOGLETRANSLATE(A1222, ""nl"", ""en"")"),"Psychological and Emotional Interpretations")</f>
        <v>Psychological and Emotional Interpretations</v>
      </c>
      <c r="E1222" s="3" t="str">
        <f>IFERROR(__xludf.DUMMYFUNCTION("GOOGLETRANSLATE(B1222, ""nl"", ""en"")"),"A figure looking through itself")</f>
        <v>A figure looking through itself</v>
      </c>
    </row>
    <row r="1223" ht="15.75" customHeight="1">
      <c r="A1223" s="3" t="s">
        <v>24</v>
      </c>
      <c r="B1223" s="3" t="s">
        <v>29</v>
      </c>
      <c r="D1223" s="3" t="str">
        <f>IFERROR(__xludf.DUMMYFUNCTION("GOOGLETRANSLATE(A1223, ""nl"", ""en"")"),"Cosmic and Abstract Patterns")</f>
        <v>Cosmic and Abstract Patterns</v>
      </c>
      <c r="E1223" s="3" t="str">
        <f>IFERROR(__xludf.DUMMYFUNCTION("GOOGLETRANSLATE(B1223, ""nl"", ""en"")"),"A galaxy unfolding")</f>
        <v>A galaxy unfolding</v>
      </c>
    </row>
    <row r="1224" ht="15.75" customHeight="1">
      <c r="A1224" s="3" t="s">
        <v>24</v>
      </c>
      <c r="B1224" s="3" t="s">
        <v>29</v>
      </c>
      <c r="D1224" s="3" t="str">
        <f>IFERROR(__xludf.DUMMYFUNCTION("GOOGLETRANSLATE(A1224, ""nl"", ""en"")"),"Cosmic and Abstract Patterns")</f>
        <v>Cosmic and Abstract Patterns</v>
      </c>
      <c r="E1224" s="3" t="str">
        <f>IFERROR(__xludf.DUMMYFUNCTION("GOOGLETRANSLATE(B1224, ""nl"", ""en"")"),"A galaxy unfolding")</f>
        <v>A galaxy unfolding</v>
      </c>
    </row>
    <row r="1225" ht="15.75" customHeight="1">
      <c r="A1225" s="3" t="s">
        <v>7</v>
      </c>
      <c r="B1225" s="3" t="s">
        <v>39</v>
      </c>
      <c r="D1225" s="3" t="str">
        <f>IFERROR(__xludf.DUMMYFUNCTION("GOOGLETRANSLATE(A1225, ""nl"", ""en"")"),"Human Figures and Physicality")</f>
        <v>Human Figures and Physicality</v>
      </c>
      <c r="E1225" s="3" t="str">
        <f>IFERROR(__xludf.DUMMYFUNCTION("GOOGLETRANSLATE(B1225, ""nl"", ""en"")"),"A torso without a head")</f>
        <v>A torso without a head</v>
      </c>
    </row>
    <row r="1226" ht="15.75" customHeight="1">
      <c r="A1226" s="3" t="s">
        <v>15</v>
      </c>
      <c r="B1226" s="3" t="s">
        <v>22</v>
      </c>
      <c r="D1226" s="3" t="str">
        <f>IFERROR(__xludf.DUMMYFUNCTION("GOOGLETRANSLATE(A1226, ""nl"", ""en"")"),"Animals and Organic Forms")</f>
        <v>Animals and Organic Forms</v>
      </c>
      <c r="E1226" s="3" t="str">
        <f>IFERROR(__xludf.DUMMYFUNCTION("GOOGLETRANSLATE(B1226, ""nl"", ""en"")"),"A bird taking off")</f>
        <v>A bird taking off</v>
      </c>
    </row>
    <row r="1227" ht="15.75" customHeight="1">
      <c r="A1227" s="3" t="s">
        <v>9</v>
      </c>
      <c r="B1227" s="3" t="s">
        <v>37</v>
      </c>
      <c r="D1227" s="3" t="str">
        <f>IFERROR(__xludf.DUMMYFUNCTION("GOOGLETRANSLATE(A1227, ""nl"", ""en"")"),"Psychological and Emotional Interpretations")</f>
        <v>Psychological and Emotional Interpretations</v>
      </c>
      <c r="E1227" s="3" t="str">
        <f>IFERROR(__xludf.DUMMYFUNCTION("GOOGLETRANSLATE(B1227, ""nl"", ""en"")"),"A figure looking through itself")</f>
        <v>A figure looking through itself</v>
      </c>
    </row>
    <row r="1228" ht="15.75" customHeight="1">
      <c r="A1228" s="3" t="s">
        <v>15</v>
      </c>
      <c r="B1228" s="3" t="s">
        <v>50</v>
      </c>
      <c r="D1228" s="3" t="str">
        <f>IFERROR(__xludf.DUMMYFUNCTION("GOOGLETRANSLATE(A1228, ""nl"", ""en"")"),"Animals and Organic Forms")</f>
        <v>Animals and Organic Forms</v>
      </c>
      <c r="E1228" s="3" t="str">
        <f>IFERROR(__xludf.DUMMYFUNCTION("GOOGLETRANSLATE(B1228, ""nl"", ""en"")"),"A squid with extended tentacles")</f>
        <v>A squid with extended tentacles</v>
      </c>
    </row>
    <row r="1229" ht="15.75" customHeight="1">
      <c r="A1229" s="3" t="s">
        <v>12</v>
      </c>
      <c r="B1229" s="3" t="s">
        <v>18</v>
      </c>
      <c r="D1229" s="3" t="str">
        <f>IFERROR(__xludf.DUMMYFUNCTION("GOOGLETRANSLATE(A1229, ""nl"", ""en"")"),"Nature and Elements")</f>
        <v>Nature and Elements</v>
      </c>
      <c r="E1229" s="3" t="str">
        <f>IFERROR(__xludf.DUMMYFUNCTION("GOOGLETRANSLATE(B1229, ""nl"", ""en"")"),"A tree with endless branches")</f>
        <v>A tree with endless branches</v>
      </c>
    </row>
    <row r="1230" ht="15.75" customHeight="1">
      <c r="A1230" s="3" t="s">
        <v>7</v>
      </c>
      <c r="B1230" s="3" t="s">
        <v>41</v>
      </c>
      <c r="D1230" s="3" t="str">
        <f>IFERROR(__xludf.DUMMYFUNCTION("GOOGLETRANSLATE(A1230, ""nl"", ""en"")"),"Human Figures and Physicality")</f>
        <v>Human Figures and Physicality</v>
      </c>
      <c r="E1230" s="3" t="str">
        <f>IFERROR(__xludf.DUMMYFUNCTION("GOOGLETRANSLATE(B1230, ""nl"", ""en"")"),"A face that fades into abstraction")</f>
        <v>A face that fades into abstraction</v>
      </c>
    </row>
    <row r="1231" ht="15.75" customHeight="1">
      <c r="A1231" s="3" t="s">
        <v>12</v>
      </c>
      <c r="B1231" s="3" t="s">
        <v>36</v>
      </c>
      <c r="D1231" s="3" t="str">
        <f>IFERROR(__xludf.DUMMYFUNCTION("GOOGLETRANSLATE(A1231, ""nl"", ""en"")"),"Nature and Elements")</f>
        <v>Nature and Elements</v>
      </c>
      <c r="E1231" s="3" t="str">
        <f>IFERROR(__xludf.DUMMYFUNCTION("GOOGLETRANSLATE(B1231, ""nl"", ""en"")"),"A river delta from a bird's-eye view")</f>
        <v>A river delta from a bird's-eye view</v>
      </c>
    </row>
    <row r="1232" ht="15.75" customHeight="1">
      <c r="A1232" s="3" t="s">
        <v>4</v>
      </c>
      <c r="B1232" s="3" t="s">
        <v>55</v>
      </c>
      <c r="D1232" s="3" t="str">
        <f>IFERROR(__xludf.DUMMYFUNCTION("GOOGLETRANSLATE(A1232, ""nl"", ""en"")"),"Architectural and Structural Associations")</f>
        <v>Architectural and Structural Associations</v>
      </c>
      <c r="E1232" s="3" t="str">
        <f>IFERROR(__xludf.DUMMYFUNCTION("GOOGLETRANSLATE(B1232, ""nl"", ""en"")"),"A prism that splits light into colors")</f>
        <v>A prism that splits light into colors</v>
      </c>
    </row>
    <row r="1233" ht="15.75" customHeight="1">
      <c r="A1233" s="3" t="s">
        <v>15</v>
      </c>
      <c r="B1233" s="3" t="s">
        <v>26</v>
      </c>
      <c r="D1233" s="3" t="str">
        <f>IFERROR(__xludf.DUMMYFUNCTION("GOOGLETRANSLATE(A1233, ""nl"", ""en"")"),"Animals and Organic Forms")</f>
        <v>Animals and Organic Forms</v>
      </c>
      <c r="E1233" s="3" t="str">
        <f>IFERROR(__xludf.DUMMYFUNCTION("GOOGLETRANSLATE(B1233, ""nl"", ""en"")"),"A frog preparing to jump")</f>
        <v>A frog preparing to jump</v>
      </c>
    </row>
    <row r="1234" ht="15.75" customHeight="1">
      <c r="A1234" s="3" t="s">
        <v>15</v>
      </c>
      <c r="B1234" s="3" t="s">
        <v>38</v>
      </c>
      <c r="D1234" s="3" t="str">
        <f>IFERROR(__xludf.DUMMYFUNCTION("GOOGLETRANSLATE(A1234, ""nl"", ""en"")"),"Animals and Organic Forms")</f>
        <v>Animals and Organic Forms</v>
      </c>
      <c r="E1234" s="3" t="str">
        <f>IFERROR(__xludf.DUMMYFUNCTION("GOOGLETRANSLATE(B1234, ""nl"", ""en"")"),"A lion with an open mouth")</f>
        <v>A lion with an open mouth</v>
      </c>
    </row>
    <row r="1235" ht="15.75" customHeight="1">
      <c r="A1235" s="3" t="s">
        <v>7</v>
      </c>
      <c r="B1235" s="3" t="s">
        <v>34</v>
      </c>
      <c r="D1235" s="3" t="str">
        <f>IFERROR(__xludf.DUMMYFUNCTION("GOOGLETRANSLATE(A1235, ""nl"", ""en"")"),"Human Figures and Physicality")</f>
        <v>Human Figures and Physicality</v>
      </c>
      <c r="E1235" s="3" t="str">
        <f>IFERROR(__xludf.DUMMYFUNCTION("GOOGLETRANSLATE(B1235, ""nl"", ""en"")"),"Hands almost touching")</f>
        <v>Hands almost touching</v>
      </c>
    </row>
    <row r="1236" ht="15.75" customHeight="1">
      <c r="A1236" s="3" t="s">
        <v>12</v>
      </c>
      <c r="B1236" s="3" t="s">
        <v>51</v>
      </c>
      <c r="D1236" s="3" t="str">
        <f>IFERROR(__xludf.DUMMYFUNCTION("GOOGLETRANSLATE(A1236, ""nl"", ""en"")"),"Nature and Elements")</f>
        <v>Nature and Elements</v>
      </c>
      <c r="E1236" s="3" t="str">
        <f>IFERROR(__xludf.DUMMYFUNCTION("GOOGLETRANSLATE(B1236, ""nl"", ""en"")"),"An evaporating puddle of water")</f>
        <v>An evaporating puddle of water</v>
      </c>
    </row>
    <row r="1237" ht="15.75" customHeight="1">
      <c r="A1237" s="3" t="s">
        <v>24</v>
      </c>
      <c r="B1237" s="3" t="s">
        <v>31</v>
      </c>
      <c r="D1237" s="3" t="str">
        <f>IFERROR(__xludf.DUMMYFUNCTION("GOOGLETRANSLATE(A1237, ""nl"", ""en"")"),"Cosmic and Abstract Patterns")</f>
        <v>Cosmic and Abstract Patterns</v>
      </c>
      <c r="E1237" s="3" t="str">
        <f>IFERROR(__xludf.DUMMYFUNCTION("GOOGLETRANSLATE(B1237, ""nl"", ""en"")"),"A planet with unusual rings")</f>
        <v>A planet with unusual rings</v>
      </c>
    </row>
    <row r="1238" ht="15.75" customHeight="1">
      <c r="A1238" s="3" t="s">
        <v>15</v>
      </c>
      <c r="B1238" s="3" t="s">
        <v>46</v>
      </c>
      <c r="D1238" s="3" t="str">
        <f>IFERROR(__xludf.DUMMYFUNCTION("GOOGLETRANSLATE(A1238, ""nl"", ""en"")"),"Animals and Organic Forms")</f>
        <v>Animals and Organic Forms</v>
      </c>
      <c r="E1238" s="3" t="str">
        <f>IFERROR(__xludf.DUMMYFUNCTION("GOOGLETRANSLATE(B1238, ""nl"", ""en"")"),"A flock of fish moving as one")</f>
        <v>A flock of fish moving as one</v>
      </c>
    </row>
    <row r="1239" ht="15.75" customHeight="1">
      <c r="A1239" s="3" t="s">
        <v>4</v>
      </c>
      <c r="B1239" s="3" t="s">
        <v>44</v>
      </c>
      <c r="D1239" s="3" t="str">
        <f>IFERROR(__xludf.DUMMYFUNCTION("GOOGLETRANSLATE(A1239, ""nl"", ""en"")"),"Architectural and Structural Associations")</f>
        <v>Architectural and Structural Associations</v>
      </c>
      <c r="E1239" s="3" t="str">
        <f>IFERROR(__xludf.DUMMYFUNCTION("GOOGLETRANSLATE(B1239, ""nl"", ""en"")"),"A structure that pulsates in waves")</f>
        <v>A structure that pulsates in waves</v>
      </c>
    </row>
    <row r="1240" ht="15.75" customHeight="1">
      <c r="A1240" s="3" t="s">
        <v>7</v>
      </c>
      <c r="B1240" s="3" t="s">
        <v>56</v>
      </c>
      <c r="D1240" s="3" t="str">
        <f>IFERROR(__xludf.DUMMYFUNCTION("GOOGLETRANSLATE(A1240, ""nl"", ""en"")"),"Human Figures and Physicality")</f>
        <v>Human Figures and Physicality</v>
      </c>
      <c r="E1240" s="3" t="str">
        <f>IFERROR(__xludf.DUMMYFUNCTION("GOOGLETRANSLATE(B1240, ""nl"", ""en"")"),"A shadow that seems to move")</f>
        <v>A shadow that seems to move</v>
      </c>
    </row>
    <row r="1241" ht="15.75" customHeight="1">
      <c r="A1241" s="3" t="s">
        <v>9</v>
      </c>
      <c r="B1241" s="3" t="s">
        <v>14</v>
      </c>
      <c r="D1241" s="3" t="str">
        <f>IFERROR(__xludf.DUMMYFUNCTION("GOOGLETRANSLATE(A1241, ""nl"", ""en"")"),"Psychological and Emotional Interpretations")</f>
        <v>Psychological and Emotional Interpretations</v>
      </c>
      <c r="E1241" s="3" t="str">
        <f>IFERROR(__xludf.DUMMYFUNCTION("GOOGLETRANSLATE(B1241, ""nl"", ""en"")"),"An unclear hug")</f>
        <v>An unclear hug</v>
      </c>
    </row>
    <row r="1242" ht="15.75" customHeight="1">
      <c r="A1242" s="3" t="s">
        <v>12</v>
      </c>
      <c r="B1242" s="3" t="s">
        <v>18</v>
      </c>
      <c r="D1242" s="3" t="str">
        <f>IFERROR(__xludf.DUMMYFUNCTION("GOOGLETRANSLATE(A1242, ""nl"", ""en"")"),"Nature and Elements")</f>
        <v>Nature and Elements</v>
      </c>
      <c r="E1242" s="3" t="str">
        <f>IFERROR(__xludf.DUMMYFUNCTION("GOOGLETRANSLATE(B1242, ""nl"", ""en"")"),"A tree with endless branches")</f>
        <v>A tree with endless branches</v>
      </c>
    </row>
    <row r="1243" ht="15.75" customHeight="1">
      <c r="A1243" s="3" t="s">
        <v>4</v>
      </c>
      <c r="B1243" s="3" t="s">
        <v>6</v>
      </c>
      <c r="D1243" s="3" t="str">
        <f>IFERROR(__xludf.DUMMYFUNCTION("GOOGLETRANSLATE(A1243, ""nl"", ""en"")"),"Architectural and Structural Associations")</f>
        <v>Architectural and Structural Associations</v>
      </c>
      <c r="E1243" s="3" t="str">
        <f>IFERROR(__xludf.DUMMYFUNCTION("GOOGLETRANSLATE(B1243, ""nl"", ""en"")"),"An endless labyrinth")</f>
        <v>An endless labyrinth</v>
      </c>
    </row>
    <row r="1244" ht="15.75" customHeight="1">
      <c r="A1244" s="3" t="s">
        <v>4</v>
      </c>
      <c r="B1244" s="3" t="s">
        <v>44</v>
      </c>
      <c r="D1244" s="3" t="str">
        <f>IFERROR(__xludf.DUMMYFUNCTION("GOOGLETRANSLATE(A1244, ""nl"", ""en"")"),"Architectural and Structural Associations")</f>
        <v>Architectural and Structural Associations</v>
      </c>
      <c r="E1244" s="3" t="str">
        <f>IFERROR(__xludf.DUMMYFUNCTION("GOOGLETRANSLATE(B1244, ""nl"", ""en"")"),"A structure that pulsates in waves")</f>
        <v>A structure that pulsates in waves</v>
      </c>
    </row>
    <row r="1245" ht="15.75" customHeight="1">
      <c r="A1245" s="3" t="s">
        <v>4</v>
      </c>
      <c r="B1245" s="3" t="s">
        <v>55</v>
      </c>
      <c r="D1245" s="3" t="str">
        <f>IFERROR(__xludf.DUMMYFUNCTION("GOOGLETRANSLATE(A1245, ""nl"", ""en"")"),"Architectural and Structural Associations")</f>
        <v>Architectural and Structural Associations</v>
      </c>
      <c r="E1245" s="3" t="str">
        <f>IFERROR(__xludf.DUMMYFUNCTION("GOOGLETRANSLATE(B1245, ""nl"", ""en"")"),"A prism that splits light into colors")</f>
        <v>A prism that splits light into colors</v>
      </c>
    </row>
    <row r="1246" ht="15.75" customHeight="1">
      <c r="A1246" s="3" t="s">
        <v>12</v>
      </c>
      <c r="B1246" s="3" t="s">
        <v>36</v>
      </c>
      <c r="D1246" s="3" t="str">
        <f>IFERROR(__xludf.DUMMYFUNCTION("GOOGLETRANSLATE(A1246, ""nl"", ""en"")"),"Nature and Elements")</f>
        <v>Nature and Elements</v>
      </c>
      <c r="E1246" s="3" t="str">
        <f>IFERROR(__xludf.DUMMYFUNCTION("GOOGLETRANSLATE(B1246, ""nl"", ""en"")"),"A river delta from a bird's-eye view")</f>
        <v>A river delta from a bird's-eye view</v>
      </c>
    </row>
    <row r="1247" ht="15.75" customHeight="1">
      <c r="A1247" s="3" t="s">
        <v>7</v>
      </c>
      <c r="B1247" s="3" t="s">
        <v>8</v>
      </c>
      <c r="D1247" s="3" t="str">
        <f>IFERROR(__xludf.DUMMYFUNCTION("GOOGLETRANSLATE(A1247, ""nl"", ""en"")"),"Human Figures and Physicality")</f>
        <v>Human Figures and Physicality</v>
      </c>
      <c r="E1247" s="3" t="str">
        <f>IFERROR(__xludf.DUMMYFUNCTION("GOOGLETRANSLATE(B1247, ""nl"", ""en"")"),"Two figures mirroring each other")</f>
        <v>Two figures mirroring each other</v>
      </c>
    </row>
    <row r="1248" ht="15.75" customHeight="1">
      <c r="A1248" s="3" t="s">
        <v>4</v>
      </c>
      <c r="B1248" s="3" t="s">
        <v>43</v>
      </c>
      <c r="D1248" s="3" t="str">
        <f>IFERROR(__xludf.DUMMYFUNCTION("GOOGLETRANSLATE(A1248, ""nl"", ""en"")"),"Architectural and Structural Associations")</f>
        <v>Architectural and Structural Associations</v>
      </c>
      <c r="E1248" s="3" t="str">
        <f>IFERROR(__xludf.DUMMYFUNCTION("GOOGLETRANSLATE(B1248, ""nl"", ""en"")"),"A network of tunnels and passages")</f>
        <v>A network of tunnels and passages</v>
      </c>
    </row>
    <row r="1249" ht="15.75" customHeight="1">
      <c r="A1249" s="3" t="s">
        <v>9</v>
      </c>
      <c r="B1249" s="3" t="s">
        <v>11</v>
      </c>
      <c r="D1249" s="3" t="str">
        <f>IFERROR(__xludf.DUMMYFUNCTION("GOOGLETRANSLATE(A1249, ""nl"", ""en"")"),"Psychological and Emotional Interpretations")</f>
        <v>Psychological and Emotional Interpretations</v>
      </c>
      <c r="E1249" s="3" t="str">
        <f>IFERROR(__xludf.DUMMYFUNCTION("GOOGLETRANSLATE(B1249, ""nl"", ""en"")"),"An emotion captured in abstraction")</f>
        <v>An emotion captured in abstraction</v>
      </c>
    </row>
    <row r="1250" ht="15.75" customHeight="1">
      <c r="A1250" s="3" t="s">
        <v>7</v>
      </c>
      <c r="B1250" s="3" t="s">
        <v>28</v>
      </c>
      <c r="D1250" s="3" t="str">
        <f>IFERROR(__xludf.DUMMYFUNCTION("GOOGLETRANSLATE(A1250, ""nl"", ""en"")"),"Human Figures and Physicality")</f>
        <v>Human Figures and Physicality</v>
      </c>
      <c r="E1250" s="3" t="str">
        <f>IFERROR(__xludf.DUMMYFUNCTION("GOOGLETRANSLATE(B1250, ""nl"", ""en"")"),"A dancing silhouette")</f>
        <v>A dancing silhouette</v>
      </c>
    </row>
    <row r="1251" ht="15.75" customHeight="1">
      <c r="A1251" s="3" t="s">
        <v>9</v>
      </c>
      <c r="B1251" s="3" t="s">
        <v>17</v>
      </c>
      <c r="D1251" s="3" t="str">
        <f>IFERROR(__xludf.DUMMYFUNCTION("GOOGLETRANSLATE(A1251, ""nl"", ""en"")"),"Psychological and Emotional Interpretations")</f>
        <v>Psychological and Emotional Interpretations</v>
      </c>
      <c r="E1251" s="3" t="str">
        <f>IFERROR(__xludf.DUMMYFUNCTION("GOOGLETRANSLATE(B1251, ""nl"", ""en"")"),"A figure that seems to melt")</f>
        <v>A figure that seems to melt</v>
      </c>
    </row>
    <row r="1252" ht="15.75" customHeight="1">
      <c r="A1252" s="3" t="s">
        <v>12</v>
      </c>
      <c r="B1252" s="3" t="s">
        <v>36</v>
      </c>
      <c r="D1252" s="3" t="str">
        <f>IFERROR(__xludf.DUMMYFUNCTION("GOOGLETRANSLATE(A1252, ""nl"", ""en"")"),"Nature and Elements")</f>
        <v>Nature and Elements</v>
      </c>
      <c r="E1252" s="3" t="str">
        <f>IFERROR(__xludf.DUMMYFUNCTION("GOOGLETRANSLATE(B1252, ""nl"", ""en"")"),"A river delta from a bird's-eye view")</f>
        <v>A river delta from a bird's-eye view</v>
      </c>
    </row>
    <row r="1253" ht="15.75" customHeight="1">
      <c r="A1253" s="3" t="s">
        <v>7</v>
      </c>
      <c r="B1253" s="3" t="s">
        <v>40</v>
      </c>
      <c r="D1253" s="3" t="str">
        <f>IFERROR(__xludf.DUMMYFUNCTION("GOOGLETRANSLATE(A1253, ""nl"", ""en"")"),"Human Figures and Physicality")</f>
        <v>Human Figures and Physicality</v>
      </c>
      <c r="E1253" s="3" t="str">
        <f>IFERROR(__xludf.DUMMYFUNCTION("GOOGLETRANSLATE(B1253, ""nl"", ""en"")"),"A figure who is withdrawn into himself")</f>
        <v>A figure who is withdrawn into himself</v>
      </c>
    </row>
    <row r="1254" ht="15.75" customHeight="1">
      <c r="A1254" s="3" t="s">
        <v>15</v>
      </c>
      <c r="B1254" s="3" t="s">
        <v>22</v>
      </c>
      <c r="D1254" s="3" t="str">
        <f>IFERROR(__xludf.DUMMYFUNCTION("GOOGLETRANSLATE(A1254, ""nl"", ""en"")"),"Animals and Organic Forms")</f>
        <v>Animals and Organic Forms</v>
      </c>
      <c r="E1254" s="3" t="str">
        <f>IFERROR(__xludf.DUMMYFUNCTION("GOOGLETRANSLATE(B1254, ""nl"", ""en"")"),"A bird taking off")</f>
        <v>A bird taking off</v>
      </c>
    </row>
    <row r="1255" ht="15.75" customHeight="1">
      <c r="A1255" s="3" t="s">
        <v>4</v>
      </c>
      <c r="B1255" s="3" t="s">
        <v>55</v>
      </c>
      <c r="D1255" s="3" t="str">
        <f>IFERROR(__xludf.DUMMYFUNCTION("GOOGLETRANSLATE(A1255, ""nl"", ""en"")"),"Architectural and Structural Associations")</f>
        <v>Architectural and Structural Associations</v>
      </c>
      <c r="E1255" s="3" t="str">
        <f>IFERROR(__xludf.DUMMYFUNCTION("GOOGLETRANSLATE(B1255, ""nl"", ""en"")"),"A prism that splits light into colors")</f>
        <v>A prism that splits light into colors</v>
      </c>
    </row>
    <row r="1256" ht="15.75" customHeight="1">
      <c r="A1256" s="3" t="s">
        <v>15</v>
      </c>
      <c r="B1256" s="3" t="s">
        <v>50</v>
      </c>
      <c r="D1256" s="3" t="str">
        <f>IFERROR(__xludf.DUMMYFUNCTION("GOOGLETRANSLATE(A1256, ""nl"", ""en"")"),"Animals and Organic Forms")</f>
        <v>Animals and Organic Forms</v>
      </c>
      <c r="E1256" s="3" t="str">
        <f>IFERROR(__xludf.DUMMYFUNCTION("GOOGLETRANSLATE(B1256, ""nl"", ""en"")"),"A squid with extended tentacles")</f>
        <v>A squid with extended tentacles</v>
      </c>
    </row>
    <row r="1257" ht="15.75" customHeight="1">
      <c r="A1257" s="3" t="s">
        <v>24</v>
      </c>
      <c r="B1257" s="3" t="s">
        <v>54</v>
      </c>
      <c r="D1257" s="3" t="str">
        <f>IFERROR(__xludf.DUMMYFUNCTION("GOOGLETRANSLATE(A1257, ""nl"", ""en"")"),"Cosmic and Abstract Patterns")</f>
        <v>Cosmic and Abstract Patterns</v>
      </c>
      <c r="E1257" s="3" t="str">
        <f>IFERROR(__xludf.DUMMYFUNCTION("GOOGLETRANSLATE(B1257, ""nl"", ""en"")"),"A quantum particle in superposition")</f>
        <v>A quantum particle in superposition</v>
      </c>
    </row>
    <row r="1258" ht="15.75" customHeight="1">
      <c r="A1258" s="3" t="s">
        <v>12</v>
      </c>
      <c r="B1258" s="3" t="s">
        <v>23</v>
      </c>
      <c r="D1258" s="3" t="str">
        <f>IFERROR(__xludf.DUMMYFUNCTION("GOOGLETRANSLATE(A1258, ""nl"", ""en"")"),"Nature and Elements")</f>
        <v>Nature and Elements</v>
      </c>
      <c r="E1258" s="3" t="str">
        <f>IFERROR(__xludf.DUMMYFUNCTION("GOOGLETRANSLATE(B1258, ""nl"", ""en"")"),"A storm cloud splitting in two")</f>
        <v>A storm cloud splitting in two</v>
      </c>
    </row>
    <row r="1259" ht="15.75" customHeight="1">
      <c r="A1259" s="3" t="s">
        <v>15</v>
      </c>
      <c r="B1259" s="3" t="s">
        <v>45</v>
      </c>
      <c r="D1259" s="3" t="str">
        <f>IFERROR(__xludf.DUMMYFUNCTION("GOOGLETRANSLATE(A1259, ""nl"", ""en"")"),"Animals and Organic Forms")</f>
        <v>Animals and Organic Forms</v>
      </c>
      <c r="E1259" s="3" t="str">
        <f>IFERROR(__xludf.DUMMYFUNCTION("GOOGLETRANSLATE(B1259, ""nl"", ""en"")"),"A snake biting its own tail")</f>
        <v>A snake biting its own tail</v>
      </c>
    </row>
    <row r="1260" ht="15.75" customHeight="1">
      <c r="A1260" s="3" t="s">
        <v>24</v>
      </c>
      <c r="B1260" s="3" t="s">
        <v>32</v>
      </c>
      <c r="D1260" s="3" t="str">
        <f>IFERROR(__xludf.DUMMYFUNCTION("GOOGLETRANSLATE(A1260, ""nl"", ""en"")"),"Cosmic and Abstract Patterns")</f>
        <v>Cosmic and Abstract Patterns</v>
      </c>
      <c r="E1260" s="3" t="str">
        <f>IFERROR(__xludf.DUMMYFUNCTION("GOOGLETRANSLATE(B1260, ""nl"", ""en"")"),"A time loop captured in image")</f>
        <v>A time loop captured in image</v>
      </c>
    </row>
    <row r="1261" ht="15.75" customHeight="1">
      <c r="A1261" s="3" t="s">
        <v>9</v>
      </c>
      <c r="B1261" s="3" t="s">
        <v>14</v>
      </c>
      <c r="D1261" s="3" t="str">
        <f>IFERROR(__xludf.DUMMYFUNCTION("GOOGLETRANSLATE(A1261, ""nl"", ""en"")"),"Psychological and Emotional Interpretations")</f>
        <v>Psychological and Emotional Interpretations</v>
      </c>
      <c r="E1261" s="3" t="str">
        <f>IFERROR(__xludf.DUMMYFUNCTION("GOOGLETRANSLATE(B1261, ""nl"", ""en"")"),"An unclear hug")</f>
        <v>An unclear hug</v>
      </c>
    </row>
    <row r="1262" ht="15.75" customHeight="1">
      <c r="A1262" s="3" t="s">
        <v>12</v>
      </c>
      <c r="B1262" s="3" t="s">
        <v>23</v>
      </c>
      <c r="D1262" s="3" t="str">
        <f>IFERROR(__xludf.DUMMYFUNCTION("GOOGLETRANSLATE(A1262, ""nl"", ""en"")"),"Nature and Elements")</f>
        <v>Nature and Elements</v>
      </c>
      <c r="E1262" s="3" t="str">
        <f>IFERROR(__xludf.DUMMYFUNCTION("GOOGLETRANSLATE(B1262, ""nl"", ""en"")"),"A storm cloud splitting in two")</f>
        <v>A storm cloud splitting in two</v>
      </c>
    </row>
    <row r="1263" ht="15.75" customHeight="1">
      <c r="A1263" s="3" t="s">
        <v>12</v>
      </c>
      <c r="B1263" s="3" t="s">
        <v>18</v>
      </c>
      <c r="D1263" s="3" t="str">
        <f>IFERROR(__xludf.DUMMYFUNCTION("GOOGLETRANSLATE(A1263, ""nl"", ""en"")"),"Nature and Elements")</f>
        <v>Nature and Elements</v>
      </c>
      <c r="E1263" s="3" t="str">
        <f>IFERROR(__xludf.DUMMYFUNCTION("GOOGLETRANSLATE(B1263, ""nl"", ""en"")"),"A tree with endless branches")</f>
        <v>A tree with endless branches</v>
      </c>
    </row>
    <row r="1264" ht="15.75" customHeight="1">
      <c r="A1264" s="3" t="s">
        <v>24</v>
      </c>
      <c r="B1264" s="3" t="s">
        <v>32</v>
      </c>
      <c r="D1264" s="3" t="str">
        <f>IFERROR(__xludf.DUMMYFUNCTION("GOOGLETRANSLATE(A1264, ""nl"", ""en"")"),"Cosmic and Abstract Patterns")</f>
        <v>Cosmic and Abstract Patterns</v>
      </c>
      <c r="E1264" s="3" t="str">
        <f>IFERROR(__xludf.DUMMYFUNCTION("GOOGLETRANSLATE(B1264, ""nl"", ""en"")"),"A time loop captured in image")</f>
        <v>A time loop captured in image</v>
      </c>
    </row>
    <row r="1265" ht="15.75" customHeight="1">
      <c r="A1265" s="3" t="s">
        <v>4</v>
      </c>
      <c r="B1265" s="3" t="s">
        <v>44</v>
      </c>
      <c r="D1265" s="3" t="str">
        <f>IFERROR(__xludf.DUMMYFUNCTION("GOOGLETRANSLATE(A1265, ""nl"", ""en"")"),"Architectural and Structural Associations")</f>
        <v>Architectural and Structural Associations</v>
      </c>
      <c r="E1265" s="3" t="str">
        <f>IFERROR(__xludf.DUMMYFUNCTION("GOOGLETRANSLATE(B1265, ""nl"", ""en"")"),"A structure that pulsates in waves")</f>
        <v>A structure that pulsates in waves</v>
      </c>
    </row>
    <row r="1266" ht="15.75" customHeight="1">
      <c r="A1266" s="3" t="s">
        <v>24</v>
      </c>
      <c r="B1266" s="3" t="s">
        <v>32</v>
      </c>
      <c r="D1266" s="3" t="str">
        <f>IFERROR(__xludf.DUMMYFUNCTION("GOOGLETRANSLATE(A1266, ""nl"", ""en"")"),"Cosmic and Abstract Patterns")</f>
        <v>Cosmic and Abstract Patterns</v>
      </c>
      <c r="E1266" s="3" t="str">
        <f>IFERROR(__xludf.DUMMYFUNCTION("GOOGLETRANSLATE(B1266, ""nl"", ""en"")"),"A time loop captured in image")</f>
        <v>A time loop captured in image</v>
      </c>
    </row>
    <row r="1267" ht="15.75" customHeight="1">
      <c r="A1267" s="3" t="s">
        <v>15</v>
      </c>
      <c r="B1267" s="3" t="s">
        <v>26</v>
      </c>
      <c r="D1267" s="3" t="str">
        <f>IFERROR(__xludf.DUMMYFUNCTION("GOOGLETRANSLATE(A1267, ""nl"", ""en"")"),"Animals and Organic Forms")</f>
        <v>Animals and Organic Forms</v>
      </c>
      <c r="E1267" s="3" t="str">
        <f>IFERROR(__xludf.DUMMYFUNCTION("GOOGLETRANSLATE(B1267, ""nl"", ""en"")"),"A frog preparing to jump")</f>
        <v>A frog preparing to jump</v>
      </c>
    </row>
    <row r="1268" ht="15.75" customHeight="1">
      <c r="A1268" s="3" t="s">
        <v>7</v>
      </c>
      <c r="B1268" s="3" t="s">
        <v>53</v>
      </c>
      <c r="D1268" s="3" t="str">
        <f>IFERROR(__xludf.DUMMYFUNCTION("GOOGLETRANSLATE(A1268, ""nl"", ""en"")"),"Human Figures and Physicality")</f>
        <v>Human Figures and Physicality</v>
      </c>
      <c r="E1268" s="3" t="str">
        <f>IFERROR(__xludf.DUMMYFUNCTION("GOOGLETRANSLATE(B1268, ""nl"", ""en"")"),"A face that both smiles and cries")</f>
        <v>A face that both smiles and cries</v>
      </c>
    </row>
    <row r="1269" ht="15.75" customHeight="1">
      <c r="A1269" s="3" t="s">
        <v>15</v>
      </c>
      <c r="B1269" s="3" t="s">
        <v>46</v>
      </c>
      <c r="D1269" s="3" t="str">
        <f>IFERROR(__xludf.DUMMYFUNCTION("GOOGLETRANSLATE(A1269, ""nl"", ""en"")"),"Animals and Organic Forms")</f>
        <v>Animals and Organic Forms</v>
      </c>
      <c r="E1269" s="3" t="str">
        <f>IFERROR(__xludf.DUMMYFUNCTION("GOOGLETRANSLATE(B1269, ""nl"", ""en"")"),"A flock of fish moving as one")</f>
        <v>A flock of fish moving as one</v>
      </c>
    </row>
    <row r="1270" ht="15.75" customHeight="1">
      <c r="A1270" s="3" t="s">
        <v>24</v>
      </c>
      <c r="B1270" s="3" t="s">
        <v>29</v>
      </c>
      <c r="D1270" s="3" t="str">
        <f>IFERROR(__xludf.DUMMYFUNCTION("GOOGLETRANSLATE(A1270, ""nl"", ""en"")"),"Cosmic and Abstract Patterns")</f>
        <v>Cosmic and Abstract Patterns</v>
      </c>
      <c r="E1270" s="3" t="str">
        <f>IFERROR(__xludf.DUMMYFUNCTION("GOOGLETRANSLATE(B1270, ""nl"", ""en"")"),"A galaxy unfolding")</f>
        <v>A galaxy unfolding</v>
      </c>
    </row>
    <row r="1271" ht="15.75" customHeight="1">
      <c r="A1271" s="3" t="s">
        <v>12</v>
      </c>
      <c r="B1271" s="3" t="s">
        <v>51</v>
      </c>
      <c r="D1271" s="3" t="str">
        <f>IFERROR(__xludf.DUMMYFUNCTION("GOOGLETRANSLATE(A1271, ""nl"", ""en"")"),"Nature and Elements")</f>
        <v>Nature and Elements</v>
      </c>
      <c r="E1271" s="3" t="str">
        <f>IFERROR(__xludf.DUMMYFUNCTION("GOOGLETRANSLATE(B1271, ""nl"", ""en"")"),"An evaporating puddle of water")</f>
        <v>An evaporating puddle of water</v>
      </c>
    </row>
    <row r="1272" ht="15.75" customHeight="1">
      <c r="A1272" s="3" t="s">
        <v>9</v>
      </c>
      <c r="B1272" s="3" t="s">
        <v>42</v>
      </c>
      <c r="D1272" s="3" t="str">
        <f>IFERROR(__xludf.DUMMYFUNCTION("GOOGLETRANSLATE(A1272, ""nl"", ""en"")"),"Psychological and Emotional Interpretations")</f>
        <v>Psychological and Emotional Interpretations</v>
      </c>
      <c r="E1272" s="3" t="str">
        <f>IFERROR(__xludf.DUMMYFUNCTION("GOOGLETRANSLATE(B1272, ""nl"", ""en"")"),"A mask that slowly disappears")</f>
        <v>A mask that slowly disappears</v>
      </c>
    </row>
    <row r="1273" ht="15.75" customHeight="1">
      <c r="A1273" s="3" t="s">
        <v>4</v>
      </c>
      <c r="B1273" s="3" t="s">
        <v>5</v>
      </c>
      <c r="D1273" s="3" t="str">
        <f>IFERROR(__xludf.DUMMYFUNCTION("GOOGLETRANSLATE(A1273, ""nl"", ""en"")"),"Architectural and Structural Associations")</f>
        <v>Architectural and Structural Associations</v>
      </c>
      <c r="E1273" s="3" t="str">
        <f>IFERROR(__xludf.DUMMYFUNCTION("GOOGLETRANSLATE(B1273, ""nl"", ""en"")"),"A cathedral shaped from mist")</f>
        <v>A cathedral shaped from mist</v>
      </c>
    </row>
    <row r="1274" ht="15.75" customHeight="1">
      <c r="A1274" s="3" t="s">
        <v>9</v>
      </c>
      <c r="B1274" s="3" t="s">
        <v>10</v>
      </c>
      <c r="D1274" s="3" t="str">
        <f>IFERROR(__xludf.DUMMYFUNCTION("GOOGLETRANSLATE(A1274, ""nl"", ""en"")"),"Psychological and Emotional Interpretations")</f>
        <v>Psychological and Emotional Interpretations</v>
      </c>
      <c r="E1274" s="3" t="str">
        <f>IFERROR(__xludf.DUMMYFUNCTION("GOOGLETRANSLATE(B1274, ""nl"", ""en"")"),"A face transforming in light")</f>
        <v>A face transforming in light</v>
      </c>
    </row>
    <row r="1275" ht="15.75" customHeight="1">
      <c r="A1275" s="3" t="s">
        <v>15</v>
      </c>
      <c r="B1275" s="3" t="s">
        <v>16</v>
      </c>
      <c r="D1275" s="3" t="str">
        <f>IFERROR(__xludf.DUMMYFUNCTION("GOOGLETRANSLATE(A1275, ""nl"", ""en"")"),"Animals and Organic Forms")</f>
        <v>Animals and Organic Forms</v>
      </c>
      <c r="E1275" s="3" t="str">
        <f>IFERROR(__xludf.DUMMYFUNCTION("GOOGLETRANSLATE(B1275, ""nl"", ""en"")"),"A butterfly in transformation")</f>
        <v>A butterfly in transformation</v>
      </c>
    </row>
    <row r="1276" ht="15.75" customHeight="1">
      <c r="A1276" s="3" t="s">
        <v>12</v>
      </c>
      <c r="B1276" s="3" t="s">
        <v>51</v>
      </c>
      <c r="D1276" s="3" t="str">
        <f>IFERROR(__xludf.DUMMYFUNCTION("GOOGLETRANSLATE(A1276, ""nl"", ""en"")"),"Nature and Elements")</f>
        <v>Nature and Elements</v>
      </c>
      <c r="E1276" s="3" t="str">
        <f>IFERROR(__xludf.DUMMYFUNCTION("GOOGLETRANSLATE(B1276, ""nl"", ""en"")"),"An evaporating puddle of water")</f>
        <v>An evaporating puddle of water</v>
      </c>
    </row>
    <row r="1277" ht="15.75" customHeight="1">
      <c r="A1277" s="3" t="s">
        <v>15</v>
      </c>
      <c r="B1277" s="3" t="s">
        <v>45</v>
      </c>
      <c r="D1277" s="3" t="str">
        <f>IFERROR(__xludf.DUMMYFUNCTION("GOOGLETRANSLATE(A1277, ""nl"", ""en"")"),"Animals and Organic Forms")</f>
        <v>Animals and Organic Forms</v>
      </c>
      <c r="E1277" s="3" t="str">
        <f>IFERROR(__xludf.DUMMYFUNCTION("GOOGLETRANSLATE(B1277, ""nl"", ""en"")"),"A snake biting its own tail")</f>
        <v>A snake biting its own tail</v>
      </c>
    </row>
    <row r="1278" ht="15.75" customHeight="1">
      <c r="A1278" s="3" t="s">
        <v>24</v>
      </c>
      <c r="B1278" s="3" t="s">
        <v>29</v>
      </c>
      <c r="D1278" s="3" t="str">
        <f>IFERROR(__xludf.DUMMYFUNCTION("GOOGLETRANSLATE(A1278, ""nl"", ""en"")"),"Cosmic and Abstract Patterns")</f>
        <v>Cosmic and Abstract Patterns</v>
      </c>
      <c r="E1278" s="3" t="str">
        <f>IFERROR(__xludf.DUMMYFUNCTION("GOOGLETRANSLATE(B1278, ""nl"", ""en"")"),"A galaxy unfolding")</f>
        <v>A galaxy unfolding</v>
      </c>
    </row>
    <row r="1279" ht="15.75" customHeight="1">
      <c r="A1279" s="3" t="s">
        <v>4</v>
      </c>
      <c r="B1279" s="3" t="s">
        <v>35</v>
      </c>
      <c r="D1279" s="3" t="str">
        <f>IFERROR(__xludf.DUMMYFUNCTION("GOOGLETRANSLATE(A1279, ""nl"", ""en"")"),"Architectural and Structural Associations")</f>
        <v>Architectural and Structural Associations</v>
      </c>
      <c r="E1279" s="3" t="str">
        <f>IFERROR(__xludf.DUMMYFUNCTION("GOOGLETRANSLATE(B1279, ""nl"", ""en"")"),"A floating building without a base")</f>
        <v>A floating building without a base</v>
      </c>
    </row>
    <row r="1280" ht="15.75" customHeight="1">
      <c r="A1280" s="3" t="s">
        <v>9</v>
      </c>
      <c r="B1280" s="3" t="s">
        <v>49</v>
      </c>
      <c r="D1280" s="3" t="str">
        <f>IFERROR(__xludf.DUMMYFUNCTION("GOOGLETRANSLATE(A1280, ""nl"", ""en"")"),"Psychological and Emotional Interpretations")</f>
        <v>Psychological and Emotional Interpretations</v>
      </c>
      <c r="E1280" s="3" t="str">
        <f>IFERROR(__xludf.DUMMYFUNCTION("GOOGLETRANSLATE(B1280, ""nl"", ""en"")"),"A spiral that turns inward")</f>
        <v>A spiral that turns inward</v>
      </c>
    </row>
    <row r="1281" ht="15.75" customHeight="1">
      <c r="A1281" s="3" t="s">
        <v>9</v>
      </c>
      <c r="B1281" s="3" t="s">
        <v>57</v>
      </c>
      <c r="D1281" s="3" t="str">
        <f>IFERROR(__xludf.DUMMYFUNCTION("GOOGLETRANSLATE(A1281, ""nl"", ""en"")"),"Psychological and Emotional Interpretations")</f>
        <v>Psychological and Emotional Interpretations</v>
      </c>
      <c r="E1281" s="3" t="str">
        <f>IFERROR(__xludf.DUMMYFUNCTION("GOOGLETRANSLATE(B1281, ""nl"", ""en"")"),"An explosion of colours and feelings")</f>
        <v>An explosion of colours and feelings</v>
      </c>
    </row>
    <row r="1282" ht="15.75" customHeight="1">
      <c r="A1282" s="3" t="s">
        <v>12</v>
      </c>
      <c r="B1282" s="3" t="s">
        <v>18</v>
      </c>
      <c r="D1282" s="3" t="str">
        <f>IFERROR(__xludf.DUMMYFUNCTION("GOOGLETRANSLATE(A1282, ""nl"", ""en"")"),"Nature and Elements")</f>
        <v>Nature and Elements</v>
      </c>
      <c r="E1282" s="3" t="str">
        <f>IFERROR(__xludf.DUMMYFUNCTION("GOOGLETRANSLATE(B1282, ""nl"", ""en"")"),"A tree with endless branches")</f>
        <v>A tree with endless branches</v>
      </c>
    </row>
    <row r="1283" ht="15.75" customHeight="1">
      <c r="A1283" s="3" t="s">
        <v>7</v>
      </c>
      <c r="B1283" s="3" t="s">
        <v>39</v>
      </c>
      <c r="D1283" s="3" t="str">
        <f>IFERROR(__xludf.DUMMYFUNCTION("GOOGLETRANSLATE(A1283, ""nl"", ""en"")"),"Human Figures and Physicality")</f>
        <v>Human Figures and Physicality</v>
      </c>
      <c r="E1283" s="3" t="str">
        <f>IFERROR(__xludf.DUMMYFUNCTION("GOOGLETRANSLATE(B1283, ""nl"", ""en"")"),"A torso without a head")</f>
        <v>A torso without a head</v>
      </c>
    </row>
    <row r="1284" ht="15.75" customHeight="1">
      <c r="A1284" s="3" t="s">
        <v>4</v>
      </c>
      <c r="B1284" s="3" t="s">
        <v>5</v>
      </c>
      <c r="D1284" s="3" t="str">
        <f>IFERROR(__xludf.DUMMYFUNCTION("GOOGLETRANSLATE(A1284, ""nl"", ""en"")"),"Architectural and Structural Associations")</f>
        <v>Architectural and Structural Associations</v>
      </c>
      <c r="E1284" s="3" t="str">
        <f>IFERROR(__xludf.DUMMYFUNCTION("GOOGLETRANSLATE(B1284, ""nl"", ""en"")"),"A cathedral shaped from mist")</f>
        <v>A cathedral shaped from mist</v>
      </c>
    </row>
    <row r="1285" ht="15.75" customHeight="1">
      <c r="A1285" s="3" t="s">
        <v>7</v>
      </c>
      <c r="B1285" s="3" t="s">
        <v>39</v>
      </c>
      <c r="D1285" s="3" t="str">
        <f>IFERROR(__xludf.DUMMYFUNCTION("GOOGLETRANSLATE(A1285, ""nl"", ""en"")"),"Human Figures and Physicality")</f>
        <v>Human Figures and Physicality</v>
      </c>
      <c r="E1285" s="3" t="str">
        <f>IFERROR(__xludf.DUMMYFUNCTION("GOOGLETRANSLATE(B1285, ""nl"", ""en"")"),"A torso without a head")</f>
        <v>A torso without a head</v>
      </c>
    </row>
    <row r="1286" ht="15.75" customHeight="1">
      <c r="A1286" s="3" t="s">
        <v>9</v>
      </c>
      <c r="B1286" s="3" t="s">
        <v>49</v>
      </c>
      <c r="D1286" s="3" t="str">
        <f>IFERROR(__xludf.DUMMYFUNCTION("GOOGLETRANSLATE(A1286, ""nl"", ""en"")"),"Psychological and Emotional Interpretations")</f>
        <v>Psychological and Emotional Interpretations</v>
      </c>
      <c r="E1286" s="3" t="str">
        <f>IFERROR(__xludf.DUMMYFUNCTION("GOOGLETRANSLATE(B1286, ""nl"", ""en"")"),"A spiral that turns inward")</f>
        <v>A spiral that turns inward</v>
      </c>
    </row>
    <row r="1287" ht="15.75" customHeight="1">
      <c r="A1287" s="3" t="s">
        <v>9</v>
      </c>
      <c r="B1287" s="3" t="s">
        <v>17</v>
      </c>
      <c r="D1287" s="3" t="str">
        <f>IFERROR(__xludf.DUMMYFUNCTION("GOOGLETRANSLATE(A1287, ""nl"", ""en"")"),"Psychological and Emotional Interpretations")</f>
        <v>Psychological and Emotional Interpretations</v>
      </c>
      <c r="E1287" s="3" t="str">
        <f>IFERROR(__xludf.DUMMYFUNCTION("GOOGLETRANSLATE(B1287, ""nl"", ""en"")"),"A figure that seems to melt")</f>
        <v>A figure that seems to melt</v>
      </c>
    </row>
    <row r="1288" ht="15.75" customHeight="1">
      <c r="A1288" s="3" t="s">
        <v>12</v>
      </c>
      <c r="B1288" s="3" t="s">
        <v>18</v>
      </c>
      <c r="D1288" s="3" t="str">
        <f>IFERROR(__xludf.DUMMYFUNCTION("GOOGLETRANSLATE(A1288, ""nl"", ""en"")"),"Nature and Elements")</f>
        <v>Nature and Elements</v>
      </c>
      <c r="E1288" s="3" t="str">
        <f>IFERROR(__xludf.DUMMYFUNCTION("GOOGLETRANSLATE(B1288, ""nl"", ""en"")"),"A tree with endless branches")</f>
        <v>A tree with endless branches</v>
      </c>
    </row>
    <row r="1289" ht="15.75" customHeight="1">
      <c r="A1289" s="3" t="s">
        <v>15</v>
      </c>
      <c r="B1289" s="3" t="s">
        <v>22</v>
      </c>
      <c r="D1289" s="3" t="str">
        <f>IFERROR(__xludf.DUMMYFUNCTION("GOOGLETRANSLATE(A1289, ""nl"", ""en"")"),"Animals and Organic Forms")</f>
        <v>Animals and Organic Forms</v>
      </c>
      <c r="E1289" s="3" t="str">
        <f>IFERROR(__xludf.DUMMYFUNCTION("GOOGLETRANSLATE(B1289, ""nl"", ""en"")"),"A bird taking off")</f>
        <v>A bird taking off</v>
      </c>
    </row>
    <row r="1290" ht="15.75" customHeight="1">
      <c r="A1290" s="3" t="s">
        <v>9</v>
      </c>
      <c r="B1290" s="3" t="s">
        <v>57</v>
      </c>
      <c r="D1290" s="3" t="str">
        <f>IFERROR(__xludf.DUMMYFUNCTION("GOOGLETRANSLATE(A1290, ""nl"", ""en"")"),"Psychological and Emotional Interpretations")</f>
        <v>Psychological and Emotional Interpretations</v>
      </c>
      <c r="E1290" s="3" t="str">
        <f>IFERROR(__xludf.DUMMYFUNCTION("GOOGLETRANSLATE(B1290, ""nl"", ""en"")"),"An explosion of colours and feelings")</f>
        <v>An explosion of colours and feelings</v>
      </c>
    </row>
    <row r="1291" ht="15.75" customHeight="1">
      <c r="A1291" s="3" t="s">
        <v>12</v>
      </c>
      <c r="B1291" s="3" t="s">
        <v>19</v>
      </c>
      <c r="D1291" s="3" t="str">
        <f>IFERROR(__xludf.DUMMYFUNCTION("GOOGLETRANSLATE(A1291, ""nl"", ""en"")"),"Nature and Elements")</f>
        <v>Nature and Elements</v>
      </c>
      <c r="E1291" s="3" t="str">
        <f>IFERROR(__xludf.DUMMYFUNCTION("GOOGLETRANSLATE(B1291, ""nl"", ""en"")"),"A mountain range that seems to breathe")</f>
        <v>A mountain range that seems to breathe</v>
      </c>
    </row>
    <row r="1292" ht="15.75" customHeight="1">
      <c r="A1292" s="3" t="s">
        <v>7</v>
      </c>
      <c r="B1292" s="3" t="s">
        <v>41</v>
      </c>
      <c r="D1292" s="3" t="str">
        <f>IFERROR(__xludf.DUMMYFUNCTION("GOOGLETRANSLATE(A1292, ""nl"", ""en"")"),"Human Figures and Physicality")</f>
        <v>Human Figures and Physicality</v>
      </c>
      <c r="E1292" s="3" t="str">
        <f>IFERROR(__xludf.DUMMYFUNCTION("GOOGLETRANSLATE(B1292, ""nl"", ""en"")"),"A face that fades into abstraction")</f>
        <v>A face that fades into abstraction</v>
      </c>
    </row>
    <row r="1293" ht="15.75" customHeight="1">
      <c r="A1293" s="3" t="s">
        <v>12</v>
      </c>
      <c r="B1293" s="3" t="s">
        <v>19</v>
      </c>
      <c r="D1293" s="3" t="str">
        <f>IFERROR(__xludf.DUMMYFUNCTION("GOOGLETRANSLATE(A1293, ""nl"", ""en"")"),"Nature and Elements")</f>
        <v>Nature and Elements</v>
      </c>
      <c r="E1293" s="3" t="str">
        <f>IFERROR(__xludf.DUMMYFUNCTION("GOOGLETRANSLATE(B1293, ""nl"", ""en"")"),"A mountain range that seems to breathe")</f>
        <v>A mountain range that seems to breathe</v>
      </c>
    </row>
    <row r="1294" ht="15.75" customHeight="1">
      <c r="A1294" s="3" t="s">
        <v>12</v>
      </c>
      <c r="B1294" s="3" t="s">
        <v>36</v>
      </c>
      <c r="D1294" s="3" t="str">
        <f>IFERROR(__xludf.DUMMYFUNCTION("GOOGLETRANSLATE(A1294, ""nl"", ""en"")"),"Nature and Elements")</f>
        <v>Nature and Elements</v>
      </c>
      <c r="E1294" s="3" t="str">
        <f>IFERROR(__xludf.DUMMYFUNCTION("GOOGLETRANSLATE(B1294, ""nl"", ""en"")"),"A river delta from a bird's-eye view")</f>
        <v>A river delta from a bird's-eye view</v>
      </c>
    </row>
    <row r="1295" ht="15.75" customHeight="1">
      <c r="A1295" s="3" t="s">
        <v>24</v>
      </c>
      <c r="B1295" s="3" t="s">
        <v>25</v>
      </c>
      <c r="D1295" s="3" t="str">
        <f>IFERROR(__xludf.DUMMYFUNCTION("GOOGLETRANSLATE(A1295, ""nl"", ""en"")"),"Cosmic and Abstract Patterns")</f>
        <v>Cosmic and Abstract Patterns</v>
      </c>
      <c r="E1295" s="3" t="str">
        <f>IFERROR(__xludf.DUMMYFUNCTION("GOOGLETRANSLATE(B1295, ""nl"", ""en"")"),"A meteor shower dissolving into each other")</f>
        <v>A meteor shower dissolving into each other</v>
      </c>
    </row>
    <row r="1296" ht="15.75" customHeight="1">
      <c r="A1296" s="3" t="s">
        <v>12</v>
      </c>
      <c r="B1296" s="3" t="s">
        <v>18</v>
      </c>
      <c r="D1296" s="3" t="str">
        <f>IFERROR(__xludf.DUMMYFUNCTION("GOOGLETRANSLATE(A1296, ""nl"", ""en"")"),"Nature and Elements")</f>
        <v>Nature and Elements</v>
      </c>
      <c r="E1296" s="3" t="str">
        <f>IFERROR(__xludf.DUMMYFUNCTION("GOOGLETRANSLATE(B1296, ""nl"", ""en"")"),"A tree with endless branches")</f>
        <v>A tree with endless branches</v>
      </c>
    </row>
    <row r="1297" ht="15.75" customHeight="1">
      <c r="A1297" s="3" t="s">
        <v>24</v>
      </c>
      <c r="B1297" s="3" t="s">
        <v>33</v>
      </c>
      <c r="D1297" s="3" t="str">
        <f>IFERROR(__xludf.DUMMYFUNCTION("GOOGLETRANSLATE(A1297, ""nl"", ""en"")"),"Cosmic and Abstract Patterns")</f>
        <v>Cosmic and Abstract Patterns</v>
      </c>
      <c r="E1297" s="3" t="str">
        <f>IFERROR(__xludf.DUMMYFUNCTION("GOOGLETRANSLATE(B1297, ""nl"", ""en"")"),"An eye that repeats itself in endless patterns")</f>
        <v>An eye that repeats itself in endless patterns</v>
      </c>
    </row>
    <row r="1298" ht="15.75" customHeight="1">
      <c r="A1298" s="3" t="s">
        <v>9</v>
      </c>
      <c r="B1298" s="3" t="s">
        <v>37</v>
      </c>
      <c r="D1298" s="3" t="str">
        <f>IFERROR(__xludf.DUMMYFUNCTION("GOOGLETRANSLATE(A1298, ""nl"", ""en"")"),"Psychological and Emotional Interpretations")</f>
        <v>Psychological and Emotional Interpretations</v>
      </c>
      <c r="E1298" s="3" t="str">
        <f>IFERROR(__xludf.DUMMYFUNCTION("GOOGLETRANSLATE(B1298, ""nl"", ""en"")"),"A figure looking through itself")</f>
        <v>A figure looking through itself</v>
      </c>
    </row>
    <row r="1299" ht="15.75" customHeight="1">
      <c r="A1299" s="3" t="s">
        <v>4</v>
      </c>
      <c r="B1299" s="3" t="s">
        <v>43</v>
      </c>
      <c r="D1299" s="3" t="str">
        <f>IFERROR(__xludf.DUMMYFUNCTION("GOOGLETRANSLATE(A1299, ""nl"", ""en"")"),"Architectural and Structural Associations")</f>
        <v>Architectural and Structural Associations</v>
      </c>
      <c r="E1299" s="3" t="str">
        <f>IFERROR(__xludf.DUMMYFUNCTION("GOOGLETRANSLATE(B1299, ""nl"", ""en"")"),"A network of tunnels and passages")</f>
        <v>A network of tunnels and passages</v>
      </c>
    </row>
    <row r="1300" ht="15.75" customHeight="1">
      <c r="A1300" s="3" t="s">
        <v>15</v>
      </c>
      <c r="B1300" s="3" t="s">
        <v>26</v>
      </c>
      <c r="D1300" s="3" t="str">
        <f>IFERROR(__xludf.DUMMYFUNCTION("GOOGLETRANSLATE(A1300, ""nl"", ""en"")"),"Animals and Organic Forms")</f>
        <v>Animals and Organic Forms</v>
      </c>
      <c r="E1300" s="3" t="str">
        <f>IFERROR(__xludf.DUMMYFUNCTION("GOOGLETRANSLATE(B1300, ""nl"", ""en"")"),"A frog preparing to jump")</f>
        <v>A frog preparing to jump</v>
      </c>
    </row>
    <row r="1301" ht="15.75" customHeight="1">
      <c r="A1301" s="3" t="s">
        <v>24</v>
      </c>
      <c r="B1301" s="3" t="s">
        <v>33</v>
      </c>
      <c r="D1301" s="3" t="str">
        <f>IFERROR(__xludf.DUMMYFUNCTION("GOOGLETRANSLATE(A1301, ""nl"", ""en"")"),"Cosmic and Abstract Patterns")</f>
        <v>Cosmic and Abstract Patterns</v>
      </c>
      <c r="E1301" s="3" t="str">
        <f>IFERROR(__xludf.DUMMYFUNCTION("GOOGLETRANSLATE(B1301, ""nl"", ""en"")"),"An eye that repeats itself in endless patterns")</f>
        <v>An eye that repeats itself in endless patterns</v>
      </c>
    </row>
    <row r="1302" ht="15.75" customHeight="1">
      <c r="A1302" s="3" t="s">
        <v>4</v>
      </c>
      <c r="B1302" s="3" t="s">
        <v>55</v>
      </c>
      <c r="D1302" s="3" t="str">
        <f>IFERROR(__xludf.DUMMYFUNCTION("GOOGLETRANSLATE(A1302, ""nl"", ""en"")"),"Architectural and Structural Associations")</f>
        <v>Architectural and Structural Associations</v>
      </c>
      <c r="E1302" s="3" t="str">
        <f>IFERROR(__xludf.DUMMYFUNCTION("GOOGLETRANSLATE(B1302, ""nl"", ""en"")"),"A prism that splits light into colors")</f>
        <v>A prism that splits light into colors</v>
      </c>
    </row>
    <row r="1303" ht="15.75" customHeight="1">
      <c r="A1303" s="3" t="s">
        <v>9</v>
      </c>
      <c r="B1303" s="3" t="s">
        <v>17</v>
      </c>
      <c r="D1303" s="3" t="str">
        <f>IFERROR(__xludf.DUMMYFUNCTION("GOOGLETRANSLATE(A1303, ""nl"", ""en"")"),"Psychological and Emotional Interpretations")</f>
        <v>Psychological and Emotional Interpretations</v>
      </c>
      <c r="E1303" s="3" t="str">
        <f>IFERROR(__xludf.DUMMYFUNCTION("GOOGLETRANSLATE(B1303, ""nl"", ""en"")"),"A figure that seems to melt")</f>
        <v>A figure that seems to melt</v>
      </c>
    </row>
    <row r="1304" ht="15.75" customHeight="1">
      <c r="A1304" s="3" t="s">
        <v>15</v>
      </c>
      <c r="B1304" s="3" t="s">
        <v>22</v>
      </c>
      <c r="D1304" s="3" t="str">
        <f>IFERROR(__xludf.DUMMYFUNCTION("GOOGLETRANSLATE(A1304, ""nl"", ""en"")"),"Animals and Organic Forms")</f>
        <v>Animals and Organic Forms</v>
      </c>
      <c r="E1304" s="3" t="str">
        <f>IFERROR(__xludf.DUMMYFUNCTION("GOOGLETRANSLATE(B1304, ""nl"", ""en"")"),"A bird taking off")</f>
        <v>A bird taking off</v>
      </c>
    </row>
    <row r="1305" ht="15.75" customHeight="1">
      <c r="A1305" s="3" t="s">
        <v>24</v>
      </c>
      <c r="B1305" s="3" t="s">
        <v>32</v>
      </c>
      <c r="D1305" s="3" t="str">
        <f>IFERROR(__xludf.DUMMYFUNCTION("GOOGLETRANSLATE(A1305, ""nl"", ""en"")"),"Cosmic and Abstract Patterns")</f>
        <v>Cosmic and Abstract Patterns</v>
      </c>
      <c r="E1305" s="3" t="str">
        <f>IFERROR(__xludf.DUMMYFUNCTION("GOOGLETRANSLATE(B1305, ""nl"", ""en"")"),"A time loop captured in image")</f>
        <v>A time loop captured in image</v>
      </c>
    </row>
    <row r="1306" ht="15.75" customHeight="1">
      <c r="A1306" s="3" t="s">
        <v>7</v>
      </c>
      <c r="B1306" s="3" t="s">
        <v>41</v>
      </c>
      <c r="D1306" s="3" t="str">
        <f>IFERROR(__xludf.DUMMYFUNCTION("GOOGLETRANSLATE(A1306, ""nl"", ""en"")"),"Human Figures and Physicality")</f>
        <v>Human Figures and Physicality</v>
      </c>
      <c r="E1306" s="3" t="str">
        <f>IFERROR(__xludf.DUMMYFUNCTION("GOOGLETRANSLATE(B1306, ""nl"", ""en"")"),"A face that fades into abstraction")</f>
        <v>A face that fades into abstraction</v>
      </c>
    </row>
    <row r="1307" ht="15.75" customHeight="1">
      <c r="A1307" s="3" t="s">
        <v>24</v>
      </c>
      <c r="B1307" s="3" t="s">
        <v>29</v>
      </c>
      <c r="D1307" s="3" t="str">
        <f>IFERROR(__xludf.DUMMYFUNCTION("GOOGLETRANSLATE(A1307, ""nl"", ""en"")"),"Cosmic and Abstract Patterns")</f>
        <v>Cosmic and Abstract Patterns</v>
      </c>
      <c r="E1307" s="3" t="str">
        <f>IFERROR(__xludf.DUMMYFUNCTION("GOOGLETRANSLATE(B1307, ""nl"", ""en"")"),"A galaxy unfolding")</f>
        <v>A galaxy unfolding</v>
      </c>
    </row>
    <row r="1308" ht="15.75" customHeight="1">
      <c r="A1308" s="3" t="s">
        <v>24</v>
      </c>
      <c r="B1308" s="3" t="s">
        <v>32</v>
      </c>
      <c r="D1308" s="3" t="str">
        <f>IFERROR(__xludf.DUMMYFUNCTION("GOOGLETRANSLATE(A1308, ""nl"", ""en"")"),"Cosmic and Abstract Patterns")</f>
        <v>Cosmic and Abstract Patterns</v>
      </c>
      <c r="E1308" s="3" t="str">
        <f>IFERROR(__xludf.DUMMYFUNCTION("GOOGLETRANSLATE(B1308, ""nl"", ""en"")"),"A time loop captured in image")</f>
        <v>A time loop captured in image</v>
      </c>
    </row>
    <row r="1309" ht="15.75" customHeight="1">
      <c r="A1309" s="3" t="s">
        <v>15</v>
      </c>
      <c r="B1309" s="3" t="s">
        <v>16</v>
      </c>
      <c r="D1309" s="3" t="str">
        <f>IFERROR(__xludf.DUMMYFUNCTION("GOOGLETRANSLATE(A1309, ""nl"", ""en"")"),"Animals and Organic Forms")</f>
        <v>Animals and Organic Forms</v>
      </c>
      <c r="E1309" s="3" t="str">
        <f>IFERROR(__xludf.DUMMYFUNCTION("GOOGLETRANSLATE(B1309, ""nl"", ""en"")"),"A butterfly in transformation")</f>
        <v>A butterfly in transformation</v>
      </c>
    </row>
    <row r="1310" ht="15.75" customHeight="1">
      <c r="A1310" s="3" t="s">
        <v>9</v>
      </c>
      <c r="B1310" s="3" t="s">
        <v>49</v>
      </c>
      <c r="D1310" s="3" t="str">
        <f>IFERROR(__xludf.DUMMYFUNCTION("GOOGLETRANSLATE(A1310, ""nl"", ""en"")"),"Psychological and Emotional Interpretations")</f>
        <v>Psychological and Emotional Interpretations</v>
      </c>
      <c r="E1310" s="3" t="str">
        <f>IFERROR(__xludf.DUMMYFUNCTION("GOOGLETRANSLATE(B1310, ""nl"", ""en"")"),"A spiral that turns inward")</f>
        <v>A spiral that turns inward</v>
      </c>
    </row>
    <row r="1311" ht="15.75" customHeight="1">
      <c r="A1311" s="3" t="s">
        <v>24</v>
      </c>
      <c r="B1311" s="3" t="s">
        <v>29</v>
      </c>
      <c r="D1311" s="3" t="str">
        <f>IFERROR(__xludf.DUMMYFUNCTION("GOOGLETRANSLATE(A1311, ""nl"", ""en"")"),"Cosmic and Abstract Patterns")</f>
        <v>Cosmic and Abstract Patterns</v>
      </c>
      <c r="E1311" s="3" t="str">
        <f>IFERROR(__xludf.DUMMYFUNCTION("GOOGLETRANSLATE(B1311, ""nl"", ""en"")"),"A galaxy unfolding")</f>
        <v>A galaxy unfolding</v>
      </c>
    </row>
    <row r="1312" ht="15.75" customHeight="1">
      <c r="A1312" s="3" t="s">
        <v>12</v>
      </c>
      <c r="B1312" s="3" t="s">
        <v>19</v>
      </c>
      <c r="D1312" s="3" t="str">
        <f>IFERROR(__xludf.DUMMYFUNCTION("GOOGLETRANSLATE(A1312, ""nl"", ""en"")"),"Nature and Elements")</f>
        <v>Nature and Elements</v>
      </c>
      <c r="E1312" s="3" t="str">
        <f>IFERROR(__xludf.DUMMYFUNCTION("GOOGLETRANSLATE(B1312, ""nl"", ""en"")"),"A mountain range that seems to breathe")</f>
        <v>A mountain range that seems to breathe</v>
      </c>
    </row>
    <row r="1313" ht="15.75" customHeight="1">
      <c r="A1313" s="3" t="s">
        <v>4</v>
      </c>
      <c r="B1313" s="3" t="s">
        <v>6</v>
      </c>
      <c r="D1313" s="3" t="str">
        <f>IFERROR(__xludf.DUMMYFUNCTION("GOOGLETRANSLATE(A1313, ""nl"", ""en"")"),"Architectural and Structural Associations")</f>
        <v>Architectural and Structural Associations</v>
      </c>
      <c r="E1313" s="3" t="str">
        <f>IFERROR(__xludf.DUMMYFUNCTION("GOOGLETRANSLATE(B1313, ""nl"", ""en"")"),"An endless labyrinth")</f>
        <v>An endless labyrinth</v>
      </c>
    </row>
    <row r="1314" ht="15.75" customHeight="1">
      <c r="A1314" s="3" t="s">
        <v>15</v>
      </c>
      <c r="B1314" s="3" t="s">
        <v>46</v>
      </c>
      <c r="D1314" s="3" t="str">
        <f>IFERROR(__xludf.DUMMYFUNCTION("GOOGLETRANSLATE(A1314, ""nl"", ""en"")"),"Animals and Organic Forms")</f>
        <v>Animals and Organic Forms</v>
      </c>
      <c r="E1314" s="3" t="str">
        <f>IFERROR(__xludf.DUMMYFUNCTION("GOOGLETRANSLATE(B1314, ""nl"", ""en"")"),"A flock of fish moving as one")</f>
        <v>A flock of fish moving as one</v>
      </c>
    </row>
    <row r="1315" ht="15.75" customHeight="1">
      <c r="A1315" s="3" t="s">
        <v>4</v>
      </c>
      <c r="B1315" s="3" t="s">
        <v>6</v>
      </c>
      <c r="D1315" s="3" t="str">
        <f>IFERROR(__xludf.DUMMYFUNCTION("GOOGLETRANSLATE(A1315, ""nl"", ""en"")"),"Architectural and Structural Associations")</f>
        <v>Architectural and Structural Associations</v>
      </c>
      <c r="E1315" s="3" t="str">
        <f>IFERROR(__xludf.DUMMYFUNCTION("GOOGLETRANSLATE(B1315, ""nl"", ""en"")"),"An endless labyrinth")</f>
        <v>An endless labyrinth</v>
      </c>
    </row>
    <row r="1316" ht="15.75" customHeight="1">
      <c r="A1316" s="3" t="s">
        <v>24</v>
      </c>
      <c r="B1316" s="3" t="s">
        <v>54</v>
      </c>
      <c r="D1316" s="3" t="str">
        <f>IFERROR(__xludf.DUMMYFUNCTION("GOOGLETRANSLATE(A1316, ""nl"", ""en"")"),"Cosmic and Abstract Patterns")</f>
        <v>Cosmic and Abstract Patterns</v>
      </c>
      <c r="E1316" s="3" t="str">
        <f>IFERROR(__xludf.DUMMYFUNCTION("GOOGLETRANSLATE(B1316, ""nl"", ""en"")"),"A quantum particle in superposition")</f>
        <v>A quantum particle in superposition</v>
      </c>
    </row>
    <row r="1317" ht="15.75" customHeight="1">
      <c r="A1317" s="3" t="s">
        <v>4</v>
      </c>
      <c r="B1317" s="3" t="s">
        <v>43</v>
      </c>
      <c r="D1317" s="3" t="str">
        <f>IFERROR(__xludf.DUMMYFUNCTION("GOOGLETRANSLATE(A1317, ""nl"", ""en"")"),"Architectural and Structural Associations")</f>
        <v>Architectural and Structural Associations</v>
      </c>
      <c r="E1317" s="3" t="str">
        <f>IFERROR(__xludf.DUMMYFUNCTION("GOOGLETRANSLATE(B1317, ""nl"", ""en"")"),"A network of tunnels and passages")</f>
        <v>A network of tunnels and passages</v>
      </c>
    </row>
    <row r="1318" ht="15.75" customHeight="1">
      <c r="A1318" s="3" t="s">
        <v>15</v>
      </c>
      <c r="B1318" s="3" t="s">
        <v>45</v>
      </c>
      <c r="D1318" s="3" t="str">
        <f>IFERROR(__xludf.DUMMYFUNCTION("GOOGLETRANSLATE(A1318, ""nl"", ""en"")"),"Animals and Organic Forms")</f>
        <v>Animals and Organic Forms</v>
      </c>
      <c r="E1318" s="3" t="str">
        <f>IFERROR(__xludf.DUMMYFUNCTION("GOOGLETRANSLATE(B1318, ""nl"", ""en"")"),"A snake biting its own tail")</f>
        <v>A snake biting its own tail</v>
      </c>
    </row>
    <row r="1319" ht="15.75" customHeight="1">
      <c r="A1319" s="3" t="s">
        <v>9</v>
      </c>
      <c r="B1319" s="3" t="s">
        <v>49</v>
      </c>
      <c r="D1319" s="3" t="str">
        <f>IFERROR(__xludf.DUMMYFUNCTION("GOOGLETRANSLATE(A1319, ""nl"", ""en"")"),"Psychological and Emotional Interpretations")</f>
        <v>Psychological and Emotional Interpretations</v>
      </c>
      <c r="E1319" s="3" t="str">
        <f>IFERROR(__xludf.DUMMYFUNCTION("GOOGLETRANSLATE(B1319, ""nl"", ""en"")"),"A spiral that turns inward")</f>
        <v>A spiral that turns inward</v>
      </c>
    </row>
    <row r="1320" ht="15.75" customHeight="1">
      <c r="A1320" s="3" t="s">
        <v>15</v>
      </c>
      <c r="B1320" s="3" t="s">
        <v>50</v>
      </c>
      <c r="D1320" s="3" t="str">
        <f>IFERROR(__xludf.DUMMYFUNCTION("GOOGLETRANSLATE(A1320, ""nl"", ""en"")"),"Animals and Organic Forms")</f>
        <v>Animals and Organic Forms</v>
      </c>
      <c r="E1320" s="3" t="str">
        <f>IFERROR(__xludf.DUMMYFUNCTION("GOOGLETRANSLATE(B1320, ""nl"", ""en"")"),"A squid with extended tentacles")</f>
        <v>A squid with extended tentacles</v>
      </c>
    </row>
    <row r="1321" ht="15.75" customHeight="1">
      <c r="A1321" s="3" t="s">
        <v>15</v>
      </c>
      <c r="B1321" s="3" t="s">
        <v>26</v>
      </c>
      <c r="D1321" s="3" t="str">
        <f>IFERROR(__xludf.DUMMYFUNCTION("GOOGLETRANSLATE(A1321, ""nl"", ""en"")"),"Animals and Organic Forms")</f>
        <v>Animals and Organic Forms</v>
      </c>
      <c r="E1321" s="3" t="str">
        <f>IFERROR(__xludf.DUMMYFUNCTION("GOOGLETRANSLATE(B1321, ""nl"", ""en"")"),"A frog preparing to jump")</f>
        <v>A frog preparing to jump</v>
      </c>
    </row>
    <row r="1322" ht="15.75" customHeight="1">
      <c r="A1322" s="3" t="s">
        <v>4</v>
      </c>
      <c r="B1322" s="3" t="s">
        <v>44</v>
      </c>
      <c r="D1322" s="3" t="str">
        <f>IFERROR(__xludf.DUMMYFUNCTION("GOOGLETRANSLATE(A1322, ""nl"", ""en"")"),"Architectural and Structural Associations")</f>
        <v>Architectural and Structural Associations</v>
      </c>
      <c r="E1322" s="3" t="str">
        <f>IFERROR(__xludf.DUMMYFUNCTION("GOOGLETRANSLATE(B1322, ""nl"", ""en"")"),"A structure that pulsates in waves")</f>
        <v>A structure that pulsates in waves</v>
      </c>
    </row>
    <row r="1323" ht="15.75" customHeight="1">
      <c r="A1323" s="3" t="s">
        <v>4</v>
      </c>
      <c r="B1323" s="3" t="s">
        <v>5</v>
      </c>
      <c r="D1323" s="3" t="str">
        <f>IFERROR(__xludf.DUMMYFUNCTION("GOOGLETRANSLATE(A1323, ""nl"", ""en"")"),"Architectural and Structural Associations")</f>
        <v>Architectural and Structural Associations</v>
      </c>
      <c r="E1323" s="3" t="str">
        <f>IFERROR(__xludf.DUMMYFUNCTION("GOOGLETRANSLATE(B1323, ""nl"", ""en"")"),"A cathedral shaped from mist")</f>
        <v>A cathedral shaped from mist</v>
      </c>
    </row>
    <row r="1324" ht="15.75" customHeight="1">
      <c r="A1324" s="3" t="s">
        <v>4</v>
      </c>
      <c r="B1324" s="3" t="s">
        <v>44</v>
      </c>
      <c r="D1324" s="3" t="str">
        <f>IFERROR(__xludf.DUMMYFUNCTION("GOOGLETRANSLATE(A1324, ""nl"", ""en"")"),"Architectural and Structural Associations")</f>
        <v>Architectural and Structural Associations</v>
      </c>
      <c r="E1324" s="3" t="str">
        <f>IFERROR(__xludf.DUMMYFUNCTION("GOOGLETRANSLATE(B1324, ""nl"", ""en"")"),"A structure that pulsates in waves")</f>
        <v>A structure that pulsates in waves</v>
      </c>
    </row>
    <row r="1325" ht="15.75" customHeight="1">
      <c r="A1325" s="3" t="s">
        <v>24</v>
      </c>
      <c r="B1325" s="3" t="s">
        <v>31</v>
      </c>
      <c r="D1325" s="3" t="str">
        <f>IFERROR(__xludf.DUMMYFUNCTION("GOOGLETRANSLATE(A1325, ""nl"", ""en"")"),"Cosmic and Abstract Patterns")</f>
        <v>Cosmic and Abstract Patterns</v>
      </c>
      <c r="E1325" s="3" t="str">
        <f>IFERROR(__xludf.DUMMYFUNCTION("GOOGLETRANSLATE(B1325, ""nl"", ""en"")"),"A planet with unusual rings")</f>
        <v>A planet with unusual rings</v>
      </c>
    </row>
    <row r="1326" ht="15.75" customHeight="1">
      <c r="A1326" s="3" t="s">
        <v>4</v>
      </c>
      <c r="B1326" s="3" t="s">
        <v>20</v>
      </c>
      <c r="D1326" s="3" t="str">
        <f>IFERROR(__xludf.DUMMYFUNCTION("GOOGLETRANSLATE(A1326, ""nl"", ""en"")"),"Architectural and Structural Associations")</f>
        <v>Architectural and Structural Associations</v>
      </c>
      <c r="E1326" s="3" t="str">
        <f>IFERROR(__xludf.DUMMYFUNCTION("GOOGLETRANSLATE(B1326, ""nl"", ""en"")"),"A tower that grows by itself")</f>
        <v>A tower that grows by itself</v>
      </c>
    </row>
    <row r="1327" ht="15.75" customHeight="1">
      <c r="A1327" s="3" t="s">
        <v>4</v>
      </c>
      <c r="B1327" s="3" t="s">
        <v>44</v>
      </c>
      <c r="D1327" s="3" t="str">
        <f>IFERROR(__xludf.DUMMYFUNCTION("GOOGLETRANSLATE(A1327, ""nl"", ""en"")"),"Architectural and Structural Associations")</f>
        <v>Architectural and Structural Associations</v>
      </c>
      <c r="E1327" s="3" t="str">
        <f>IFERROR(__xludf.DUMMYFUNCTION("GOOGLETRANSLATE(B1327, ""nl"", ""en"")"),"A structure that pulsates in waves")</f>
        <v>A structure that pulsates in waves</v>
      </c>
    </row>
    <row r="1328" ht="15.75" customHeight="1">
      <c r="A1328" s="3" t="s">
        <v>12</v>
      </c>
      <c r="B1328" s="3" t="s">
        <v>47</v>
      </c>
      <c r="D1328" s="3" t="str">
        <f>IFERROR(__xludf.DUMMYFUNCTION("GOOGLETRANSLATE(A1328, ""nl"", ""en"")"),"Nature and Elements")</f>
        <v>Nature and Elements</v>
      </c>
      <c r="E1328" s="3" t="str">
        <f>IFERROR(__xludf.DUMMYFUNCTION("GOOGLETRANSLATE(B1328, ""nl"", ""en"")"),"A desert landscape that slowly changes")</f>
        <v>A desert landscape that slowly changes</v>
      </c>
    </row>
    <row r="1329" ht="15.75" customHeight="1">
      <c r="A1329" s="3" t="s">
        <v>9</v>
      </c>
      <c r="B1329" s="3" t="s">
        <v>42</v>
      </c>
      <c r="D1329" s="3" t="str">
        <f>IFERROR(__xludf.DUMMYFUNCTION("GOOGLETRANSLATE(A1329, ""nl"", ""en"")"),"Psychological and Emotional Interpretations")</f>
        <v>Psychological and Emotional Interpretations</v>
      </c>
      <c r="E1329" s="3" t="str">
        <f>IFERROR(__xludf.DUMMYFUNCTION("GOOGLETRANSLATE(B1329, ""nl"", ""en"")"),"A mask that slowly disappears")</f>
        <v>A mask that slowly disappears</v>
      </c>
    </row>
    <row r="1330" ht="15.75" customHeight="1">
      <c r="A1330" s="3" t="s">
        <v>24</v>
      </c>
      <c r="B1330" s="3" t="s">
        <v>27</v>
      </c>
      <c r="D1330" s="3" t="str">
        <f>IFERROR(__xludf.DUMMYFUNCTION("GOOGLETRANSLATE(A1330, ""nl"", ""en"")"),"Cosmic and Abstract Patterns")</f>
        <v>Cosmic and Abstract Patterns</v>
      </c>
      <c r="E1330" s="3" t="str">
        <f>IFERROR(__xludf.DUMMYFUNCTION("GOOGLETRANSLATE(B1330, ""nl"", ""en"")"),"A pair of black holes in dance")</f>
        <v>A pair of black holes in dance</v>
      </c>
    </row>
    <row r="1331" ht="15.75" customHeight="1">
      <c r="A1331" s="3" t="s">
        <v>7</v>
      </c>
      <c r="B1331" s="3" t="s">
        <v>28</v>
      </c>
      <c r="D1331" s="3" t="str">
        <f>IFERROR(__xludf.DUMMYFUNCTION("GOOGLETRANSLATE(A1331, ""nl"", ""en"")"),"Human Figures and Physicality")</f>
        <v>Human Figures and Physicality</v>
      </c>
      <c r="E1331" s="3" t="str">
        <f>IFERROR(__xludf.DUMMYFUNCTION("GOOGLETRANSLATE(B1331, ""nl"", ""en"")"),"A dancing silhouette")</f>
        <v>A dancing silhouette</v>
      </c>
    </row>
    <row r="1332" ht="15.75" customHeight="1">
      <c r="A1332" s="3" t="s">
        <v>4</v>
      </c>
      <c r="B1332" s="3" t="s">
        <v>35</v>
      </c>
      <c r="D1332" s="3" t="str">
        <f>IFERROR(__xludf.DUMMYFUNCTION("GOOGLETRANSLATE(A1332, ""nl"", ""en"")"),"Architectural and Structural Associations")</f>
        <v>Architectural and Structural Associations</v>
      </c>
      <c r="E1332" s="3" t="str">
        <f>IFERROR(__xludf.DUMMYFUNCTION("GOOGLETRANSLATE(B1332, ""nl"", ""en"")"),"A floating building without a base")</f>
        <v>A floating building without a base</v>
      </c>
    </row>
    <row r="1333" ht="15.75" customHeight="1">
      <c r="A1333" s="3" t="s">
        <v>7</v>
      </c>
      <c r="B1333" s="3" t="s">
        <v>39</v>
      </c>
      <c r="D1333" s="3" t="str">
        <f>IFERROR(__xludf.DUMMYFUNCTION("GOOGLETRANSLATE(A1333, ""nl"", ""en"")"),"Human Figures and Physicality")</f>
        <v>Human Figures and Physicality</v>
      </c>
      <c r="E1333" s="3" t="str">
        <f>IFERROR(__xludf.DUMMYFUNCTION("GOOGLETRANSLATE(B1333, ""nl"", ""en"")"),"A torso without a head")</f>
        <v>A torso without a head</v>
      </c>
    </row>
    <row r="1334" ht="15.75" customHeight="1">
      <c r="A1334" s="3" t="s">
        <v>4</v>
      </c>
      <c r="B1334" s="3" t="s">
        <v>20</v>
      </c>
      <c r="D1334" s="3" t="str">
        <f>IFERROR(__xludf.DUMMYFUNCTION("GOOGLETRANSLATE(A1334, ""nl"", ""en"")"),"Architectural and Structural Associations")</f>
        <v>Architectural and Structural Associations</v>
      </c>
      <c r="E1334" s="3" t="str">
        <f>IFERROR(__xludf.DUMMYFUNCTION("GOOGLETRANSLATE(B1334, ""nl"", ""en"")"),"A tower that grows by itself")</f>
        <v>A tower that grows by itself</v>
      </c>
    </row>
    <row r="1335" ht="15.75" customHeight="1">
      <c r="A1335" s="3" t="s">
        <v>24</v>
      </c>
      <c r="B1335" s="3" t="s">
        <v>33</v>
      </c>
      <c r="D1335" s="3" t="str">
        <f>IFERROR(__xludf.DUMMYFUNCTION("GOOGLETRANSLATE(A1335, ""nl"", ""en"")"),"Cosmic and Abstract Patterns")</f>
        <v>Cosmic and Abstract Patterns</v>
      </c>
      <c r="E1335" s="3" t="str">
        <f>IFERROR(__xludf.DUMMYFUNCTION("GOOGLETRANSLATE(B1335, ""nl"", ""en"")"),"An eye that repeats itself in endless patterns")</f>
        <v>An eye that repeats itself in endless patterns</v>
      </c>
    </row>
    <row r="1336" ht="15.75" customHeight="1">
      <c r="A1336" s="3" t="s">
        <v>12</v>
      </c>
      <c r="B1336" s="3" t="s">
        <v>23</v>
      </c>
      <c r="D1336" s="3" t="str">
        <f>IFERROR(__xludf.DUMMYFUNCTION("GOOGLETRANSLATE(A1336, ""nl"", ""en"")"),"Nature and Elements")</f>
        <v>Nature and Elements</v>
      </c>
      <c r="E1336" s="3" t="str">
        <f>IFERROR(__xludf.DUMMYFUNCTION("GOOGLETRANSLATE(B1336, ""nl"", ""en"")"),"A storm cloud splitting in two")</f>
        <v>A storm cloud splitting in two</v>
      </c>
    </row>
    <row r="1337" ht="15.75" customHeight="1">
      <c r="A1337" s="3" t="s">
        <v>12</v>
      </c>
      <c r="B1337" s="3" t="s">
        <v>47</v>
      </c>
      <c r="D1337" s="3" t="str">
        <f>IFERROR(__xludf.DUMMYFUNCTION("GOOGLETRANSLATE(A1337, ""nl"", ""en"")"),"Nature and Elements")</f>
        <v>Nature and Elements</v>
      </c>
      <c r="E1337" s="3" t="str">
        <f>IFERROR(__xludf.DUMMYFUNCTION("GOOGLETRANSLATE(B1337, ""nl"", ""en"")"),"A desert landscape that slowly changes")</f>
        <v>A desert landscape that slowly changes</v>
      </c>
    </row>
    <row r="1338" ht="15.75" customHeight="1">
      <c r="A1338" s="3" t="s">
        <v>7</v>
      </c>
      <c r="B1338" s="3" t="s">
        <v>39</v>
      </c>
      <c r="D1338" s="3" t="str">
        <f>IFERROR(__xludf.DUMMYFUNCTION("GOOGLETRANSLATE(A1338, ""nl"", ""en"")"),"Human Figures and Physicality")</f>
        <v>Human Figures and Physicality</v>
      </c>
      <c r="E1338" s="3" t="str">
        <f>IFERROR(__xludf.DUMMYFUNCTION("GOOGLETRANSLATE(B1338, ""nl"", ""en"")"),"A torso without a head")</f>
        <v>A torso without a head</v>
      </c>
    </row>
    <row r="1339" ht="15.75" customHeight="1">
      <c r="A1339" s="3" t="s">
        <v>7</v>
      </c>
      <c r="B1339" s="3" t="s">
        <v>34</v>
      </c>
      <c r="D1339" s="3" t="str">
        <f>IFERROR(__xludf.DUMMYFUNCTION("GOOGLETRANSLATE(A1339, ""nl"", ""en"")"),"Human Figures and Physicality")</f>
        <v>Human Figures and Physicality</v>
      </c>
      <c r="E1339" s="3" t="str">
        <f>IFERROR(__xludf.DUMMYFUNCTION("GOOGLETRANSLATE(B1339, ""nl"", ""en"")"),"Hands almost touching")</f>
        <v>Hands almost touching</v>
      </c>
    </row>
    <row r="1340" ht="15.75" customHeight="1">
      <c r="A1340" s="3" t="s">
        <v>15</v>
      </c>
      <c r="B1340" s="3" t="s">
        <v>46</v>
      </c>
      <c r="D1340" s="3" t="str">
        <f>IFERROR(__xludf.DUMMYFUNCTION("GOOGLETRANSLATE(A1340, ""nl"", ""en"")"),"Animals and Organic Forms")</f>
        <v>Animals and Organic Forms</v>
      </c>
      <c r="E1340" s="3" t="str">
        <f>IFERROR(__xludf.DUMMYFUNCTION("GOOGLETRANSLATE(B1340, ""nl"", ""en"")"),"A flock of fish moving as one")</f>
        <v>A flock of fish moving as one</v>
      </c>
    </row>
    <row r="1341" ht="15.75" customHeight="1">
      <c r="A1341" s="3" t="s">
        <v>4</v>
      </c>
      <c r="B1341" s="3" t="s">
        <v>21</v>
      </c>
      <c r="D1341" s="3" t="str">
        <f>IFERROR(__xludf.DUMMYFUNCTION("GOOGLETRANSLATE(A1341, ""nl"", ""en"")"),"Architectural and Structural Associations")</f>
        <v>Architectural and Structural Associations</v>
      </c>
      <c r="E1341" s="3" t="str">
        <f>IFERROR(__xludf.DUMMYFUNCTION("GOOGLETRANSLATE(B1341, ""nl"", ""en"")"),"A bridge that leads nowhere")</f>
        <v>A bridge that leads nowhere</v>
      </c>
    </row>
    <row r="1342" ht="15.75" customHeight="1">
      <c r="A1342" s="3" t="s">
        <v>24</v>
      </c>
      <c r="B1342" s="3" t="s">
        <v>27</v>
      </c>
      <c r="D1342" s="3" t="str">
        <f>IFERROR(__xludf.DUMMYFUNCTION("GOOGLETRANSLATE(A1342, ""nl"", ""en"")"),"Cosmic and Abstract Patterns")</f>
        <v>Cosmic and Abstract Patterns</v>
      </c>
      <c r="E1342" s="3" t="str">
        <f>IFERROR(__xludf.DUMMYFUNCTION("GOOGLETRANSLATE(B1342, ""nl"", ""en"")"),"A pair of black holes in dance")</f>
        <v>A pair of black holes in dance</v>
      </c>
    </row>
    <row r="1343" ht="15.75" customHeight="1">
      <c r="A1343" s="3" t="s">
        <v>4</v>
      </c>
      <c r="B1343" s="3" t="s">
        <v>5</v>
      </c>
      <c r="D1343" s="3" t="str">
        <f>IFERROR(__xludf.DUMMYFUNCTION("GOOGLETRANSLATE(A1343, ""nl"", ""en"")"),"Architectural and Structural Associations")</f>
        <v>Architectural and Structural Associations</v>
      </c>
      <c r="E1343" s="3" t="str">
        <f>IFERROR(__xludf.DUMMYFUNCTION("GOOGLETRANSLATE(B1343, ""nl"", ""en"")"),"A cathedral shaped from mist")</f>
        <v>A cathedral shaped from mist</v>
      </c>
    </row>
    <row r="1344" ht="15.75" customHeight="1">
      <c r="A1344" s="3" t="s">
        <v>24</v>
      </c>
      <c r="B1344" s="3" t="s">
        <v>33</v>
      </c>
      <c r="D1344" s="3" t="str">
        <f>IFERROR(__xludf.DUMMYFUNCTION("GOOGLETRANSLATE(A1344, ""nl"", ""en"")"),"Cosmic and Abstract Patterns")</f>
        <v>Cosmic and Abstract Patterns</v>
      </c>
      <c r="E1344" s="3" t="str">
        <f>IFERROR(__xludf.DUMMYFUNCTION("GOOGLETRANSLATE(B1344, ""nl"", ""en"")"),"An eye that repeats itself in endless patterns")</f>
        <v>An eye that repeats itself in endless patterns</v>
      </c>
    </row>
    <row r="1345" ht="15.75" customHeight="1">
      <c r="A1345" s="3" t="s">
        <v>9</v>
      </c>
      <c r="B1345" s="3" t="s">
        <v>49</v>
      </c>
      <c r="D1345" s="3" t="str">
        <f>IFERROR(__xludf.DUMMYFUNCTION("GOOGLETRANSLATE(A1345, ""nl"", ""en"")"),"Psychological and Emotional Interpretations")</f>
        <v>Psychological and Emotional Interpretations</v>
      </c>
      <c r="E1345" s="3" t="str">
        <f>IFERROR(__xludf.DUMMYFUNCTION("GOOGLETRANSLATE(B1345, ""nl"", ""en"")"),"A spiral that turns inward")</f>
        <v>A spiral that turns inward</v>
      </c>
    </row>
    <row r="1346" ht="15.75" customHeight="1">
      <c r="A1346" s="3" t="s">
        <v>9</v>
      </c>
      <c r="B1346" s="3" t="s">
        <v>14</v>
      </c>
      <c r="D1346" s="3" t="str">
        <f>IFERROR(__xludf.DUMMYFUNCTION("GOOGLETRANSLATE(A1346, ""nl"", ""en"")"),"Psychological and Emotional Interpretations")</f>
        <v>Psychological and Emotional Interpretations</v>
      </c>
      <c r="E1346" s="3" t="str">
        <f>IFERROR(__xludf.DUMMYFUNCTION("GOOGLETRANSLATE(B1346, ""nl"", ""en"")"),"An unclear hug")</f>
        <v>An unclear hug</v>
      </c>
    </row>
    <row r="1347" ht="15.75" customHeight="1">
      <c r="A1347" s="3" t="s">
        <v>24</v>
      </c>
      <c r="B1347" s="3" t="s">
        <v>31</v>
      </c>
      <c r="D1347" s="3" t="str">
        <f>IFERROR(__xludf.DUMMYFUNCTION("GOOGLETRANSLATE(A1347, ""nl"", ""en"")"),"Cosmic and Abstract Patterns")</f>
        <v>Cosmic and Abstract Patterns</v>
      </c>
      <c r="E1347" s="3" t="str">
        <f>IFERROR(__xludf.DUMMYFUNCTION("GOOGLETRANSLATE(B1347, ""nl"", ""en"")"),"A planet with unusual rings")</f>
        <v>A planet with unusual rings</v>
      </c>
    </row>
    <row r="1348" ht="15.75" customHeight="1">
      <c r="A1348" s="3" t="s">
        <v>4</v>
      </c>
      <c r="B1348" s="3" t="s">
        <v>35</v>
      </c>
      <c r="D1348" s="3" t="str">
        <f>IFERROR(__xludf.DUMMYFUNCTION("GOOGLETRANSLATE(A1348, ""nl"", ""en"")"),"Architectural and Structural Associations")</f>
        <v>Architectural and Structural Associations</v>
      </c>
      <c r="E1348" s="3" t="str">
        <f>IFERROR(__xludf.DUMMYFUNCTION("GOOGLETRANSLATE(B1348, ""nl"", ""en"")"),"A floating building without a base")</f>
        <v>A floating building without a base</v>
      </c>
    </row>
    <row r="1349" ht="15.75" customHeight="1">
      <c r="A1349" s="3" t="s">
        <v>4</v>
      </c>
      <c r="B1349" s="3" t="s">
        <v>44</v>
      </c>
      <c r="D1349" s="3" t="str">
        <f>IFERROR(__xludf.DUMMYFUNCTION("GOOGLETRANSLATE(A1349, ""nl"", ""en"")"),"Architectural and Structural Associations")</f>
        <v>Architectural and Structural Associations</v>
      </c>
      <c r="E1349" s="3" t="str">
        <f>IFERROR(__xludf.DUMMYFUNCTION("GOOGLETRANSLATE(B1349, ""nl"", ""en"")"),"A structure that pulsates in waves")</f>
        <v>A structure that pulsates in waves</v>
      </c>
    </row>
    <row r="1350" ht="15.75" customHeight="1">
      <c r="A1350" s="3" t="s">
        <v>4</v>
      </c>
      <c r="B1350" s="3" t="s">
        <v>44</v>
      </c>
      <c r="D1350" s="3" t="str">
        <f>IFERROR(__xludf.DUMMYFUNCTION("GOOGLETRANSLATE(A1350, ""nl"", ""en"")"),"Architectural and Structural Associations")</f>
        <v>Architectural and Structural Associations</v>
      </c>
      <c r="E1350" s="3" t="str">
        <f>IFERROR(__xludf.DUMMYFUNCTION("GOOGLETRANSLATE(B1350, ""nl"", ""en"")"),"A structure that pulsates in waves")</f>
        <v>A structure that pulsates in waves</v>
      </c>
    </row>
    <row r="1351" ht="15.75" customHeight="1">
      <c r="A1351" s="3" t="s">
        <v>24</v>
      </c>
      <c r="B1351" s="3" t="s">
        <v>25</v>
      </c>
      <c r="D1351" s="3" t="str">
        <f>IFERROR(__xludf.DUMMYFUNCTION("GOOGLETRANSLATE(A1351, ""nl"", ""en"")"),"Cosmic and Abstract Patterns")</f>
        <v>Cosmic and Abstract Patterns</v>
      </c>
      <c r="E1351" s="3" t="str">
        <f>IFERROR(__xludf.DUMMYFUNCTION("GOOGLETRANSLATE(B1351, ""nl"", ""en"")"),"A meteor shower dissolving into each other")</f>
        <v>A meteor shower dissolving into each other</v>
      </c>
    </row>
    <row r="1352" ht="15.75" customHeight="1">
      <c r="A1352" s="3" t="s">
        <v>4</v>
      </c>
      <c r="B1352" s="3" t="s">
        <v>35</v>
      </c>
      <c r="D1352" s="3" t="str">
        <f>IFERROR(__xludf.DUMMYFUNCTION("GOOGLETRANSLATE(A1352, ""nl"", ""en"")"),"Architectural and Structural Associations")</f>
        <v>Architectural and Structural Associations</v>
      </c>
      <c r="E1352" s="3" t="str">
        <f>IFERROR(__xludf.DUMMYFUNCTION("GOOGLETRANSLATE(B1352, ""nl"", ""en"")"),"A floating building without a base")</f>
        <v>A floating building without a base</v>
      </c>
    </row>
    <row r="1353" ht="15.75" customHeight="1">
      <c r="A1353" s="3" t="s">
        <v>9</v>
      </c>
      <c r="B1353" s="3" t="s">
        <v>11</v>
      </c>
      <c r="D1353" s="3" t="str">
        <f>IFERROR(__xludf.DUMMYFUNCTION("GOOGLETRANSLATE(A1353, ""nl"", ""en"")"),"Psychological and Emotional Interpretations")</f>
        <v>Psychological and Emotional Interpretations</v>
      </c>
      <c r="E1353" s="3" t="str">
        <f>IFERROR(__xludf.DUMMYFUNCTION("GOOGLETRANSLATE(B1353, ""nl"", ""en"")"),"An emotion captured in abstraction")</f>
        <v>An emotion captured in abstraction</v>
      </c>
    </row>
    <row r="1354" ht="15.75" customHeight="1">
      <c r="A1354" s="3" t="s">
        <v>9</v>
      </c>
      <c r="B1354" s="3" t="s">
        <v>49</v>
      </c>
      <c r="D1354" s="3" t="str">
        <f>IFERROR(__xludf.DUMMYFUNCTION("GOOGLETRANSLATE(A1354, ""nl"", ""en"")"),"Psychological and Emotional Interpretations")</f>
        <v>Psychological and Emotional Interpretations</v>
      </c>
      <c r="E1354" s="3" t="str">
        <f>IFERROR(__xludf.DUMMYFUNCTION("GOOGLETRANSLATE(B1354, ""nl"", ""en"")"),"A spiral that turns inward")</f>
        <v>A spiral that turns inward</v>
      </c>
    </row>
    <row r="1355" ht="15.75" customHeight="1">
      <c r="A1355" s="3" t="s">
        <v>24</v>
      </c>
      <c r="B1355" s="3" t="s">
        <v>29</v>
      </c>
      <c r="D1355" s="3" t="str">
        <f>IFERROR(__xludf.DUMMYFUNCTION("GOOGLETRANSLATE(A1355, ""nl"", ""en"")"),"Cosmic and Abstract Patterns")</f>
        <v>Cosmic and Abstract Patterns</v>
      </c>
      <c r="E1355" s="3" t="str">
        <f>IFERROR(__xludf.DUMMYFUNCTION("GOOGLETRANSLATE(B1355, ""nl"", ""en"")"),"A galaxy unfolding")</f>
        <v>A galaxy unfolding</v>
      </c>
    </row>
    <row r="1356" ht="15.75" customHeight="1">
      <c r="A1356" s="3" t="s">
        <v>7</v>
      </c>
      <c r="B1356" s="3" t="s">
        <v>40</v>
      </c>
      <c r="D1356" s="3" t="str">
        <f>IFERROR(__xludf.DUMMYFUNCTION("GOOGLETRANSLATE(A1356, ""nl"", ""en"")"),"Human Figures and Physicality")</f>
        <v>Human Figures and Physicality</v>
      </c>
      <c r="E1356" s="3" t="str">
        <f>IFERROR(__xludf.DUMMYFUNCTION("GOOGLETRANSLATE(B1356, ""nl"", ""en"")"),"A figure who is withdrawn into himself")</f>
        <v>A figure who is withdrawn into himself</v>
      </c>
    </row>
    <row r="1357" ht="15.75" customHeight="1">
      <c r="A1357" s="3" t="s">
        <v>7</v>
      </c>
      <c r="B1357" s="3" t="s">
        <v>28</v>
      </c>
      <c r="D1357" s="3" t="str">
        <f>IFERROR(__xludf.DUMMYFUNCTION("GOOGLETRANSLATE(A1357, ""nl"", ""en"")"),"Human Figures and Physicality")</f>
        <v>Human Figures and Physicality</v>
      </c>
      <c r="E1357" s="3" t="str">
        <f>IFERROR(__xludf.DUMMYFUNCTION("GOOGLETRANSLATE(B1357, ""nl"", ""en"")"),"A dancing silhouette")</f>
        <v>A dancing silhouette</v>
      </c>
    </row>
    <row r="1358" ht="15.75" customHeight="1">
      <c r="A1358" s="3" t="s">
        <v>24</v>
      </c>
      <c r="B1358" s="3" t="s">
        <v>27</v>
      </c>
      <c r="D1358" s="3" t="str">
        <f>IFERROR(__xludf.DUMMYFUNCTION("GOOGLETRANSLATE(A1358, ""nl"", ""en"")"),"Cosmic and Abstract Patterns")</f>
        <v>Cosmic and Abstract Patterns</v>
      </c>
      <c r="E1358" s="3" t="str">
        <f>IFERROR(__xludf.DUMMYFUNCTION("GOOGLETRANSLATE(B1358, ""nl"", ""en"")"),"A pair of black holes in dance")</f>
        <v>A pair of black holes in dance</v>
      </c>
    </row>
    <row r="1359" ht="15.75" customHeight="1">
      <c r="A1359" s="3" t="s">
        <v>7</v>
      </c>
      <c r="B1359" s="3" t="s">
        <v>40</v>
      </c>
      <c r="D1359" s="3" t="str">
        <f>IFERROR(__xludf.DUMMYFUNCTION("GOOGLETRANSLATE(A1359, ""nl"", ""en"")"),"Human Figures and Physicality")</f>
        <v>Human Figures and Physicality</v>
      </c>
      <c r="E1359" s="3" t="str">
        <f>IFERROR(__xludf.DUMMYFUNCTION("GOOGLETRANSLATE(B1359, ""nl"", ""en"")"),"A figure who is withdrawn into himself")</f>
        <v>A figure who is withdrawn into himself</v>
      </c>
    </row>
    <row r="1360" ht="15.75" customHeight="1">
      <c r="A1360" s="3" t="s">
        <v>12</v>
      </c>
      <c r="B1360" s="3" t="s">
        <v>36</v>
      </c>
      <c r="D1360" s="3" t="str">
        <f>IFERROR(__xludf.DUMMYFUNCTION("GOOGLETRANSLATE(A1360, ""nl"", ""en"")"),"Nature and Elements")</f>
        <v>Nature and Elements</v>
      </c>
      <c r="E1360" s="3" t="str">
        <f>IFERROR(__xludf.DUMMYFUNCTION("GOOGLETRANSLATE(B1360, ""nl"", ""en"")"),"A river delta from a bird's-eye view")</f>
        <v>A river delta from a bird's-eye view</v>
      </c>
    </row>
    <row r="1361" ht="15.75" customHeight="1">
      <c r="A1361" s="3" t="s">
        <v>4</v>
      </c>
      <c r="B1361" s="3" t="s">
        <v>35</v>
      </c>
      <c r="D1361" s="3" t="str">
        <f>IFERROR(__xludf.DUMMYFUNCTION("GOOGLETRANSLATE(A1361, ""nl"", ""en"")"),"Architectural and Structural Associations")</f>
        <v>Architectural and Structural Associations</v>
      </c>
      <c r="E1361" s="3" t="str">
        <f>IFERROR(__xludf.DUMMYFUNCTION("GOOGLETRANSLATE(B1361, ""nl"", ""en"")"),"A floating building without a base")</f>
        <v>A floating building without a base</v>
      </c>
    </row>
    <row r="1362" ht="15.75" customHeight="1">
      <c r="A1362" s="3" t="s">
        <v>9</v>
      </c>
      <c r="B1362" s="3" t="s">
        <v>14</v>
      </c>
      <c r="D1362" s="3" t="str">
        <f>IFERROR(__xludf.DUMMYFUNCTION("GOOGLETRANSLATE(A1362, ""nl"", ""en"")"),"Psychological and Emotional Interpretations")</f>
        <v>Psychological and Emotional Interpretations</v>
      </c>
      <c r="E1362" s="3" t="str">
        <f>IFERROR(__xludf.DUMMYFUNCTION("GOOGLETRANSLATE(B1362, ""nl"", ""en"")"),"An unclear hug")</f>
        <v>An unclear hug</v>
      </c>
    </row>
    <row r="1363" ht="15.75" customHeight="1">
      <c r="A1363" s="3" t="s">
        <v>12</v>
      </c>
      <c r="B1363" s="3" t="s">
        <v>18</v>
      </c>
      <c r="D1363" s="3" t="str">
        <f>IFERROR(__xludf.DUMMYFUNCTION("GOOGLETRANSLATE(A1363, ""nl"", ""en"")"),"Nature and Elements")</f>
        <v>Nature and Elements</v>
      </c>
      <c r="E1363" s="3" t="str">
        <f>IFERROR(__xludf.DUMMYFUNCTION("GOOGLETRANSLATE(B1363, ""nl"", ""en"")"),"A tree with endless branches")</f>
        <v>A tree with endless branches</v>
      </c>
    </row>
    <row r="1364" ht="15.75" customHeight="1">
      <c r="A1364" s="3" t="s">
        <v>12</v>
      </c>
      <c r="B1364" s="3" t="s">
        <v>13</v>
      </c>
      <c r="D1364" s="3" t="str">
        <f>IFERROR(__xludf.DUMMYFUNCTION("GOOGLETRANSLATE(A1364, ""nl"", ""en"")"),"Nature and Elements")</f>
        <v>Nature and Elements</v>
      </c>
      <c r="E1364" s="3" t="str">
        <f>IFERROR(__xludf.DUMMYFUNCTION("GOOGLETRANSLATE(B1364, ""nl"", ""en"")"),"A lightning strike in slow motion")</f>
        <v>A lightning strike in slow motion</v>
      </c>
    </row>
    <row r="1365" ht="15.75" customHeight="1">
      <c r="A1365" s="3" t="s">
        <v>9</v>
      </c>
      <c r="B1365" s="3" t="s">
        <v>42</v>
      </c>
      <c r="D1365" s="3" t="str">
        <f>IFERROR(__xludf.DUMMYFUNCTION("GOOGLETRANSLATE(A1365, ""nl"", ""en"")"),"Psychological and Emotional Interpretations")</f>
        <v>Psychological and Emotional Interpretations</v>
      </c>
      <c r="E1365" s="3" t="str">
        <f>IFERROR(__xludf.DUMMYFUNCTION("GOOGLETRANSLATE(B1365, ""nl"", ""en"")"),"A mask that slowly disappears")</f>
        <v>A mask that slowly disappears</v>
      </c>
    </row>
    <row r="1366" ht="15.75" customHeight="1">
      <c r="A1366" s="3" t="s">
        <v>15</v>
      </c>
      <c r="B1366" s="3" t="s">
        <v>16</v>
      </c>
      <c r="D1366" s="3" t="str">
        <f>IFERROR(__xludf.DUMMYFUNCTION("GOOGLETRANSLATE(A1366, ""nl"", ""en"")"),"Animals and Organic Forms")</f>
        <v>Animals and Organic Forms</v>
      </c>
      <c r="E1366" s="3" t="str">
        <f>IFERROR(__xludf.DUMMYFUNCTION("GOOGLETRANSLATE(B1366, ""nl"", ""en"")"),"A butterfly in transformation")</f>
        <v>A butterfly in transformation</v>
      </c>
    </row>
    <row r="1367" ht="15.75" customHeight="1">
      <c r="A1367" s="3" t="s">
        <v>12</v>
      </c>
      <c r="B1367" s="3" t="s">
        <v>18</v>
      </c>
      <c r="D1367" s="3" t="str">
        <f>IFERROR(__xludf.DUMMYFUNCTION("GOOGLETRANSLATE(A1367, ""nl"", ""en"")"),"Nature and Elements")</f>
        <v>Nature and Elements</v>
      </c>
      <c r="E1367" s="3" t="str">
        <f>IFERROR(__xludf.DUMMYFUNCTION("GOOGLETRANSLATE(B1367, ""nl"", ""en"")"),"A tree with endless branches")</f>
        <v>A tree with endless branches</v>
      </c>
    </row>
    <row r="1368" ht="15.75" customHeight="1">
      <c r="A1368" s="3" t="s">
        <v>24</v>
      </c>
      <c r="B1368" s="3" t="s">
        <v>48</v>
      </c>
      <c r="D1368" s="3" t="str">
        <f>IFERROR(__xludf.DUMMYFUNCTION("GOOGLETRANSLATE(A1368, ""nl"", ""en"")"),"Cosmic and Abstract Patterns")</f>
        <v>Cosmic and Abstract Patterns</v>
      </c>
      <c r="E1368" s="3" t="str">
        <f>IFERROR(__xludf.DUMMYFUNCTION("GOOGLETRANSLATE(B1368, ""nl"", ""en"")"),"A fractal that repeats itself")</f>
        <v>A fractal that repeats itself</v>
      </c>
    </row>
    <row r="1369" ht="15.75" customHeight="1">
      <c r="A1369" s="3" t="s">
        <v>12</v>
      </c>
      <c r="B1369" s="3" t="s">
        <v>19</v>
      </c>
      <c r="D1369" s="3" t="str">
        <f>IFERROR(__xludf.DUMMYFUNCTION("GOOGLETRANSLATE(A1369, ""nl"", ""en"")"),"Nature and Elements")</f>
        <v>Nature and Elements</v>
      </c>
      <c r="E1369" s="3" t="str">
        <f>IFERROR(__xludf.DUMMYFUNCTION("GOOGLETRANSLATE(B1369, ""nl"", ""en"")"),"A mountain range that seems to breathe")</f>
        <v>A mountain range that seems to breathe</v>
      </c>
    </row>
    <row r="1370" ht="15.75" customHeight="1">
      <c r="A1370" s="3" t="s">
        <v>15</v>
      </c>
      <c r="B1370" s="3" t="s">
        <v>26</v>
      </c>
      <c r="D1370" s="3" t="str">
        <f>IFERROR(__xludf.DUMMYFUNCTION("GOOGLETRANSLATE(A1370, ""nl"", ""en"")"),"Animals and Organic Forms")</f>
        <v>Animals and Organic Forms</v>
      </c>
      <c r="E1370" s="3" t="str">
        <f>IFERROR(__xludf.DUMMYFUNCTION("GOOGLETRANSLATE(B1370, ""nl"", ""en"")"),"A frog preparing to jump")</f>
        <v>A frog preparing to jump</v>
      </c>
    </row>
    <row r="1371" ht="15.75" customHeight="1">
      <c r="A1371" s="3" t="s">
        <v>7</v>
      </c>
      <c r="B1371" s="3" t="s">
        <v>53</v>
      </c>
      <c r="D1371" s="3" t="str">
        <f>IFERROR(__xludf.DUMMYFUNCTION("GOOGLETRANSLATE(A1371, ""nl"", ""en"")"),"Human Figures and Physicality")</f>
        <v>Human Figures and Physicality</v>
      </c>
      <c r="E1371" s="3" t="str">
        <f>IFERROR(__xludf.DUMMYFUNCTION("GOOGLETRANSLATE(B1371, ""nl"", ""en"")"),"A face that both smiles and cries")</f>
        <v>A face that both smiles and cries</v>
      </c>
    </row>
    <row r="1372" ht="15.75" customHeight="1">
      <c r="A1372" s="3" t="s">
        <v>24</v>
      </c>
      <c r="B1372" s="3" t="s">
        <v>33</v>
      </c>
      <c r="D1372" s="3" t="str">
        <f>IFERROR(__xludf.DUMMYFUNCTION("GOOGLETRANSLATE(A1372, ""nl"", ""en"")"),"Cosmic and Abstract Patterns")</f>
        <v>Cosmic and Abstract Patterns</v>
      </c>
      <c r="E1372" s="3" t="str">
        <f>IFERROR(__xludf.DUMMYFUNCTION("GOOGLETRANSLATE(B1372, ""nl"", ""en"")"),"An eye that repeats itself in endless patterns")</f>
        <v>An eye that repeats itself in endless patterns</v>
      </c>
    </row>
    <row r="1373" ht="15.75" customHeight="1">
      <c r="A1373" s="3" t="s">
        <v>9</v>
      </c>
      <c r="B1373" s="3" t="s">
        <v>11</v>
      </c>
      <c r="D1373" s="3" t="str">
        <f>IFERROR(__xludf.DUMMYFUNCTION("GOOGLETRANSLATE(A1373, ""nl"", ""en"")"),"Psychological and Emotional Interpretations")</f>
        <v>Psychological and Emotional Interpretations</v>
      </c>
      <c r="E1373" s="3" t="str">
        <f>IFERROR(__xludf.DUMMYFUNCTION("GOOGLETRANSLATE(B1373, ""nl"", ""en"")"),"An emotion captured in abstraction")</f>
        <v>An emotion captured in abstraction</v>
      </c>
    </row>
    <row r="1374" ht="15.75" customHeight="1">
      <c r="A1374" s="3" t="s">
        <v>7</v>
      </c>
      <c r="B1374" s="3" t="s">
        <v>56</v>
      </c>
      <c r="D1374" s="3" t="str">
        <f>IFERROR(__xludf.DUMMYFUNCTION("GOOGLETRANSLATE(A1374, ""nl"", ""en"")"),"Human Figures and Physicality")</f>
        <v>Human Figures and Physicality</v>
      </c>
      <c r="E1374" s="3" t="str">
        <f>IFERROR(__xludf.DUMMYFUNCTION("GOOGLETRANSLATE(B1374, ""nl"", ""en"")"),"A shadow that seems to move")</f>
        <v>A shadow that seems to move</v>
      </c>
    </row>
    <row r="1375" ht="15.75" customHeight="1">
      <c r="A1375" s="3" t="s">
        <v>12</v>
      </c>
      <c r="B1375" s="3" t="s">
        <v>36</v>
      </c>
      <c r="D1375" s="3" t="str">
        <f>IFERROR(__xludf.DUMMYFUNCTION("GOOGLETRANSLATE(A1375, ""nl"", ""en"")"),"Nature and Elements")</f>
        <v>Nature and Elements</v>
      </c>
      <c r="E1375" s="3" t="str">
        <f>IFERROR(__xludf.DUMMYFUNCTION("GOOGLETRANSLATE(B1375, ""nl"", ""en"")"),"A river delta from a bird's-eye view")</f>
        <v>A river delta from a bird's-eye view</v>
      </c>
    </row>
    <row r="1376" ht="15.75" customHeight="1">
      <c r="A1376" s="3" t="s">
        <v>24</v>
      </c>
      <c r="B1376" s="3" t="s">
        <v>54</v>
      </c>
      <c r="D1376" s="3" t="str">
        <f>IFERROR(__xludf.DUMMYFUNCTION("GOOGLETRANSLATE(A1376, ""nl"", ""en"")"),"Cosmic and Abstract Patterns")</f>
        <v>Cosmic and Abstract Patterns</v>
      </c>
      <c r="E1376" s="3" t="str">
        <f>IFERROR(__xludf.DUMMYFUNCTION("GOOGLETRANSLATE(B1376, ""nl"", ""en"")"),"A quantum particle in superposition")</f>
        <v>A quantum particle in superposition</v>
      </c>
    </row>
    <row r="1377" ht="15.75" customHeight="1">
      <c r="A1377" s="3" t="s">
        <v>12</v>
      </c>
      <c r="B1377" s="3" t="s">
        <v>19</v>
      </c>
      <c r="D1377" s="3" t="str">
        <f>IFERROR(__xludf.DUMMYFUNCTION("GOOGLETRANSLATE(A1377, ""nl"", ""en"")"),"Nature and Elements")</f>
        <v>Nature and Elements</v>
      </c>
      <c r="E1377" s="3" t="str">
        <f>IFERROR(__xludf.DUMMYFUNCTION("GOOGLETRANSLATE(B1377, ""nl"", ""en"")"),"A mountain range that seems to breathe")</f>
        <v>A mountain range that seems to breathe</v>
      </c>
    </row>
    <row r="1378" ht="15.75" customHeight="1">
      <c r="A1378" s="3" t="s">
        <v>12</v>
      </c>
      <c r="B1378" s="3" t="s">
        <v>47</v>
      </c>
      <c r="D1378" s="3" t="str">
        <f>IFERROR(__xludf.DUMMYFUNCTION("GOOGLETRANSLATE(A1378, ""nl"", ""en"")"),"Nature and Elements")</f>
        <v>Nature and Elements</v>
      </c>
      <c r="E1378" s="3" t="str">
        <f>IFERROR(__xludf.DUMMYFUNCTION("GOOGLETRANSLATE(B1378, ""nl"", ""en"")"),"A desert landscape that slowly changes")</f>
        <v>A desert landscape that slowly changes</v>
      </c>
    </row>
    <row r="1379" ht="15.75" customHeight="1">
      <c r="A1379" s="3" t="s">
        <v>4</v>
      </c>
      <c r="B1379" s="3" t="s">
        <v>20</v>
      </c>
      <c r="D1379" s="3" t="str">
        <f>IFERROR(__xludf.DUMMYFUNCTION("GOOGLETRANSLATE(A1379, ""nl"", ""en"")"),"Architectural and Structural Associations")</f>
        <v>Architectural and Structural Associations</v>
      </c>
      <c r="E1379" s="3" t="str">
        <f>IFERROR(__xludf.DUMMYFUNCTION("GOOGLETRANSLATE(B1379, ""nl"", ""en"")"),"A tower that grows by itself")</f>
        <v>A tower that grows by itself</v>
      </c>
    </row>
    <row r="1380" ht="15.75" customHeight="1">
      <c r="A1380" s="3" t="s">
        <v>9</v>
      </c>
      <c r="B1380" s="3" t="s">
        <v>17</v>
      </c>
      <c r="D1380" s="3" t="str">
        <f>IFERROR(__xludf.DUMMYFUNCTION("GOOGLETRANSLATE(A1380, ""nl"", ""en"")"),"Psychological and Emotional Interpretations")</f>
        <v>Psychological and Emotional Interpretations</v>
      </c>
      <c r="E1380" s="3" t="str">
        <f>IFERROR(__xludf.DUMMYFUNCTION("GOOGLETRANSLATE(B1380, ""nl"", ""en"")"),"A figure that seems to melt")</f>
        <v>A figure that seems to melt</v>
      </c>
    </row>
    <row r="1381" ht="15.75" customHeight="1">
      <c r="A1381" s="3" t="s">
        <v>7</v>
      </c>
      <c r="B1381" s="3" t="s">
        <v>8</v>
      </c>
      <c r="D1381" s="3" t="str">
        <f>IFERROR(__xludf.DUMMYFUNCTION("GOOGLETRANSLATE(A1381, ""nl"", ""en"")"),"Human Figures and Physicality")</f>
        <v>Human Figures and Physicality</v>
      </c>
      <c r="E1381" s="3" t="str">
        <f>IFERROR(__xludf.DUMMYFUNCTION("GOOGLETRANSLATE(B1381, ""nl"", ""en"")"),"Two figures mirroring each other")</f>
        <v>Two figures mirroring each other</v>
      </c>
    </row>
    <row r="1382" ht="15.75" customHeight="1">
      <c r="A1382" s="3" t="s">
        <v>12</v>
      </c>
      <c r="B1382" s="3" t="s">
        <v>47</v>
      </c>
      <c r="D1382" s="3" t="str">
        <f>IFERROR(__xludf.DUMMYFUNCTION("GOOGLETRANSLATE(A1382, ""nl"", ""en"")"),"Nature and Elements")</f>
        <v>Nature and Elements</v>
      </c>
      <c r="E1382" s="3" t="str">
        <f>IFERROR(__xludf.DUMMYFUNCTION("GOOGLETRANSLATE(B1382, ""nl"", ""en"")"),"A desert landscape that slowly changes")</f>
        <v>A desert landscape that slowly changes</v>
      </c>
    </row>
    <row r="1383" ht="15.75" customHeight="1">
      <c r="A1383" s="3" t="s">
        <v>15</v>
      </c>
      <c r="B1383" s="3" t="s">
        <v>45</v>
      </c>
      <c r="D1383" s="3" t="str">
        <f>IFERROR(__xludf.DUMMYFUNCTION("GOOGLETRANSLATE(A1383, ""nl"", ""en"")"),"Animals and Organic Forms")</f>
        <v>Animals and Organic Forms</v>
      </c>
      <c r="E1383" s="3" t="str">
        <f>IFERROR(__xludf.DUMMYFUNCTION("GOOGLETRANSLATE(B1383, ""nl"", ""en"")"),"A snake biting its own tail")</f>
        <v>A snake biting its own tail</v>
      </c>
    </row>
    <row r="1384" ht="15.75" customHeight="1">
      <c r="A1384" s="3" t="s">
        <v>4</v>
      </c>
      <c r="B1384" s="3" t="s">
        <v>21</v>
      </c>
      <c r="D1384" s="3" t="str">
        <f>IFERROR(__xludf.DUMMYFUNCTION("GOOGLETRANSLATE(A1384, ""nl"", ""en"")"),"Architectural and Structural Associations")</f>
        <v>Architectural and Structural Associations</v>
      </c>
      <c r="E1384" s="3" t="str">
        <f>IFERROR(__xludf.DUMMYFUNCTION("GOOGLETRANSLATE(B1384, ""nl"", ""en"")"),"A bridge that leads nowhere")</f>
        <v>A bridge that leads nowhere</v>
      </c>
    </row>
    <row r="1385" ht="15.75" customHeight="1">
      <c r="A1385" s="3" t="s">
        <v>12</v>
      </c>
      <c r="B1385" s="3" t="s">
        <v>47</v>
      </c>
      <c r="D1385" s="3" t="str">
        <f>IFERROR(__xludf.DUMMYFUNCTION("GOOGLETRANSLATE(A1385, ""nl"", ""en"")"),"Nature and Elements")</f>
        <v>Nature and Elements</v>
      </c>
      <c r="E1385" s="3" t="str">
        <f>IFERROR(__xludf.DUMMYFUNCTION("GOOGLETRANSLATE(B1385, ""nl"", ""en"")"),"A desert landscape that slowly changes")</f>
        <v>A desert landscape that slowly changes</v>
      </c>
    </row>
    <row r="1386" ht="15.75" customHeight="1">
      <c r="A1386" s="3" t="s">
        <v>24</v>
      </c>
      <c r="B1386" s="3" t="s">
        <v>29</v>
      </c>
      <c r="D1386" s="3" t="str">
        <f>IFERROR(__xludf.DUMMYFUNCTION("GOOGLETRANSLATE(A1386, ""nl"", ""en"")"),"Cosmic and Abstract Patterns")</f>
        <v>Cosmic and Abstract Patterns</v>
      </c>
      <c r="E1386" s="3" t="str">
        <f>IFERROR(__xludf.DUMMYFUNCTION("GOOGLETRANSLATE(B1386, ""nl"", ""en"")"),"A galaxy unfolding")</f>
        <v>A galaxy unfolding</v>
      </c>
    </row>
    <row r="1387" ht="15.75" customHeight="1">
      <c r="A1387" s="3" t="s">
        <v>24</v>
      </c>
      <c r="B1387" s="3" t="s">
        <v>48</v>
      </c>
      <c r="D1387" s="3" t="str">
        <f>IFERROR(__xludf.DUMMYFUNCTION("GOOGLETRANSLATE(A1387, ""nl"", ""en"")"),"Cosmic and Abstract Patterns")</f>
        <v>Cosmic and Abstract Patterns</v>
      </c>
      <c r="E1387" s="3" t="str">
        <f>IFERROR(__xludf.DUMMYFUNCTION("GOOGLETRANSLATE(B1387, ""nl"", ""en"")"),"A fractal that repeats itself")</f>
        <v>A fractal that repeats itself</v>
      </c>
    </row>
    <row r="1388" ht="15.75" customHeight="1">
      <c r="A1388" s="3" t="s">
        <v>9</v>
      </c>
      <c r="B1388" s="3" t="s">
        <v>49</v>
      </c>
      <c r="D1388" s="3" t="str">
        <f>IFERROR(__xludf.DUMMYFUNCTION("GOOGLETRANSLATE(A1388, ""nl"", ""en"")"),"Psychological and Emotional Interpretations")</f>
        <v>Psychological and Emotional Interpretations</v>
      </c>
      <c r="E1388" s="3" t="str">
        <f>IFERROR(__xludf.DUMMYFUNCTION("GOOGLETRANSLATE(B1388, ""nl"", ""en"")"),"A spiral that turns inward")</f>
        <v>A spiral that turns inward</v>
      </c>
    </row>
    <row r="1389" ht="15.75" customHeight="1">
      <c r="A1389" s="3" t="s">
        <v>24</v>
      </c>
      <c r="B1389" s="3" t="s">
        <v>29</v>
      </c>
      <c r="D1389" s="3" t="str">
        <f>IFERROR(__xludf.DUMMYFUNCTION("GOOGLETRANSLATE(A1389, ""nl"", ""en"")"),"Cosmic and Abstract Patterns")</f>
        <v>Cosmic and Abstract Patterns</v>
      </c>
      <c r="E1389" s="3" t="str">
        <f>IFERROR(__xludf.DUMMYFUNCTION("GOOGLETRANSLATE(B1389, ""nl"", ""en"")"),"A galaxy unfolding")</f>
        <v>A galaxy unfolding</v>
      </c>
    </row>
    <row r="1390" ht="15.75" customHeight="1">
      <c r="A1390" s="3" t="s">
        <v>9</v>
      </c>
      <c r="B1390" s="3" t="s">
        <v>14</v>
      </c>
      <c r="D1390" s="3" t="str">
        <f>IFERROR(__xludf.DUMMYFUNCTION("GOOGLETRANSLATE(A1390, ""nl"", ""en"")"),"Psychological and Emotional Interpretations")</f>
        <v>Psychological and Emotional Interpretations</v>
      </c>
      <c r="E1390" s="3" t="str">
        <f>IFERROR(__xludf.DUMMYFUNCTION("GOOGLETRANSLATE(B1390, ""nl"", ""en"")"),"An unclear hug")</f>
        <v>An unclear hug</v>
      </c>
    </row>
    <row r="1391" ht="15.75" customHeight="1">
      <c r="A1391" s="3" t="s">
        <v>9</v>
      </c>
      <c r="B1391" s="3" t="s">
        <v>14</v>
      </c>
      <c r="D1391" s="3" t="str">
        <f>IFERROR(__xludf.DUMMYFUNCTION("GOOGLETRANSLATE(A1391, ""nl"", ""en"")"),"Psychological and Emotional Interpretations")</f>
        <v>Psychological and Emotional Interpretations</v>
      </c>
      <c r="E1391" s="3" t="str">
        <f>IFERROR(__xludf.DUMMYFUNCTION("GOOGLETRANSLATE(B1391, ""nl"", ""en"")"),"An unclear hug")</f>
        <v>An unclear hug</v>
      </c>
    </row>
    <row r="1392" ht="15.75" customHeight="1">
      <c r="A1392" s="3" t="s">
        <v>24</v>
      </c>
      <c r="B1392" s="3" t="s">
        <v>31</v>
      </c>
      <c r="D1392" s="3" t="str">
        <f>IFERROR(__xludf.DUMMYFUNCTION("GOOGLETRANSLATE(A1392, ""nl"", ""en"")"),"Cosmic and Abstract Patterns")</f>
        <v>Cosmic and Abstract Patterns</v>
      </c>
      <c r="E1392" s="3" t="str">
        <f>IFERROR(__xludf.DUMMYFUNCTION("GOOGLETRANSLATE(B1392, ""nl"", ""en"")"),"A planet with unusual rings")</f>
        <v>A planet with unusual rings</v>
      </c>
    </row>
    <row r="1393" ht="15.75" customHeight="1">
      <c r="A1393" s="3" t="s">
        <v>7</v>
      </c>
      <c r="B1393" s="3" t="s">
        <v>53</v>
      </c>
      <c r="D1393" s="3" t="str">
        <f>IFERROR(__xludf.DUMMYFUNCTION("GOOGLETRANSLATE(A1393, ""nl"", ""en"")"),"Human Figures and Physicality")</f>
        <v>Human Figures and Physicality</v>
      </c>
      <c r="E1393" s="3" t="str">
        <f>IFERROR(__xludf.DUMMYFUNCTION("GOOGLETRANSLATE(B1393, ""nl"", ""en"")"),"A face that both smiles and cries")</f>
        <v>A face that both smiles and cries</v>
      </c>
    </row>
    <row r="1394" ht="15.75" customHeight="1">
      <c r="A1394" s="3" t="s">
        <v>9</v>
      </c>
      <c r="B1394" s="3" t="s">
        <v>17</v>
      </c>
      <c r="D1394" s="3" t="str">
        <f>IFERROR(__xludf.DUMMYFUNCTION("GOOGLETRANSLATE(A1394, ""nl"", ""en"")"),"Psychological and Emotional Interpretations")</f>
        <v>Psychological and Emotional Interpretations</v>
      </c>
      <c r="E1394" s="3" t="str">
        <f>IFERROR(__xludf.DUMMYFUNCTION("GOOGLETRANSLATE(B1394, ""nl"", ""en"")"),"A figure that seems to melt")</f>
        <v>A figure that seems to melt</v>
      </c>
    </row>
    <row r="1395" ht="15.75" customHeight="1">
      <c r="A1395" s="3" t="s">
        <v>4</v>
      </c>
      <c r="B1395" s="3" t="s">
        <v>43</v>
      </c>
      <c r="D1395" s="3" t="str">
        <f>IFERROR(__xludf.DUMMYFUNCTION("GOOGLETRANSLATE(A1395, ""nl"", ""en"")"),"Architectural and Structural Associations")</f>
        <v>Architectural and Structural Associations</v>
      </c>
      <c r="E1395" s="3" t="str">
        <f>IFERROR(__xludf.DUMMYFUNCTION("GOOGLETRANSLATE(B1395, ""nl"", ""en"")"),"A network of tunnels and passages")</f>
        <v>A network of tunnels and passages</v>
      </c>
    </row>
    <row r="1396" ht="15.75" customHeight="1">
      <c r="A1396" s="3" t="s">
        <v>4</v>
      </c>
      <c r="B1396" s="3" t="s">
        <v>35</v>
      </c>
      <c r="D1396" s="3" t="str">
        <f>IFERROR(__xludf.DUMMYFUNCTION("GOOGLETRANSLATE(A1396, ""nl"", ""en"")"),"Architectural and Structural Associations")</f>
        <v>Architectural and Structural Associations</v>
      </c>
      <c r="E1396" s="3" t="str">
        <f>IFERROR(__xludf.DUMMYFUNCTION("GOOGLETRANSLATE(B1396, ""nl"", ""en"")"),"A floating building without a base")</f>
        <v>A floating building without a base</v>
      </c>
    </row>
    <row r="1397" ht="15.75" customHeight="1">
      <c r="A1397" s="3" t="s">
        <v>12</v>
      </c>
      <c r="B1397" s="3" t="s">
        <v>18</v>
      </c>
      <c r="D1397" s="3" t="str">
        <f>IFERROR(__xludf.DUMMYFUNCTION("GOOGLETRANSLATE(A1397, ""nl"", ""en"")"),"Nature and Elements")</f>
        <v>Nature and Elements</v>
      </c>
      <c r="E1397" s="3" t="str">
        <f>IFERROR(__xludf.DUMMYFUNCTION("GOOGLETRANSLATE(B1397, ""nl"", ""en"")"),"A tree with endless branches")</f>
        <v>A tree with endless branches</v>
      </c>
    </row>
    <row r="1398" ht="15.75" customHeight="1">
      <c r="A1398" s="3" t="s">
        <v>7</v>
      </c>
      <c r="B1398" s="3" t="s">
        <v>56</v>
      </c>
      <c r="D1398" s="3" t="str">
        <f>IFERROR(__xludf.DUMMYFUNCTION("GOOGLETRANSLATE(A1398, ""nl"", ""en"")"),"Human Figures and Physicality")</f>
        <v>Human Figures and Physicality</v>
      </c>
      <c r="E1398" s="3" t="str">
        <f>IFERROR(__xludf.DUMMYFUNCTION("GOOGLETRANSLATE(B1398, ""nl"", ""en"")"),"A shadow that seems to move")</f>
        <v>A shadow that seems to move</v>
      </c>
    </row>
    <row r="1399" ht="15.75" customHeight="1">
      <c r="A1399" s="3" t="s">
        <v>24</v>
      </c>
      <c r="B1399" s="3" t="s">
        <v>25</v>
      </c>
      <c r="D1399" s="3" t="str">
        <f>IFERROR(__xludf.DUMMYFUNCTION("GOOGLETRANSLATE(A1399, ""nl"", ""en"")"),"Cosmic and Abstract Patterns")</f>
        <v>Cosmic and Abstract Patterns</v>
      </c>
      <c r="E1399" s="3" t="str">
        <f>IFERROR(__xludf.DUMMYFUNCTION("GOOGLETRANSLATE(B1399, ""nl"", ""en"")"),"A meteor shower dissolving into each other")</f>
        <v>A meteor shower dissolving into each other</v>
      </c>
    </row>
    <row r="1400" ht="15.75" customHeight="1">
      <c r="A1400" s="3" t="s">
        <v>7</v>
      </c>
      <c r="B1400" s="3" t="s">
        <v>56</v>
      </c>
      <c r="D1400" s="3" t="str">
        <f>IFERROR(__xludf.DUMMYFUNCTION("GOOGLETRANSLATE(A1400, ""nl"", ""en"")"),"Human Figures and Physicality")</f>
        <v>Human Figures and Physicality</v>
      </c>
      <c r="E1400" s="3" t="str">
        <f>IFERROR(__xludf.DUMMYFUNCTION("GOOGLETRANSLATE(B1400, ""nl"", ""en"")"),"A shadow that seems to move")</f>
        <v>A shadow that seems to move</v>
      </c>
    </row>
    <row r="1401" ht="15.75" customHeight="1">
      <c r="A1401" s="3" t="s">
        <v>9</v>
      </c>
      <c r="B1401" s="3" t="s">
        <v>17</v>
      </c>
      <c r="D1401" s="3" t="str">
        <f>IFERROR(__xludf.DUMMYFUNCTION("GOOGLETRANSLATE(A1401, ""nl"", ""en"")"),"Psychological and Emotional Interpretations")</f>
        <v>Psychological and Emotional Interpretations</v>
      </c>
      <c r="E1401" s="3" t="str">
        <f>IFERROR(__xludf.DUMMYFUNCTION("GOOGLETRANSLATE(B1401, ""nl"", ""en"")"),"A figure that seems to melt")</f>
        <v>A figure that seems to melt</v>
      </c>
    </row>
    <row r="1402" ht="15.75" customHeight="1">
      <c r="A1402" s="3" t="s">
        <v>7</v>
      </c>
      <c r="B1402" s="3" t="s">
        <v>40</v>
      </c>
      <c r="D1402" s="3" t="str">
        <f>IFERROR(__xludf.DUMMYFUNCTION("GOOGLETRANSLATE(A1402, ""nl"", ""en"")"),"Human Figures and Physicality")</f>
        <v>Human Figures and Physicality</v>
      </c>
      <c r="E1402" s="3" t="str">
        <f>IFERROR(__xludf.DUMMYFUNCTION("GOOGLETRANSLATE(B1402, ""nl"", ""en"")"),"A figure who is withdrawn into himself")</f>
        <v>A figure who is withdrawn into himself</v>
      </c>
    </row>
    <row r="1403" ht="15.75" customHeight="1">
      <c r="A1403" s="3" t="s">
        <v>9</v>
      </c>
      <c r="B1403" s="3" t="s">
        <v>42</v>
      </c>
      <c r="D1403" s="3" t="str">
        <f>IFERROR(__xludf.DUMMYFUNCTION("GOOGLETRANSLATE(A1403, ""nl"", ""en"")"),"Psychological and Emotional Interpretations")</f>
        <v>Psychological and Emotional Interpretations</v>
      </c>
      <c r="E1403" s="3" t="str">
        <f>IFERROR(__xludf.DUMMYFUNCTION("GOOGLETRANSLATE(B1403, ""nl"", ""en"")"),"A mask that slowly disappears")</f>
        <v>A mask that slowly disappears</v>
      </c>
    </row>
    <row r="1404" ht="15.75" customHeight="1">
      <c r="A1404" s="3" t="s">
        <v>4</v>
      </c>
      <c r="B1404" s="3" t="s">
        <v>6</v>
      </c>
      <c r="D1404" s="3" t="str">
        <f>IFERROR(__xludf.DUMMYFUNCTION("GOOGLETRANSLATE(A1404, ""nl"", ""en"")"),"Architectural and Structural Associations")</f>
        <v>Architectural and Structural Associations</v>
      </c>
      <c r="E1404" s="3" t="str">
        <f>IFERROR(__xludf.DUMMYFUNCTION("GOOGLETRANSLATE(B1404, ""nl"", ""en"")"),"An endless labyrinth")</f>
        <v>An endless labyrinth</v>
      </c>
    </row>
    <row r="1405" ht="15.75" customHeight="1">
      <c r="A1405" s="3" t="s">
        <v>15</v>
      </c>
      <c r="B1405" s="3" t="s">
        <v>22</v>
      </c>
      <c r="D1405" s="3" t="str">
        <f>IFERROR(__xludf.DUMMYFUNCTION("GOOGLETRANSLATE(A1405, ""nl"", ""en"")"),"Animals and Organic Forms")</f>
        <v>Animals and Organic Forms</v>
      </c>
      <c r="E1405" s="3" t="str">
        <f>IFERROR(__xludf.DUMMYFUNCTION("GOOGLETRANSLATE(B1405, ""nl"", ""en"")"),"A bird taking off")</f>
        <v>A bird taking off</v>
      </c>
    </row>
    <row r="1406" ht="15.75" customHeight="1">
      <c r="A1406" s="3" t="s">
        <v>4</v>
      </c>
      <c r="B1406" s="3" t="s">
        <v>43</v>
      </c>
      <c r="D1406" s="3" t="str">
        <f>IFERROR(__xludf.DUMMYFUNCTION("GOOGLETRANSLATE(A1406, ""nl"", ""en"")"),"Architectural and Structural Associations")</f>
        <v>Architectural and Structural Associations</v>
      </c>
      <c r="E1406" s="3" t="str">
        <f>IFERROR(__xludf.DUMMYFUNCTION("GOOGLETRANSLATE(B1406, ""nl"", ""en"")"),"A network of tunnels and passages")</f>
        <v>A network of tunnels and passages</v>
      </c>
    </row>
    <row r="1407" ht="15.75" customHeight="1">
      <c r="A1407" s="3" t="s">
        <v>24</v>
      </c>
      <c r="B1407" s="3" t="s">
        <v>29</v>
      </c>
      <c r="D1407" s="3" t="str">
        <f>IFERROR(__xludf.DUMMYFUNCTION("GOOGLETRANSLATE(A1407, ""nl"", ""en"")"),"Cosmic and Abstract Patterns")</f>
        <v>Cosmic and Abstract Patterns</v>
      </c>
      <c r="E1407" s="3" t="str">
        <f>IFERROR(__xludf.DUMMYFUNCTION("GOOGLETRANSLATE(B1407, ""nl"", ""en"")"),"A galaxy unfolding")</f>
        <v>A galaxy unfolding</v>
      </c>
    </row>
    <row r="1408" ht="15.75" customHeight="1">
      <c r="A1408" s="3" t="s">
        <v>9</v>
      </c>
      <c r="B1408" s="3" t="s">
        <v>17</v>
      </c>
      <c r="D1408" s="3" t="str">
        <f>IFERROR(__xludf.DUMMYFUNCTION("GOOGLETRANSLATE(A1408, ""nl"", ""en"")"),"Psychological and Emotional Interpretations")</f>
        <v>Psychological and Emotional Interpretations</v>
      </c>
      <c r="E1408" s="3" t="str">
        <f>IFERROR(__xludf.DUMMYFUNCTION("GOOGLETRANSLATE(B1408, ""nl"", ""en"")"),"A figure that seems to melt")</f>
        <v>A figure that seems to melt</v>
      </c>
    </row>
    <row r="1409" ht="15.75" customHeight="1">
      <c r="A1409" s="3" t="s">
        <v>4</v>
      </c>
      <c r="B1409" s="3" t="s">
        <v>5</v>
      </c>
      <c r="D1409" s="3" t="str">
        <f>IFERROR(__xludf.DUMMYFUNCTION("GOOGLETRANSLATE(A1409, ""nl"", ""en"")"),"Architectural and Structural Associations")</f>
        <v>Architectural and Structural Associations</v>
      </c>
      <c r="E1409" s="3" t="str">
        <f>IFERROR(__xludf.DUMMYFUNCTION("GOOGLETRANSLATE(B1409, ""nl"", ""en"")"),"A cathedral shaped from mist")</f>
        <v>A cathedral shaped from mist</v>
      </c>
    </row>
    <row r="1410" ht="15.75" customHeight="1">
      <c r="A1410" s="3" t="s">
        <v>9</v>
      </c>
      <c r="B1410" s="3" t="s">
        <v>17</v>
      </c>
      <c r="D1410" s="3" t="str">
        <f>IFERROR(__xludf.DUMMYFUNCTION("GOOGLETRANSLATE(A1410, ""nl"", ""en"")"),"Psychological and Emotional Interpretations")</f>
        <v>Psychological and Emotional Interpretations</v>
      </c>
      <c r="E1410" s="3" t="str">
        <f>IFERROR(__xludf.DUMMYFUNCTION("GOOGLETRANSLATE(B1410, ""nl"", ""en"")"),"A figure that seems to melt")</f>
        <v>A figure that seems to melt</v>
      </c>
    </row>
    <row r="1411" ht="15.75" customHeight="1">
      <c r="A1411" s="3" t="s">
        <v>4</v>
      </c>
      <c r="B1411" s="3" t="s">
        <v>5</v>
      </c>
      <c r="D1411" s="3" t="str">
        <f>IFERROR(__xludf.DUMMYFUNCTION("GOOGLETRANSLATE(A1411, ""nl"", ""en"")"),"Architectural and Structural Associations")</f>
        <v>Architectural and Structural Associations</v>
      </c>
      <c r="E1411" s="3" t="str">
        <f>IFERROR(__xludf.DUMMYFUNCTION("GOOGLETRANSLATE(B1411, ""nl"", ""en"")"),"A cathedral shaped from mist")</f>
        <v>A cathedral shaped from mist</v>
      </c>
    </row>
    <row r="1412" ht="15.75" customHeight="1">
      <c r="A1412" s="3" t="s">
        <v>4</v>
      </c>
      <c r="B1412" s="3" t="s">
        <v>44</v>
      </c>
      <c r="D1412" s="3" t="str">
        <f>IFERROR(__xludf.DUMMYFUNCTION("GOOGLETRANSLATE(A1412, ""nl"", ""en"")"),"Architectural and Structural Associations")</f>
        <v>Architectural and Structural Associations</v>
      </c>
      <c r="E1412" s="3" t="str">
        <f>IFERROR(__xludf.DUMMYFUNCTION("GOOGLETRANSLATE(B1412, ""nl"", ""en"")"),"A structure that pulsates in waves")</f>
        <v>A structure that pulsates in waves</v>
      </c>
    </row>
    <row r="1413" ht="15.75" customHeight="1">
      <c r="A1413" s="3" t="s">
        <v>24</v>
      </c>
      <c r="B1413" s="3" t="s">
        <v>29</v>
      </c>
      <c r="D1413" s="3" t="str">
        <f>IFERROR(__xludf.DUMMYFUNCTION("GOOGLETRANSLATE(A1413, ""nl"", ""en"")"),"Cosmic and Abstract Patterns")</f>
        <v>Cosmic and Abstract Patterns</v>
      </c>
      <c r="E1413" s="3" t="str">
        <f>IFERROR(__xludf.DUMMYFUNCTION("GOOGLETRANSLATE(B1413, ""nl"", ""en"")"),"A galaxy unfolding")</f>
        <v>A galaxy unfolding</v>
      </c>
    </row>
    <row r="1414" ht="15.75" customHeight="1">
      <c r="A1414" s="3" t="s">
        <v>7</v>
      </c>
      <c r="B1414" s="3" t="s">
        <v>40</v>
      </c>
      <c r="D1414" s="3" t="str">
        <f>IFERROR(__xludf.DUMMYFUNCTION("GOOGLETRANSLATE(A1414, ""nl"", ""en"")"),"Human Figures and Physicality")</f>
        <v>Human Figures and Physicality</v>
      </c>
      <c r="E1414" s="3" t="str">
        <f>IFERROR(__xludf.DUMMYFUNCTION("GOOGLETRANSLATE(B1414, ""nl"", ""en"")"),"A figure who is withdrawn into himself")</f>
        <v>A figure who is withdrawn into himself</v>
      </c>
    </row>
    <row r="1415" ht="15.75" customHeight="1">
      <c r="A1415" s="3" t="s">
        <v>9</v>
      </c>
      <c r="B1415" s="3" t="s">
        <v>17</v>
      </c>
      <c r="D1415" s="3" t="str">
        <f>IFERROR(__xludf.DUMMYFUNCTION("GOOGLETRANSLATE(A1415, ""nl"", ""en"")"),"Psychological and Emotional Interpretations")</f>
        <v>Psychological and Emotional Interpretations</v>
      </c>
      <c r="E1415" s="3" t="str">
        <f>IFERROR(__xludf.DUMMYFUNCTION("GOOGLETRANSLATE(B1415, ""nl"", ""en"")"),"A figure that seems to melt")</f>
        <v>A figure that seems to melt</v>
      </c>
    </row>
    <row r="1416" ht="15.75" customHeight="1">
      <c r="A1416" s="3" t="s">
        <v>24</v>
      </c>
      <c r="B1416" s="3" t="s">
        <v>29</v>
      </c>
      <c r="D1416" s="3" t="str">
        <f>IFERROR(__xludf.DUMMYFUNCTION("GOOGLETRANSLATE(A1416, ""nl"", ""en"")"),"Cosmic and Abstract Patterns")</f>
        <v>Cosmic and Abstract Patterns</v>
      </c>
      <c r="E1416" s="3" t="str">
        <f>IFERROR(__xludf.DUMMYFUNCTION("GOOGLETRANSLATE(B1416, ""nl"", ""en"")"),"A galaxy unfolding")</f>
        <v>A galaxy unfolding</v>
      </c>
    </row>
    <row r="1417" ht="15.75" customHeight="1">
      <c r="A1417" s="3" t="s">
        <v>4</v>
      </c>
      <c r="B1417" s="3" t="s">
        <v>6</v>
      </c>
      <c r="D1417" s="3" t="str">
        <f>IFERROR(__xludf.DUMMYFUNCTION("GOOGLETRANSLATE(A1417, ""nl"", ""en"")"),"Architectural and Structural Associations")</f>
        <v>Architectural and Structural Associations</v>
      </c>
      <c r="E1417" s="3" t="str">
        <f>IFERROR(__xludf.DUMMYFUNCTION("GOOGLETRANSLATE(B1417, ""nl"", ""en"")"),"An endless labyrinth")</f>
        <v>An endless labyrinth</v>
      </c>
    </row>
    <row r="1418" ht="15.75" customHeight="1">
      <c r="A1418" s="3" t="s">
        <v>15</v>
      </c>
      <c r="B1418" s="3" t="s">
        <v>16</v>
      </c>
      <c r="D1418" s="3" t="str">
        <f>IFERROR(__xludf.DUMMYFUNCTION("GOOGLETRANSLATE(A1418, ""nl"", ""en"")"),"Animals and Organic Forms")</f>
        <v>Animals and Organic Forms</v>
      </c>
      <c r="E1418" s="3" t="str">
        <f>IFERROR(__xludf.DUMMYFUNCTION("GOOGLETRANSLATE(B1418, ""nl"", ""en"")"),"A butterfly in transformation")</f>
        <v>A butterfly in transformation</v>
      </c>
    </row>
    <row r="1419" ht="15.75" customHeight="1">
      <c r="A1419" s="3" t="s">
        <v>7</v>
      </c>
      <c r="B1419" s="3" t="s">
        <v>28</v>
      </c>
      <c r="D1419" s="3" t="str">
        <f>IFERROR(__xludf.DUMMYFUNCTION("GOOGLETRANSLATE(A1419, ""nl"", ""en"")"),"Human Figures and Physicality")</f>
        <v>Human Figures and Physicality</v>
      </c>
      <c r="E1419" s="3" t="str">
        <f>IFERROR(__xludf.DUMMYFUNCTION("GOOGLETRANSLATE(B1419, ""nl"", ""en"")"),"A dancing silhouette")</f>
        <v>A dancing silhouette</v>
      </c>
    </row>
    <row r="1420" ht="15.75" customHeight="1">
      <c r="A1420" s="3" t="s">
        <v>9</v>
      </c>
      <c r="B1420" s="3" t="s">
        <v>49</v>
      </c>
      <c r="D1420" s="3" t="str">
        <f>IFERROR(__xludf.DUMMYFUNCTION("GOOGLETRANSLATE(A1420, ""nl"", ""en"")"),"Psychological and Emotional Interpretations")</f>
        <v>Psychological and Emotional Interpretations</v>
      </c>
      <c r="E1420" s="3" t="str">
        <f>IFERROR(__xludf.DUMMYFUNCTION("GOOGLETRANSLATE(B1420, ""nl"", ""en"")"),"A spiral that turns inward")</f>
        <v>A spiral that turns inward</v>
      </c>
    </row>
    <row r="1421" ht="15.75" customHeight="1">
      <c r="A1421" s="3" t="s">
        <v>4</v>
      </c>
      <c r="B1421" s="3" t="s">
        <v>21</v>
      </c>
      <c r="D1421" s="3" t="str">
        <f>IFERROR(__xludf.DUMMYFUNCTION("GOOGLETRANSLATE(A1421, ""nl"", ""en"")"),"Architectural and Structural Associations")</f>
        <v>Architectural and Structural Associations</v>
      </c>
      <c r="E1421" s="3" t="str">
        <f>IFERROR(__xludf.DUMMYFUNCTION("GOOGLETRANSLATE(B1421, ""nl"", ""en"")"),"A bridge that leads nowhere")</f>
        <v>A bridge that leads nowhere</v>
      </c>
    </row>
    <row r="1422" ht="15.75" customHeight="1">
      <c r="A1422" s="3" t="s">
        <v>4</v>
      </c>
      <c r="B1422" s="3" t="s">
        <v>35</v>
      </c>
      <c r="D1422" s="3" t="str">
        <f>IFERROR(__xludf.DUMMYFUNCTION("GOOGLETRANSLATE(A1422, ""nl"", ""en"")"),"Architectural and Structural Associations")</f>
        <v>Architectural and Structural Associations</v>
      </c>
      <c r="E1422" s="3" t="str">
        <f>IFERROR(__xludf.DUMMYFUNCTION("GOOGLETRANSLATE(B1422, ""nl"", ""en"")"),"A floating building without a base")</f>
        <v>A floating building without a base</v>
      </c>
    </row>
    <row r="1423" ht="15.75" customHeight="1">
      <c r="A1423" s="3" t="s">
        <v>4</v>
      </c>
      <c r="B1423" s="3" t="s">
        <v>20</v>
      </c>
      <c r="D1423" s="3" t="str">
        <f>IFERROR(__xludf.DUMMYFUNCTION("GOOGLETRANSLATE(A1423, ""nl"", ""en"")"),"Architectural and Structural Associations")</f>
        <v>Architectural and Structural Associations</v>
      </c>
      <c r="E1423" s="3" t="str">
        <f>IFERROR(__xludf.DUMMYFUNCTION("GOOGLETRANSLATE(B1423, ""nl"", ""en"")"),"A tower that grows by itself")</f>
        <v>A tower that grows by itself</v>
      </c>
    </row>
    <row r="1424" ht="15.75" customHeight="1">
      <c r="A1424" s="3" t="s">
        <v>7</v>
      </c>
      <c r="B1424" s="3" t="s">
        <v>40</v>
      </c>
      <c r="D1424" s="3" t="str">
        <f>IFERROR(__xludf.DUMMYFUNCTION("GOOGLETRANSLATE(A1424, ""nl"", ""en"")"),"Human Figures and Physicality")</f>
        <v>Human Figures and Physicality</v>
      </c>
      <c r="E1424" s="3" t="str">
        <f>IFERROR(__xludf.DUMMYFUNCTION("GOOGLETRANSLATE(B1424, ""nl"", ""en"")"),"A figure who is withdrawn into himself")</f>
        <v>A figure who is withdrawn into himself</v>
      </c>
    </row>
    <row r="1425" ht="15.75" customHeight="1">
      <c r="A1425" s="3" t="s">
        <v>4</v>
      </c>
      <c r="B1425" s="3" t="s">
        <v>55</v>
      </c>
      <c r="D1425" s="3" t="str">
        <f>IFERROR(__xludf.DUMMYFUNCTION("GOOGLETRANSLATE(A1425, ""nl"", ""en"")"),"Architectural and Structural Associations")</f>
        <v>Architectural and Structural Associations</v>
      </c>
      <c r="E1425" s="3" t="str">
        <f>IFERROR(__xludf.DUMMYFUNCTION("GOOGLETRANSLATE(B1425, ""nl"", ""en"")"),"A prism that splits light into colors")</f>
        <v>A prism that splits light into colors</v>
      </c>
    </row>
    <row r="1426" ht="15.75" customHeight="1">
      <c r="A1426" s="3" t="s">
        <v>12</v>
      </c>
      <c r="B1426" s="3" t="s">
        <v>30</v>
      </c>
      <c r="D1426" s="3" t="str">
        <f>IFERROR(__xludf.DUMMYFUNCTION("GOOGLETRANSLATE(A1426, ""nl"", ""en"")"),"Nature and Elements")</f>
        <v>Nature and Elements</v>
      </c>
      <c r="E1426" s="3" t="str">
        <f>IFERROR(__xludf.DUMMYFUNCTION("GOOGLETRANSLATE(B1426, ""nl"", ""en"")"),"Waves breaking in fractal patterns")</f>
        <v>Waves breaking in fractal patterns</v>
      </c>
    </row>
    <row r="1427" ht="15.75" customHeight="1">
      <c r="A1427" s="3" t="s">
        <v>24</v>
      </c>
      <c r="B1427" s="3" t="s">
        <v>33</v>
      </c>
      <c r="D1427" s="3" t="str">
        <f>IFERROR(__xludf.DUMMYFUNCTION("GOOGLETRANSLATE(A1427, ""nl"", ""en"")"),"Cosmic and Abstract Patterns")</f>
        <v>Cosmic and Abstract Patterns</v>
      </c>
      <c r="E1427" s="3" t="str">
        <f>IFERROR(__xludf.DUMMYFUNCTION("GOOGLETRANSLATE(B1427, ""nl"", ""en"")"),"An eye that repeats itself in endless patterns")</f>
        <v>An eye that repeats itself in endless patterns</v>
      </c>
    </row>
    <row r="1428" ht="15.75" customHeight="1">
      <c r="A1428" s="3" t="s">
        <v>4</v>
      </c>
      <c r="B1428" s="3" t="s">
        <v>44</v>
      </c>
      <c r="D1428" s="3" t="str">
        <f>IFERROR(__xludf.DUMMYFUNCTION("GOOGLETRANSLATE(A1428, ""nl"", ""en"")"),"Architectural and Structural Associations")</f>
        <v>Architectural and Structural Associations</v>
      </c>
      <c r="E1428" s="3" t="str">
        <f>IFERROR(__xludf.DUMMYFUNCTION("GOOGLETRANSLATE(B1428, ""nl"", ""en"")"),"A structure that pulsates in waves")</f>
        <v>A structure that pulsates in waves</v>
      </c>
    </row>
    <row r="1429" ht="15.75" customHeight="1">
      <c r="A1429" s="3" t="s">
        <v>7</v>
      </c>
      <c r="B1429" s="3" t="s">
        <v>28</v>
      </c>
      <c r="D1429" s="3" t="str">
        <f>IFERROR(__xludf.DUMMYFUNCTION("GOOGLETRANSLATE(A1429, ""nl"", ""en"")"),"Human Figures and Physicality")</f>
        <v>Human Figures and Physicality</v>
      </c>
      <c r="E1429" s="3" t="str">
        <f>IFERROR(__xludf.DUMMYFUNCTION("GOOGLETRANSLATE(B1429, ""nl"", ""en"")"),"A dancing silhouette")</f>
        <v>A dancing silhouette</v>
      </c>
    </row>
    <row r="1430" ht="15.75" customHeight="1">
      <c r="A1430" s="3" t="s">
        <v>4</v>
      </c>
      <c r="B1430" s="3" t="s">
        <v>20</v>
      </c>
      <c r="D1430" s="3" t="str">
        <f>IFERROR(__xludf.DUMMYFUNCTION("GOOGLETRANSLATE(A1430, ""nl"", ""en"")"),"Architectural and Structural Associations")</f>
        <v>Architectural and Structural Associations</v>
      </c>
      <c r="E1430" s="3" t="str">
        <f>IFERROR(__xludf.DUMMYFUNCTION("GOOGLETRANSLATE(B1430, ""nl"", ""en"")"),"A tower that grows by itself")</f>
        <v>A tower that grows by itself</v>
      </c>
    </row>
    <row r="1431" ht="15.75" customHeight="1">
      <c r="A1431" s="3" t="s">
        <v>15</v>
      </c>
      <c r="B1431" s="3" t="s">
        <v>46</v>
      </c>
      <c r="D1431" s="3" t="str">
        <f>IFERROR(__xludf.DUMMYFUNCTION("GOOGLETRANSLATE(A1431, ""nl"", ""en"")"),"Animals and Organic Forms")</f>
        <v>Animals and Organic Forms</v>
      </c>
      <c r="E1431" s="3" t="str">
        <f>IFERROR(__xludf.DUMMYFUNCTION("GOOGLETRANSLATE(B1431, ""nl"", ""en"")"),"A flock of fish moving as one")</f>
        <v>A flock of fish moving as one</v>
      </c>
    </row>
    <row r="1432" ht="15.75" customHeight="1">
      <c r="A1432" s="3" t="s">
        <v>7</v>
      </c>
      <c r="B1432" s="3" t="s">
        <v>28</v>
      </c>
      <c r="D1432" s="3" t="str">
        <f>IFERROR(__xludf.DUMMYFUNCTION("GOOGLETRANSLATE(A1432, ""nl"", ""en"")"),"Human Figures and Physicality")</f>
        <v>Human Figures and Physicality</v>
      </c>
      <c r="E1432" s="3" t="str">
        <f>IFERROR(__xludf.DUMMYFUNCTION("GOOGLETRANSLATE(B1432, ""nl"", ""en"")"),"A dancing silhouette")</f>
        <v>A dancing silhouette</v>
      </c>
    </row>
    <row r="1433" ht="15.75" customHeight="1">
      <c r="A1433" s="3" t="s">
        <v>9</v>
      </c>
      <c r="B1433" s="3" t="s">
        <v>14</v>
      </c>
      <c r="D1433" s="3" t="str">
        <f>IFERROR(__xludf.DUMMYFUNCTION("GOOGLETRANSLATE(A1433, ""nl"", ""en"")"),"Psychological and Emotional Interpretations")</f>
        <v>Psychological and Emotional Interpretations</v>
      </c>
      <c r="E1433" s="3" t="str">
        <f>IFERROR(__xludf.DUMMYFUNCTION("GOOGLETRANSLATE(B1433, ""nl"", ""en"")"),"An unclear hug")</f>
        <v>An unclear hug</v>
      </c>
    </row>
    <row r="1434" ht="15.75" customHeight="1">
      <c r="A1434" s="3" t="s">
        <v>9</v>
      </c>
      <c r="B1434" s="3" t="s">
        <v>42</v>
      </c>
      <c r="D1434" s="3" t="str">
        <f>IFERROR(__xludf.DUMMYFUNCTION("GOOGLETRANSLATE(A1434, ""nl"", ""en"")"),"Psychological and Emotional Interpretations")</f>
        <v>Psychological and Emotional Interpretations</v>
      </c>
      <c r="E1434" s="3" t="str">
        <f>IFERROR(__xludf.DUMMYFUNCTION("GOOGLETRANSLATE(B1434, ""nl"", ""en"")"),"A mask that slowly disappears")</f>
        <v>A mask that slowly disappears</v>
      </c>
    </row>
    <row r="1435" ht="15.75" customHeight="1">
      <c r="A1435" s="3" t="s">
        <v>4</v>
      </c>
      <c r="B1435" s="3" t="s">
        <v>20</v>
      </c>
      <c r="D1435" s="3" t="str">
        <f>IFERROR(__xludf.DUMMYFUNCTION("GOOGLETRANSLATE(A1435, ""nl"", ""en"")"),"Architectural and Structural Associations")</f>
        <v>Architectural and Structural Associations</v>
      </c>
      <c r="E1435" s="3" t="str">
        <f>IFERROR(__xludf.DUMMYFUNCTION("GOOGLETRANSLATE(B1435, ""nl"", ""en"")"),"A tower that grows by itself")</f>
        <v>A tower that grows by itself</v>
      </c>
    </row>
    <row r="1436" ht="15.75" customHeight="1">
      <c r="A1436" s="3" t="s">
        <v>15</v>
      </c>
      <c r="B1436" s="3" t="s">
        <v>46</v>
      </c>
      <c r="D1436" s="3" t="str">
        <f>IFERROR(__xludf.DUMMYFUNCTION("GOOGLETRANSLATE(A1436, ""nl"", ""en"")"),"Animals and Organic Forms")</f>
        <v>Animals and Organic Forms</v>
      </c>
      <c r="E1436" s="3" t="str">
        <f>IFERROR(__xludf.DUMMYFUNCTION("GOOGLETRANSLATE(B1436, ""nl"", ""en"")"),"A flock of fish moving as one")</f>
        <v>A flock of fish moving as one</v>
      </c>
    </row>
    <row r="1437" ht="15.75" customHeight="1">
      <c r="A1437" s="3" t="s">
        <v>12</v>
      </c>
      <c r="B1437" s="3" t="s">
        <v>23</v>
      </c>
      <c r="D1437" s="3" t="str">
        <f>IFERROR(__xludf.DUMMYFUNCTION("GOOGLETRANSLATE(A1437, ""nl"", ""en"")"),"Nature and Elements")</f>
        <v>Nature and Elements</v>
      </c>
      <c r="E1437" s="3" t="str">
        <f>IFERROR(__xludf.DUMMYFUNCTION("GOOGLETRANSLATE(B1437, ""nl"", ""en"")"),"A storm cloud splitting in two")</f>
        <v>A storm cloud splitting in two</v>
      </c>
    </row>
    <row r="1438" ht="15.75" customHeight="1">
      <c r="A1438" s="3" t="s">
        <v>4</v>
      </c>
      <c r="B1438" s="3" t="s">
        <v>5</v>
      </c>
      <c r="D1438" s="3" t="str">
        <f>IFERROR(__xludf.DUMMYFUNCTION("GOOGLETRANSLATE(A1438, ""nl"", ""en"")"),"Architectural and Structural Associations")</f>
        <v>Architectural and Structural Associations</v>
      </c>
      <c r="E1438" s="3" t="str">
        <f>IFERROR(__xludf.DUMMYFUNCTION("GOOGLETRANSLATE(B1438, ""nl"", ""en"")"),"A cathedral shaped from mist")</f>
        <v>A cathedral shaped from mist</v>
      </c>
    </row>
    <row r="1439" ht="15.75" customHeight="1">
      <c r="A1439" s="3" t="s">
        <v>24</v>
      </c>
      <c r="B1439" s="3" t="s">
        <v>31</v>
      </c>
      <c r="D1439" s="3" t="str">
        <f>IFERROR(__xludf.DUMMYFUNCTION("GOOGLETRANSLATE(A1439, ""nl"", ""en"")"),"Cosmic and Abstract Patterns")</f>
        <v>Cosmic and Abstract Patterns</v>
      </c>
      <c r="E1439" s="3" t="str">
        <f>IFERROR(__xludf.DUMMYFUNCTION("GOOGLETRANSLATE(B1439, ""nl"", ""en"")"),"A planet with unusual rings")</f>
        <v>A planet with unusual rings</v>
      </c>
    </row>
    <row r="1440" ht="15.75" customHeight="1">
      <c r="A1440" s="3" t="s">
        <v>7</v>
      </c>
      <c r="B1440" s="3" t="s">
        <v>41</v>
      </c>
      <c r="D1440" s="3" t="str">
        <f>IFERROR(__xludf.DUMMYFUNCTION("GOOGLETRANSLATE(A1440, ""nl"", ""en"")"),"Human Figures and Physicality")</f>
        <v>Human Figures and Physicality</v>
      </c>
      <c r="E1440" s="3" t="str">
        <f>IFERROR(__xludf.DUMMYFUNCTION("GOOGLETRANSLATE(B1440, ""nl"", ""en"")"),"A face that fades into abstraction")</f>
        <v>A face that fades into abstraction</v>
      </c>
    </row>
    <row r="1441" ht="15.75" customHeight="1">
      <c r="A1441" s="3" t="s">
        <v>15</v>
      </c>
      <c r="B1441" s="3" t="s">
        <v>22</v>
      </c>
      <c r="D1441" s="3" t="str">
        <f>IFERROR(__xludf.DUMMYFUNCTION("GOOGLETRANSLATE(A1441, ""nl"", ""en"")"),"Animals and Organic Forms")</f>
        <v>Animals and Organic Forms</v>
      </c>
      <c r="E1441" s="3" t="str">
        <f>IFERROR(__xludf.DUMMYFUNCTION("GOOGLETRANSLATE(B1441, ""nl"", ""en"")"),"A bird taking off")</f>
        <v>A bird taking off</v>
      </c>
    </row>
    <row r="1442" ht="15.75" customHeight="1">
      <c r="A1442" s="3" t="s">
        <v>7</v>
      </c>
      <c r="B1442" s="3" t="s">
        <v>56</v>
      </c>
      <c r="D1442" s="3" t="str">
        <f>IFERROR(__xludf.DUMMYFUNCTION("GOOGLETRANSLATE(A1442, ""nl"", ""en"")"),"Human Figures and Physicality")</f>
        <v>Human Figures and Physicality</v>
      </c>
      <c r="E1442" s="3" t="str">
        <f>IFERROR(__xludf.DUMMYFUNCTION("GOOGLETRANSLATE(B1442, ""nl"", ""en"")"),"A shadow that seems to move")</f>
        <v>A shadow that seems to move</v>
      </c>
    </row>
    <row r="1443" ht="15.75" customHeight="1">
      <c r="A1443" s="3" t="s">
        <v>7</v>
      </c>
      <c r="B1443" s="3" t="s">
        <v>28</v>
      </c>
      <c r="D1443" s="3" t="str">
        <f>IFERROR(__xludf.DUMMYFUNCTION("GOOGLETRANSLATE(A1443, ""nl"", ""en"")"),"Human Figures and Physicality")</f>
        <v>Human Figures and Physicality</v>
      </c>
      <c r="E1443" s="3" t="str">
        <f>IFERROR(__xludf.DUMMYFUNCTION("GOOGLETRANSLATE(B1443, ""nl"", ""en"")"),"A dancing silhouette")</f>
        <v>A dancing silhouette</v>
      </c>
    </row>
    <row r="1444" ht="15.75" customHeight="1">
      <c r="A1444" s="3" t="s">
        <v>7</v>
      </c>
      <c r="B1444" s="3" t="s">
        <v>40</v>
      </c>
      <c r="D1444" s="3" t="str">
        <f>IFERROR(__xludf.DUMMYFUNCTION("GOOGLETRANSLATE(A1444, ""nl"", ""en"")"),"Human Figures and Physicality")</f>
        <v>Human Figures and Physicality</v>
      </c>
      <c r="E1444" s="3" t="str">
        <f>IFERROR(__xludf.DUMMYFUNCTION("GOOGLETRANSLATE(B1444, ""nl"", ""en"")"),"A figure who is withdrawn into himself")</f>
        <v>A figure who is withdrawn into himself</v>
      </c>
    </row>
    <row r="1445" ht="15.75" customHeight="1">
      <c r="A1445" s="3" t="s">
        <v>9</v>
      </c>
      <c r="B1445" s="3" t="s">
        <v>14</v>
      </c>
      <c r="D1445" s="3" t="str">
        <f>IFERROR(__xludf.DUMMYFUNCTION("GOOGLETRANSLATE(A1445, ""nl"", ""en"")"),"Psychological and Emotional Interpretations")</f>
        <v>Psychological and Emotional Interpretations</v>
      </c>
      <c r="E1445" s="3" t="str">
        <f>IFERROR(__xludf.DUMMYFUNCTION("GOOGLETRANSLATE(B1445, ""nl"", ""en"")"),"An unclear hug")</f>
        <v>An unclear hug</v>
      </c>
    </row>
    <row r="1446" ht="15.75" customHeight="1">
      <c r="A1446" s="3" t="s">
        <v>15</v>
      </c>
      <c r="B1446" s="3" t="s">
        <v>22</v>
      </c>
      <c r="D1446" s="3" t="str">
        <f>IFERROR(__xludf.DUMMYFUNCTION("GOOGLETRANSLATE(A1446, ""nl"", ""en"")"),"Animals and Organic Forms")</f>
        <v>Animals and Organic Forms</v>
      </c>
      <c r="E1446" s="3" t="str">
        <f>IFERROR(__xludf.DUMMYFUNCTION("GOOGLETRANSLATE(B1446, ""nl"", ""en"")"),"A bird taking off")</f>
        <v>A bird taking off</v>
      </c>
    </row>
    <row r="1447" ht="15.75" customHeight="1">
      <c r="A1447" s="3" t="s">
        <v>4</v>
      </c>
      <c r="B1447" s="3" t="s">
        <v>5</v>
      </c>
      <c r="D1447" s="3" t="str">
        <f>IFERROR(__xludf.DUMMYFUNCTION("GOOGLETRANSLATE(A1447, ""nl"", ""en"")"),"Architectural and Structural Associations")</f>
        <v>Architectural and Structural Associations</v>
      </c>
      <c r="E1447" s="3" t="str">
        <f>IFERROR(__xludf.DUMMYFUNCTION("GOOGLETRANSLATE(B1447, ""nl"", ""en"")"),"A cathedral shaped from mist")</f>
        <v>A cathedral shaped from mist</v>
      </c>
    </row>
    <row r="1448" ht="15.75" customHeight="1">
      <c r="A1448" s="3" t="s">
        <v>24</v>
      </c>
      <c r="B1448" s="3" t="s">
        <v>31</v>
      </c>
      <c r="D1448" s="3" t="str">
        <f>IFERROR(__xludf.DUMMYFUNCTION("GOOGLETRANSLATE(A1448, ""nl"", ""en"")"),"Cosmic and Abstract Patterns")</f>
        <v>Cosmic and Abstract Patterns</v>
      </c>
      <c r="E1448" s="3" t="str">
        <f>IFERROR(__xludf.DUMMYFUNCTION("GOOGLETRANSLATE(B1448, ""nl"", ""en"")"),"A planet with unusual rings")</f>
        <v>A planet with unusual rings</v>
      </c>
    </row>
    <row r="1449" ht="15.75" customHeight="1">
      <c r="A1449" s="3" t="s">
        <v>7</v>
      </c>
      <c r="B1449" s="3" t="s">
        <v>8</v>
      </c>
      <c r="D1449" s="3" t="str">
        <f>IFERROR(__xludf.DUMMYFUNCTION("GOOGLETRANSLATE(A1449, ""nl"", ""en"")"),"Human Figures and Physicality")</f>
        <v>Human Figures and Physicality</v>
      </c>
      <c r="E1449" s="3" t="str">
        <f>IFERROR(__xludf.DUMMYFUNCTION("GOOGLETRANSLATE(B1449, ""nl"", ""en"")"),"Two figures mirroring each other")</f>
        <v>Two figures mirroring each other</v>
      </c>
    </row>
    <row r="1450" ht="15.75" customHeight="1">
      <c r="A1450" s="3" t="s">
        <v>12</v>
      </c>
      <c r="B1450" s="3" t="s">
        <v>51</v>
      </c>
      <c r="D1450" s="3" t="str">
        <f>IFERROR(__xludf.DUMMYFUNCTION("GOOGLETRANSLATE(A1450, ""nl"", ""en"")"),"Nature and Elements")</f>
        <v>Nature and Elements</v>
      </c>
      <c r="E1450" s="3" t="str">
        <f>IFERROR(__xludf.DUMMYFUNCTION("GOOGLETRANSLATE(B1450, ""nl"", ""en"")"),"An evaporating puddle of water")</f>
        <v>An evaporating puddle of water</v>
      </c>
    </row>
    <row r="1451" ht="15.75" customHeight="1">
      <c r="A1451" s="3" t="s">
        <v>9</v>
      </c>
      <c r="B1451" s="3" t="s">
        <v>42</v>
      </c>
      <c r="D1451" s="3" t="str">
        <f>IFERROR(__xludf.DUMMYFUNCTION("GOOGLETRANSLATE(A1451, ""nl"", ""en"")"),"Psychological and Emotional Interpretations")</f>
        <v>Psychological and Emotional Interpretations</v>
      </c>
      <c r="E1451" s="3" t="str">
        <f>IFERROR(__xludf.DUMMYFUNCTION("GOOGLETRANSLATE(B1451, ""nl"", ""en"")"),"A mask that slowly disappears")</f>
        <v>A mask that slowly disappears</v>
      </c>
    </row>
    <row r="1452" ht="15.75" customHeight="1">
      <c r="A1452" s="3" t="s">
        <v>9</v>
      </c>
      <c r="B1452" s="3" t="s">
        <v>42</v>
      </c>
      <c r="D1452" s="3" t="str">
        <f>IFERROR(__xludf.DUMMYFUNCTION("GOOGLETRANSLATE(A1452, ""nl"", ""en"")"),"Psychological and Emotional Interpretations")</f>
        <v>Psychological and Emotional Interpretations</v>
      </c>
      <c r="E1452" s="3" t="str">
        <f>IFERROR(__xludf.DUMMYFUNCTION("GOOGLETRANSLATE(B1452, ""nl"", ""en"")"),"A mask that slowly disappears")</f>
        <v>A mask that slowly disappears</v>
      </c>
    </row>
    <row r="1453" ht="15.75" customHeight="1">
      <c r="A1453" s="3" t="s">
        <v>12</v>
      </c>
      <c r="B1453" s="3" t="s">
        <v>13</v>
      </c>
      <c r="D1453" s="3" t="str">
        <f>IFERROR(__xludf.DUMMYFUNCTION("GOOGLETRANSLATE(A1453, ""nl"", ""en"")"),"Nature and Elements")</f>
        <v>Nature and Elements</v>
      </c>
      <c r="E1453" s="3" t="str">
        <f>IFERROR(__xludf.DUMMYFUNCTION("GOOGLETRANSLATE(B1453, ""nl"", ""en"")"),"A lightning strike in slow motion")</f>
        <v>A lightning strike in slow motion</v>
      </c>
    </row>
    <row r="1454" ht="15.75" customHeight="1">
      <c r="A1454" s="3" t="s">
        <v>24</v>
      </c>
      <c r="B1454" s="3" t="s">
        <v>54</v>
      </c>
      <c r="D1454" s="3" t="str">
        <f>IFERROR(__xludf.DUMMYFUNCTION("GOOGLETRANSLATE(A1454, ""nl"", ""en"")"),"Cosmic and Abstract Patterns")</f>
        <v>Cosmic and Abstract Patterns</v>
      </c>
      <c r="E1454" s="3" t="str">
        <f>IFERROR(__xludf.DUMMYFUNCTION("GOOGLETRANSLATE(B1454, ""nl"", ""en"")"),"A quantum particle in superposition")</f>
        <v>A quantum particle in superposition</v>
      </c>
    </row>
    <row r="1455" ht="15.75" customHeight="1">
      <c r="A1455" s="3" t="s">
        <v>9</v>
      </c>
      <c r="B1455" s="3" t="s">
        <v>37</v>
      </c>
      <c r="D1455" s="3" t="str">
        <f>IFERROR(__xludf.DUMMYFUNCTION("GOOGLETRANSLATE(A1455, ""nl"", ""en"")"),"Psychological and Emotional Interpretations")</f>
        <v>Psychological and Emotional Interpretations</v>
      </c>
      <c r="E1455" s="3" t="str">
        <f>IFERROR(__xludf.DUMMYFUNCTION("GOOGLETRANSLATE(B1455, ""nl"", ""en"")"),"A figure looking through itself")</f>
        <v>A figure looking through itself</v>
      </c>
    </row>
    <row r="1456" ht="15.75" customHeight="1">
      <c r="A1456" s="3" t="s">
        <v>12</v>
      </c>
      <c r="B1456" s="3" t="s">
        <v>30</v>
      </c>
      <c r="D1456" s="3" t="str">
        <f>IFERROR(__xludf.DUMMYFUNCTION("GOOGLETRANSLATE(A1456, ""nl"", ""en"")"),"Nature and Elements")</f>
        <v>Nature and Elements</v>
      </c>
      <c r="E1456" s="3" t="str">
        <f>IFERROR(__xludf.DUMMYFUNCTION("GOOGLETRANSLATE(B1456, ""nl"", ""en"")"),"Waves breaking in fractal patterns")</f>
        <v>Waves breaking in fractal patterns</v>
      </c>
    </row>
    <row r="1457" ht="15.75" customHeight="1">
      <c r="A1457" s="3" t="s">
        <v>15</v>
      </c>
      <c r="B1457" s="3" t="s">
        <v>26</v>
      </c>
      <c r="D1457" s="3" t="str">
        <f>IFERROR(__xludf.DUMMYFUNCTION("GOOGLETRANSLATE(A1457, ""nl"", ""en"")"),"Animals and Organic Forms")</f>
        <v>Animals and Organic Forms</v>
      </c>
      <c r="E1457" s="3" t="str">
        <f>IFERROR(__xludf.DUMMYFUNCTION("GOOGLETRANSLATE(B1457, ""nl"", ""en"")"),"A frog preparing to jump")</f>
        <v>A frog preparing to jump</v>
      </c>
    </row>
    <row r="1458" ht="15.75" customHeight="1">
      <c r="A1458" s="3" t="s">
        <v>12</v>
      </c>
      <c r="B1458" s="3" t="s">
        <v>30</v>
      </c>
      <c r="D1458" s="3" t="str">
        <f>IFERROR(__xludf.DUMMYFUNCTION("GOOGLETRANSLATE(A1458, ""nl"", ""en"")"),"Nature and Elements")</f>
        <v>Nature and Elements</v>
      </c>
      <c r="E1458" s="3" t="str">
        <f>IFERROR(__xludf.DUMMYFUNCTION("GOOGLETRANSLATE(B1458, ""nl"", ""en"")"),"Waves breaking in fractal patterns")</f>
        <v>Waves breaking in fractal patterns</v>
      </c>
    </row>
    <row r="1459" ht="15.75" customHeight="1">
      <c r="A1459" s="3" t="s">
        <v>24</v>
      </c>
      <c r="B1459" s="3" t="s">
        <v>32</v>
      </c>
      <c r="D1459" s="3" t="str">
        <f>IFERROR(__xludf.DUMMYFUNCTION("GOOGLETRANSLATE(A1459, ""nl"", ""en"")"),"Cosmic and Abstract Patterns")</f>
        <v>Cosmic and Abstract Patterns</v>
      </c>
      <c r="E1459" s="3" t="str">
        <f>IFERROR(__xludf.DUMMYFUNCTION("GOOGLETRANSLATE(B1459, ""nl"", ""en"")"),"A time loop captured in image")</f>
        <v>A time loop captured in image</v>
      </c>
    </row>
    <row r="1460" ht="15.75" customHeight="1">
      <c r="A1460" s="3" t="s">
        <v>24</v>
      </c>
      <c r="B1460" s="3" t="s">
        <v>48</v>
      </c>
      <c r="D1460" s="3" t="str">
        <f>IFERROR(__xludf.DUMMYFUNCTION("GOOGLETRANSLATE(A1460, ""nl"", ""en"")"),"Cosmic and Abstract Patterns")</f>
        <v>Cosmic and Abstract Patterns</v>
      </c>
      <c r="E1460" s="3" t="str">
        <f>IFERROR(__xludf.DUMMYFUNCTION("GOOGLETRANSLATE(B1460, ""nl"", ""en"")"),"A fractal that repeats itself")</f>
        <v>A fractal that repeats itself</v>
      </c>
    </row>
    <row r="1461" ht="15.75" customHeight="1">
      <c r="A1461" s="3" t="s">
        <v>15</v>
      </c>
      <c r="B1461" s="3" t="s">
        <v>52</v>
      </c>
      <c r="D1461" s="3" t="str">
        <f>IFERROR(__xludf.DUMMYFUNCTION("GOOGLETRANSLATE(A1461, ""nl"", ""en"")"),"Animals and Organic Forms")</f>
        <v>Animals and Organic Forms</v>
      </c>
      <c r="E1461" s="3" t="str">
        <f>IFERROR(__xludf.DUMMYFUNCTION("GOOGLETRANSLATE(B1461, ""nl"", ""en"")"),"A mask made of leaves")</f>
        <v>A mask made of leaves</v>
      </c>
    </row>
    <row r="1462" ht="15.75" customHeight="1">
      <c r="A1462" s="3" t="s">
        <v>15</v>
      </c>
      <c r="B1462" s="3" t="s">
        <v>38</v>
      </c>
      <c r="D1462" s="3" t="str">
        <f>IFERROR(__xludf.DUMMYFUNCTION("GOOGLETRANSLATE(A1462, ""nl"", ""en"")"),"Animals and Organic Forms")</f>
        <v>Animals and Organic Forms</v>
      </c>
      <c r="E1462" s="3" t="str">
        <f>IFERROR(__xludf.DUMMYFUNCTION("GOOGLETRANSLATE(B1462, ""nl"", ""en"")"),"A lion with an open mouth")</f>
        <v>A lion with an open mouth</v>
      </c>
    </row>
    <row r="1463" ht="15.75" customHeight="1">
      <c r="A1463" s="3" t="s">
        <v>24</v>
      </c>
      <c r="B1463" s="3" t="s">
        <v>25</v>
      </c>
      <c r="D1463" s="3" t="str">
        <f>IFERROR(__xludf.DUMMYFUNCTION("GOOGLETRANSLATE(A1463, ""nl"", ""en"")"),"Cosmic and Abstract Patterns")</f>
        <v>Cosmic and Abstract Patterns</v>
      </c>
      <c r="E1463" s="3" t="str">
        <f>IFERROR(__xludf.DUMMYFUNCTION("GOOGLETRANSLATE(B1463, ""nl"", ""en"")"),"A meteor shower dissolving into each other")</f>
        <v>A meteor shower dissolving into each other</v>
      </c>
    </row>
    <row r="1464" ht="15.75" customHeight="1">
      <c r="A1464" s="3" t="s">
        <v>24</v>
      </c>
      <c r="B1464" s="3" t="s">
        <v>27</v>
      </c>
      <c r="D1464" s="3" t="str">
        <f>IFERROR(__xludf.DUMMYFUNCTION("GOOGLETRANSLATE(A1464, ""nl"", ""en"")"),"Cosmic and Abstract Patterns")</f>
        <v>Cosmic and Abstract Patterns</v>
      </c>
      <c r="E1464" s="3" t="str">
        <f>IFERROR(__xludf.DUMMYFUNCTION("GOOGLETRANSLATE(B1464, ""nl"", ""en"")"),"A pair of black holes in dance")</f>
        <v>A pair of black holes in dance</v>
      </c>
    </row>
    <row r="1465" ht="15.75" customHeight="1">
      <c r="A1465" s="3" t="s">
        <v>24</v>
      </c>
      <c r="B1465" s="3" t="s">
        <v>54</v>
      </c>
      <c r="D1465" s="3" t="str">
        <f>IFERROR(__xludf.DUMMYFUNCTION("GOOGLETRANSLATE(A1465, ""nl"", ""en"")"),"Cosmic and Abstract Patterns")</f>
        <v>Cosmic and Abstract Patterns</v>
      </c>
      <c r="E1465" s="3" t="str">
        <f>IFERROR(__xludf.DUMMYFUNCTION("GOOGLETRANSLATE(B1465, ""nl"", ""en"")"),"A quantum particle in superposition")</f>
        <v>A quantum particle in superposition</v>
      </c>
    </row>
    <row r="1466" ht="15.75" customHeight="1">
      <c r="A1466" s="3" t="s">
        <v>12</v>
      </c>
      <c r="B1466" s="3" t="s">
        <v>36</v>
      </c>
      <c r="D1466" s="3" t="str">
        <f>IFERROR(__xludf.DUMMYFUNCTION("GOOGLETRANSLATE(A1466, ""nl"", ""en"")"),"Nature and Elements")</f>
        <v>Nature and Elements</v>
      </c>
      <c r="E1466" s="3" t="str">
        <f>IFERROR(__xludf.DUMMYFUNCTION("GOOGLETRANSLATE(B1466, ""nl"", ""en"")"),"A river delta from a bird's-eye view")</f>
        <v>A river delta from a bird's-eye view</v>
      </c>
    </row>
    <row r="1467" ht="15.75" customHeight="1">
      <c r="A1467" s="3" t="s">
        <v>24</v>
      </c>
      <c r="B1467" s="3" t="s">
        <v>32</v>
      </c>
      <c r="D1467" s="3" t="str">
        <f>IFERROR(__xludf.DUMMYFUNCTION("GOOGLETRANSLATE(A1467, ""nl"", ""en"")"),"Cosmic and Abstract Patterns")</f>
        <v>Cosmic and Abstract Patterns</v>
      </c>
      <c r="E1467" s="3" t="str">
        <f>IFERROR(__xludf.DUMMYFUNCTION("GOOGLETRANSLATE(B1467, ""nl"", ""en"")"),"A time loop captured in image")</f>
        <v>A time loop captured in image</v>
      </c>
    </row>
    <row r="1468" ht="15.75" customHeight="1">
      <c r="A1468" s="3" t="s">
        <v>24</v>
      </c>
      <c r="B1468" s="3" t="s">
        <v>33</v>
      </c>
      <c r="D1468" s="3" t="str">
        <f>IFERROR(__xludf.DUMMYFUNCTION("GOOGLETRANSLATE(A1468, ""nl"", ""en"")"),"Cosmic and Abstract Patterns")</f>
        <v>Cosmic and Abstract Patterns</v>
      </c>
      <c r="E1468" s="3" t="str">
        <f>IFERROR(__xludf.DUMMYFUNCTION("GOOGLETRANSLATE(B1468, ""nl"", ""en"")"),"An eye that repeats itself in endless patterns")</f>
        <v>An eye that repeats itself in endless patterns</v>
      </c>
    </row>
    <row r="1469" ht="15.75" customHeight="1">
      <c r="A1469" s="3" t="s">
        <v>15</v>
      </c>
      <c r="B1469" s="3" t="s">
        <v>45</v>
      </c>
      <c r="D1469" s="3" t="str">
        <f>IFERROR(__xludf.DUMMYFUNCTION("GOOGLETRANSLATE(A1469, ""nl"", ""en"")"),"Animals and Organic Forms")</f>
        <v>Animals and Organic Forms</v>
      </c>
      <c r="E1469" s="3" t="str">
        <f>IFERROR(__xludf.DUMMYFUNCTION("GOOGLETRANSLATE(B1469, ""nl"", ""en"")"),"A snake biting its own tail")</f>
        <v>A snake biting its own tail</v>
      </c>
    </row>
    <row r="1470" ht="15.75" customHeight="1">
      <c r="A1470" s="3" t="s">
        <v>24</v>
      </c>
      <c r="B1470" s="3" t="s">
        <v>48</v>
      </c>
      <c r="D1470" s="3" t="str">
        <f>IFERROR(__xludf.DUMMYFUNCTION("GOOGLETRANSLATE(A1470, ""nl"", ""en"")"),"Cosmic and Abstract Patterns")</f>
        <v>Cosmic and Abstract Patterns</v>
      </c>
      <c r="E1470" s="3" t="str">
        <f>IFERROR(__xludf.DUMMYFUNCTION("GOOGLETRANSLATE(B1470, ""nl"", ""en"")"),"A fractal that repeats itself")</f>
        <v>A fractal that repeats itself</v>
      </c>
    </row>
    <row r="1471" ht="15.75" customHeight="1">
      <c r="A1471" s="3" t="s">
        <v>15</v>
      </c>
      <c r="B1471" s="3" t="s">
        <v>38</v>
      </c>
      <c r="D1471" s="3" t="str">
        <f>IFERROR(__xludf.DUMMYFUNCTION("GOOGLETRANSLATE(A1471, ""nl"", ""en"")"),"Animals and Organic Forms")</f>
        <v>Animals and Organic Forms</v>
      </c>
      <c r="E1471" s="3" t="str">
        <f>IFERROR(__xludf.DUMMYFUNCTION("GOOGLETRANSLATE(B1471, ""nl"", ""en"")"),"A lion with an open mouth")</f>
        <v>A lion with an open mouth</v>
      </c>
    </row>
    <row r="1472" ht="15.75" customHeight="1">
      <c r="A1472" s="3" t="s">
        <v>15</v>
      </c>
      <c r="B1472" s="3" t="s">
        <v>22</v>
      </c>
      <c r="D1472" s="3" t="str">
        <f>IFERROR(__xludf.DUMMYFUNCTION("GOOGLETRANSLATE(A1472, ""nl"", ""en"")"),"Animals and Organic Forms")</f>
        <v>Animals and Organic Forms</v>
      </c>
      <c r="E1472" s="3" t="str">
        <f>IFERROR(__xludf.DUMMYFUNCTION("GOOGLETRANSLATE(B1472, ""nl"", ""en"")"),"A bird taking off")</f>
        <v>A bird taking off</v>
      </c>
    </row>
    <row r="1473" ht="15.75" customHeight="1">
      <c r="A1473" s="3" t="s">
        <v>15</v>
      </c>
      <c r="B1473" s="3" t="s">
        <v>45</v>
      </c>
      <c r="D1473" s="3" t="str">
        <f>IFERROR(__xludf.DUMMYFUNCTION("GOOGLETRANSLATE(A1473, ""nl"", ""en"")"),"Animals and Organic Forms")</f>
        <v>Animals and Organic Forms</v>
      </c>
      <c r="E1473" s="3" t="str">
        <f>IFERROR(__xludf.DUMMYFUNCTION("GOOGLETRANSLATE(B1473, ""nl"", ""en"")"),"A snake biting its own tail")</f>
        <v>A snake biting its own tail</v>
      </c>
    </row>
    <row r="1474" ht="15.75" customHeight="1">
      <c r="A1474" s="3" t="s">
        <v>7</v>
      </c>
      <c r="B1474" s="3" t="s">
        <v>40</v>
      </c>
      <c r="D1474" s="3" t="str">
        <f>IFERROR(__xludf.DUMMYFUNCTION("GOOGLETRANSLATE(A1474, ""nl"", ""en"")"),"Human Figures and Physicality")</f>
        <v>Human Figures and Physicality</v>
      </c>
      <c r="E1474" s="3" t="str">
        <f>IFERROR(__xludf.DUMMYFUNCTION("GOOGLETRANSLATE(B1474, ""nl"", ""en"")"),"A figure who is withdrawn into himself")</f>
        <v>A figure who is withdrawn into himself</v>
      </c>
    </row>
    <row r="1475" ht="15.75" customHeight="1">
      <c r="A1475" s="3" t="s">
        <v>9</v>
      </c>
      <c r="B1475" s="3" t="s">
        <v>14</v>
      </c>
      <c r="D1475" s="3" t="str">
        <f>IFERROR(__xludf.DUMMYFUNCTION("GOOGLETRANSLATE(A1475, ""nl"", ""en"")"),"Psychological and Emotional Interpretations")</f>
        <v>Psychological and Emotional Interpretations</v>
      </c>
      <c r="E1475" s="3" t="str">
        <f>IFERROR(__xludf.DUMMYFUNCTION("GOOGLETRANSLATE(B1475, ""nl"", ""en"")"),"An unclear hug")</f>
        <v>An unclear hug</v>
      </c>
    </row>
    <row r="1476" ht="15.75" customHeight="1">
      <c r="A1476" s="3" t="s">
        <v>9</v>
      </c>
      <c r="B1476" s="3" t="s">
        <v>49</v>
      </c>
      <c r="D1476" s="3" t="str">
        <f>IFERROR(__xludf.DUMMYFUNCTION("GOOGLETRANSLATE(A1476, ""nl"", ""en"")"),"Psychological and Emotional Interpretations")</f>
        <v>Psychological and Emotional Interpretations</v>
      </c>
      <c r="E1476" s="3" t="str">
        <f>IFERROR(__xludf.DUMMYFUNCTION("GOOGLETRANSLATE(B1476, ""nl"", ""en"")"),"A spiral that turns inward")</f>
        <v>A spiral that turns inward</v>
      </c>
    </row>
    <row r="1477" ht="15.75" customHeight="1">
      <c r="A1477" s="3" t="s">
        <v>24</v>
      </c>
      <c r="B1477" s="3" t="s">
        <v>32</v>
      </c>
      <c r="D1477" s="3" t="str">
        <f>IFERROR(__xludf.DUMMYFUNCTION("GOOGLETRANSLATE(A1477, ""nl"", ""en"")"),"Cosmic and Abstract Patterns")</f>
        <v>Cosmic and Abstract Patterns</v>
      </c>
      <c r="E1477" s="3" t="str">
        <f>IFERROR(__xludf.DUMMYFUNCTION("GOOGLETRANSLATE(B1477, ""nl"", ""en"")"),"A time loop captured in image")</f>
        <v>A time loop captured in image</v>
      </c>
    </row>
    <row r="1478" ht="15.75" customHeight="1">
      <c r="A1478" s="3" t="s">
        <v>12</v>
      </c>
      <c r="B1478" s="3" t="s">
        <v>47</v>
      </c>
      <c r="D1478" s="3" t="str">
        <f>IFERROR(__xludf.DUMMYFUNCTION("GOOGLETRANSLATE(A1478, ""nl"", ""en"")"),"Nature and Elements")</f>
        <v>Nature and Elements</v>
      </c>
      <c r="E1478" s="3" t="str">
        <f>IFERROR(__xludf.DUMMYFUNCTION("GOOGLETRANSLATE(B1478, ""nl"", ""en"")"),"A desert landscape that slowly changes")</f>
        <v>A desert landscape that slowly changes</v>
      </c>
    </row>
    <row r="1479" ht="15.75" customHeight="1">
      <c r="A1479" s="3" t="s">
        <v>24</v>
      </c>
      <c r="B1479" s="3" t="s">
        <v>31</v>
      </c>
      <c r="D1479" s="3" t="str">
        <f>IFERROR(__xludf.DUMMYFUNCTION("GOOGLETRANSLATE(A1479, ""nl"", ""en"")"),"Cosmic and Abstract Patterns")</f>
        <v>Cosmic and Abstract Patterns</v>
      </c>
      <c r="E1479" s="3" t="str">
        <f>IFERROR(__xludf.DUMMYFUNCTION("GOOGLETRANSLATE(B1479, ""nl"", ""en"")"),"A planet with unusual rings")</f>
        <v>A planet with unusual rings</v>
      </c>
    </row>
    <row r="1480" ht="15.75" customHeight="1">
      <c r="A1480" s="3" t="s">
        <v>7</v>
      </c>
      <c r="B1480" s="3" t="s">
        <v>56</v>
      </c>
      <c r="D1480" s="3" t="str">
        <f>IFERROR(__xludf.DUMMYFUNCTION("GOOGLETRANSLATE(A1480, ""nl"", ""en"")"),"Human Figures and Physicality")</f>
        <v>Human Figures and Physicality</v>
      </c>
      <c r="E1480" s="3" t="str">
        <f>IFERROR(__xludf.DUMMYFUNCTION("GOOGLETRANSLATE(B1480, ""nl"", ""en"")"),"A shadow that seems to move")</f>
        <v>A shadow that seems to move</v>
      </c>
    </row>
    <row r="1481" ht="15.75" customHeight="1">
      <c r="A1481" s="3" t="s">
        <v>4</v>
      </c>
      <c r="B1481" s="3" t="s">
        <v>44</v>
      </c>
      <c r="D1481" s="3" t="str">
        <f>IFERROR(__xludf.DUMMYFUNCTION("GOOGLETRANSLATE(A1481, ""nl"", ""en"")"),"Architectural and Structural Associations")</f>
        <v>Architectural and Structural Associations</v>
      </c>
      <c r="E1481" s="3" t="str">
        <f>IFERROR(__xludf.DUMMYFUNCTION("GOOGLETRANSLATE(B1481, ""nl"", ""en"")"),"A structure that pulsates in waves")</f>
        <v>A structure that pulsates in waves</v>
      </c>
    </row>
    <row r="1482" ht="15.75" customHeight="1">
      <c r="A1482" s="3" t="s">
        <v>4</v>
      </c>
      <c r="B1482" s="3" t="s">
        <v>55</v>
      </c>
      <c r="D1482" s="3" t="str">
        <f>IFERROR(__xludf.DUMMYFUNCTION("GOOGLETRANSLATE(A1482, ""nl"", ""en"")"),"Architectural and Structural Associations")</f>
        <v>Architectural and Structural Associations</v>
      </c>
      <c r="E1482" s="3" t="str">
        <f>IFERROR(__xludf.DUMMYFUNCTION("GOOGLETRANSLATE(B1482, ""nl"", ""en"")"),"A prism that splits light into colors")</f>
        <v>A prism that splits light into colors</v>
      </c>
    </row>
    <row r="1483" ht="15.75" customHeight="1">
      <c r="A1483" s="3" t="s">
        <v>4</v>
      </c>
      <c r="B1483" s="3" t="s">
        <v>20</v>
      </c>
      <c r="D1483" s="3" t="str">
        <f>IFERROR(__xludf.DUMMYFUNCTION("GOOGLETRANSLATE(A1483, ""nl"", ""en"")"),"Architectural and Structural Associations")</f>
        <v>Architectural and Structural Associations</v>
      </c>
      <c r="E1483" s="3" t="str">
        <f>IFERROR(__xludf.DUMMYFUNCTION("GOOGLETRANSLATE(B1483, ""nl"", ""en"")"),"A tower that grows by itself")</f>
        <v>A tower that grows by itself</v>
      </c>
    </row>
    <row r="1484" ht="15.75" customHeight="1">
      <c r="A1484" s="3" t="s">
        <v>12</v>
      </c>
      <c r="B1484" s="3" t="s">
        <v>51</v>
      </c>
      <c r="D1484" s="3" t="str">
        <f>IFERROR(__xludf.DUMMYFUNCTION("GOOGLETRANSLATE(A1484, ""nl"", ""en"")"),"Nature and Elements")</f>
        <v>Nature and Elements</v>
      </c>
      <c r="E1484" s="3" t="str">
        <f>IFERROR(__xludf.DUMMYFUNCTION("GOOGLETRANSLATE(B1484, ""nl"", ""en"")"),"An evaporating puddle of water")</f>
        <v>An evaporating puddle of water</v>
      </c>
    </row>
    <row r="1485" ht="15.75" customHeight="1">
      <c r="A1485" s="3" t="s">
        <v>24</v>
      </c>
      <c r="B1485" s="3" t="s">
        <v>29</v>
      </c>
      <c r="D1485" s="3" t="str">
        <f>IFERROR(__xludf.DUMMYFUNCTION("GOOGLETRANSLATE(A1485, ""nl"", ""en"")"),"Cosmic and Abstract Patterns")</f>
        <v>Cosmic and Abstract Patterns</v>
      </c>
      <c r="E1485" s="3" t="str">
        <f>IFERROR(__xludf.DUMMYFUNCTION("GOOGLETRANSLATE(B1485, ""nl"", ""en"")"),"A galaxy unfolding")</f>
        <v>A galaxy unfolding</v>
      </c>
    </row>
    <row r="1486" ht="15.75" customHeight="1">
      <c r="A1486" s="3" t="s">
        <v>24</v>
      </c>
      <c r="B1486" s="3" t="s">
        <v>33</v>
      </c>
      <c r="D1486" s="3" t="str">
        <f>IFERROR(__xludf.DUMMYFUNCTION("GOOGLETRANSLATE(A1486, ""nl"", ""en"")"),"Cosmic and Abstract Patterns")</f>
        <v>Cosmic and Abstract Patterns</v>
      </c>
      <c r="E1486" s="3" t="str">
        <f>IFERROR(__xludf.DUMMYFUNCTION("GOOGLETRANSLATE(B1486, ""nl"", ""en"")"),"An eye that repeats itself in endless patterns")</f>
        <v>An eye that repeats itself in endless patterns</v>
      </c>
    </row>
    <row r="1487" ht="15.75" customHeight="1">
      <c r="A1487" s="3" t="s">
        <v>4</v>
      </c>
      <c r="B1487" s="3" t="s">
        <v>5</v>
      </c>
      <c r="D1487" s="3" t="str">
        <f>IFERROR(__xludf.DUMMYFUNCTION("GOOGLETRANSLATE(A1487, ""nl"", ""en"")"),"Architectural and Structural Associations")</f>
        <v>Architectural and Structural Associations</v>
      </c>
      <c r="E1487" s="3" t="str">
        <f>IFERROR(__xludf.DUMMYFUNCTION("GOOGLETRANSLATE(B1487, ""nl"", ""en"")"),"A cathedral shaped from mist")</f>
        <v>A cathedral shaped from mist</v>
      </c>
    </row>
    <row r="1488" ht="15.75" customHeight="1">
      <c r="A1488" s="3" t="s">
        <v>9</v>
      </c>
      <c r="B1488" s="3" t="s">
        <v>10</v>
      </c>
      <c r="D1488" s="3" t="str">
        <f>IFERROR(__xludf.DUMMYFUNCTION("GOOGLETRANSLATE(A1488, ""nl"", ""en"")"),"Psychological and Emotional Interpretations")</f>
        <v>Psychological and Emotional Interpretations</v>
      </c>
      <c r="E1488" s="3" t="str">
        <f>IFERROR(__xludf.DUMMYFUNCTION("GOOGLETRANSLATE(B1488, ""nl"", ""en"")"),"A face transforming in light")</f>
        <v>A face transforming in light</v>
      </c>
    </row>
    <row r="1489" ht="15.75" customHeight="1">
      <c r="A1489" s="3" t="s">
        <v>7</v>
      </c>
      <c r="B1489" s="3" t="s">
        <v>53</v>
      </c>
      <c r="D1489" s="3" t="str">
        <f>IFERROR(__xludf.DUMMYFUNCTION("GOOGLETRANSLATE(A1489, ""nl"", ""en"")"),"Human Figures and Physicality")</f>
        <v>Human Figures and Physicality</v>
      </c>
      <c r="E1489" s="3" t="str">
        <f>IFERROR(__xludf.DUMMYFUNCTION("GOOGLETRANSLATE(B1489, ""nl"", ""en"")"),"A face that both smiles and cries")</f>
        <v>A face that both smiles and cries</v>
      </c>
    </row>
    <row r="1490" ht="15.75" customHeight="1">
      <c r="A1490" s="3" t="s">
        <v>24</v>
      </c>
      <c r="B1490" s="3" t="s">
        <v>29</v>
      </c>
      <c r="D1490" s="3" t="str">
        <f>IFERROR(__xludf.DUMMYFUNCTION("GOOGLETRANSLATE(A1490, ""nl"", ""en"")"),"Cosmic and Abstract Patterns")</f>
        <v>Cosmic and Abstract Patterns</v>
      </c>
      <c r="E1490" s="3" t="str">
        <f>IFERROR(__xludf.DUMMYFUNCTION("GOOGLETRANSLATE(B1490, ""nl"", ""en"")"),"A galaxy unfolding")</f>
        <v>A galaxy unfolding</v>
      </c>
    </row>
    <row r="1491" ht="15.75" customHeight="1">
      <c r="A1491" s="3" t="s">
        <v>4</v>
      </c>
      <c r="B1491" s="3" t="s">
        <v>35</v>
      </c>
      <c r="D1491" s="3" t="str">
        <f>IFERROR(__xludf.DUMMYFUNCTION("GOOGLETRANSLATE(A1491, ""nl"", ""en"")"),"Architectural and Structural Associations")</f>
        <v>Architectural and Structural Associations</v>
      </c>
      <c r="E1491" s="3" t="str">
        <f>IFERROR(__xludf.DUMMYFUNCTION("GOOGLETRANSLATE(B1491, ""nl"", ""en"")"),"A floating building without a base")</f>
        <v>A floating building without a base</v>
      </c>
    </row>
    <row r="1492" ht="15.75" customHeight="1">
      <c r="A1492" s="3" t="s">
        <v>4</v>
      </c>
      <c r="B1492" s="3" t="s">
        <v>43</v>
      </c>
      <c r="D1492" s="3" t="str">
        <f>IFERROR(__xludf.DUMMYFUNCTION("GOOGLETRANSLATE(A1492, ""nl"", ""en"")"),"Architectural and Structural Associations")</f>
        <v>Architectural and Structural Associations</v>
      </c>
      <c r="E1492" s="3" t="str">
        <f>IFERROR(__xludf.DUMMYFUNCTION("GOOGLETRANSLATE(B1492, ""nl"", ""en"")"),"A network of tunnels and passages")</f>
        <v>A network of tunnels and passages</v>
      </c>
    </row>
    <row r="1493" ht="15.75" customHeight="1">
      <c r="A1493" s="3" t="s">
        <v>9</v>
      </c>
      <c r="B1493" s="3" t="s">
        <v>49</v>
      </c>
      <c r="D1493" s="3" t="str">
        <f>IFERROR(__xludf.DUMMYFUNCTION("GOOGLETRANSLATE(A1493, ""nl"", ""en"")"),"Psychological and Emotional Interpretations")</f>
        <v>Psychological and Emotional Interpretations</v>
      </c>
      <c r="E1493" s="3" t="str">
        <f>IFERROR(__xludf.DUMMYFUNCTION("GOOGLETRANSLATE(B1493, ""nl"", ""en"")"),"A spiral that turns inward")</f>
        <v>A spiral that turns inward</v>
      </c>
    </row>
    <row r="1494" ht="15.75" customHeight="1">
      <c r="A1494" s="3" t="s">
        <v>12</v>
      </c>
      <c r="B1494" s="3" t="s">
        <v>30</v>
      </c>
      <c r="D1494" s="3" t="str">
        <f>IFERROR(__xludf.DUMMYFUNCTION("GOOGLETRANSLATE(A1494, ""nl"", ""en"")"),"Nature and Elements")</f>
        <v>Nature and Elements</v>
      </c>
      <c r="E1494" s="3" t="str">
        <f>IFERROR(__xludf.DUMMYFUNCTION("GOOGLETRANSLATE(B1494, ""nl"", ""en"")"),"Waves breaking in fractal patterns")</f>
        <v>Waves breaking in fractal patterns</v>
      </c>
    </row>
    <row r="1495" ht="15.75" customHeight="1">
      <c r="A1495" s="3" t="s">
        <v>12</v>
      </c>
      <c r="B1495" s="3" t="s">
        <v>18</v>
      </c>
      <c r="D1495" s="3" t="str">
        <f>IFERROR(__xludf.DUMMYFUNCTION("GOOGLETRANSLATE(A1495, ""nl"", ""en"")"),"Nature and Elements")</f>
        <v>Nature and Elements</v>
      </c>
      <c r="E1495" s="3" t="str">
        <f>IFERROR(__xludf.DUMMYFUNCTION("GOOGLETRANSLATE(B1495, ""nl"", ""en"")"),"A tree with endless branches")</f>
        <v>A tree with endless branches</v>
      </c>
    </row>
    <row r="1496" ht="15.75" customHeight="1">
      <c r="A1496" s="3" t="s">
        <v>15</v>
      </c>
      <c r="B1496" s="3" t="s">
        <v>52</v>
      </c>
      <c r="D1496" s="3" t="str">
        <f>IFERROR(__xludf.DUMMYFUNCTION("GOOGLETRANSLATE(A1496, ""nl"", ""en"")"),"Animals and Organic Forms")</f>
        <v>Animals and Organic Forms</v>
      </c>
      <c r="E1496" s="3" t="str">
        <f>IFERROR(__xludf.DUMMYFUNCTION("GOOGLETRANSLATE(B1496, ""nl"", ""en"")"),"A mask made of leaves")</f>
        <v>A mask made of leaves</v>
      </c>
    </row>
    <row r="1497" ht="15.75" customHeight="1">
      <c r="A1497" s="3" t="s">
        <v>4</v>
      </c>
      <c r="B1497" s="3" t="s">
        <v>44</v>
      </c>
      <c r="D1497" s="3" t="str">
        <f>IFERROR(__xludf.DUMMYFUNCTION("GOOGLETRANSLATE(A1497, ""nl"", ""en"")"),"Architectural and Structural Associations")</f>
        <v>Architectural and Structural Associations</v>
      </c>
      <c r="E1497" s="3" t="str">
        <f>IFERROR(__xludf.DUMMYFUNCTION("GOOGLETRANSLATE(B1497, ""nl"", ""en"")"),"A structure that pulsates in waves")</f>
        <v>A structure that pulsates in waves</v>
      </c>
    </row>
    <row r="1498" ht="15.75" customHeight="1">
      <c r="A1498" s="3" t="s">
        <v>24</v>
      </c>
      <c r="B1498" s="3" t="s">
        <v>32</v>
      </c>
      <c r="D1498" s="3" t="str">
        <f>IFERROR(__xludf.DUMMYFUNCTION("GOOGLETRANSLATE(A1498, ""nl"", ""en"")"),"Cosmic and Abstract Patterns")</f>
        <v>Cosmic and Abstract Patterns</v>
      </c>
      <c r="E1498" s="3" t="str">
        <f>IFERROR(__xludf.DUMMYFUNCTION("GOOGLETRANSLATE(B1498, ""nl"", ""en"")"),"A time loop captured in image")</f>
        <v>A time loop captured in image</v>
      </c>
    </row>
    <row r="1499" ht="15.75" customHeight="1">
      <c r="A1499" s="3" t="s">
        <v>24</v>
      </c>
      <c r="B1499" s="3" t="s">
        <v>29</v>
      </c>
      <c r="D1499" s="3" t="str">
        <f>IFERROR(__xludf.DUMMYFUNCTION("GOOGLETRANSLATE(A1499, ""nl"", ""en"")"),"Cosmic and Abstract Patterns")</f>
        <v>Cosmic and Abstract Patterns</v>
      </c>
      <c r="E1499" s="3" t="str">
        <f>IFERROR(__xludf.DUMMYFUNCTION("GOOGLETRANSLATE(B1499, ""nl"", ""en"")"),"A galaxy unfolding")</f>
        <v>A galaxy unfolding</v>
      </c>
    </row>
    <row r="1500" ht="15.75" customHeight="1">
      <c r="A1500" s="3" t="s">
        <v>4</v>
      </c>
      <c r="B1500" s="3" t="s">
        <v>20</v>
      </c>
      <c r="D1500" s="3" t="str">
        <f>IFERROR(__xludf.DUMMYFUNCTION("GOOGLETRANSLATE(A1500, ""nl"", ""en"")"),"Architectural and Structural Associations")</f>
        <v>Architectural and Structural Associations</v>
      </c>
      <c r="E1500" s="3" t="str">
        <f>IFERROR(__xludf.DUMMYFUNCTION("GOOGLETRANSLATE(B1500, ""nl"", ""en"")"),"A tower that grows by itself")</f>
        <v>A tower that grows by itself</v>
      </c>
    </row>
    <row r="1501" ht="15.75" customHeight="1">
      <c r="A1501" s="3" t="s">
        <v>15</v>
      </c>
      <c r="B1501" s="3" t="s">
        <v>38</v>
      </c>
      <c r="D1501" s="3" t="str">
        <f>IFERROR(__xludf.DUMMYFUNCTION("GOOGLETRANSLATE(A1501, ""nl"", ""en"")"),"Animals and Organic Forms")</f>
        <v>Animals and Organic Forms</v>
      </c>
      <c r="E1501" s="3" t="str">
        <f>IFERROR(__xludf.DUMMYFUNCTION("GOOGLETRANSLATE(B1501, ""nl"", ""en"")"),"A lion with an open mouth")</f>
        <v>A lion with an open mouth</v>
      </c>
    </row>
    <row r="1502" ht="15.75" customHeight="1">
      <c r="A1502" s="3" t="s">
        <v>12</v>
      </c>
      <c r="B1502" s="3" t="s">
        <v>51</v>
      </c>
      <c r="D1502" s="3" t="str">
        <f>IFERROR(__xludf.DUMMYFUNCTION("GOOGLETRANSLATE(A1502, ""nl"", ""en"")"),"Nature and Elements")</f>
        <v>Nature and Elements</v>
      </c>
      <c r="E1502" s="3" t="str">
        <f>IFERROR(__xludf.DUMMYFUNCTION("GOOGLETRANSLATE(B1502, ""nl"", ""en"")"),"An evaporating puddle of water")</f>
        <v>An evaporating puddle of water</v>
      </c>
    </row>
    <row r="1503" ht="15.75" customHeight="1">
      <c r="A1503" s="3" t="s">
        <v>24</v>
      </c>
      <c r="B1503" s="3" t="s">
        <v>33</v>
      </c>
      <c r="D1503" s="3" t="str">
        <f>IFERROR(__xludf.DUMMYFUNCTION("GOOGLETRANSLATE(A1503, ""nl"", ""en"")"),"Cosmic and Abstract Patterns")</f>
        <v>Cosmic and Abstract Patterns</v>
      </c>
      <c r="E1503" s="3" t="str">
        <f>IFERROR(__xludf.DUMMYFUNCTION("GOOGLETRANSLATE(B1503, ""nl"", ""en"")"),"An eye that repeats itself in endless patterns")</f>
        <v>An eye that repeats itself in endless patterns</v>
      </c>
    </row>
    <row r="1504" ht="15.75" customHeight="1">
      <c r="A1504" s="3" t="s">
        <v>15</v>
      </c>
      <c r="B1504" s="3" t="s">
        <v>52</v>
      </c>
      <c r="D1504" s="3" t="str">
        <f>IFERROR(__xludf.DUMMYFUNCTION("GOOGLETRANSLATE(A1504, ""nl"", ""en"")"),"Animals and Organic Forms")</f>
        <v>Animals and Organic Forms</v>
      </c>
      <c r="E1504" s="3" t="str">
        <f>IFERROR(__xludf.DUMMYFUNCTION("GOOGLETRANSLATE(B1504, ""nl"", ""en"")"),"A mask made of leaves")</f>
        <v>A mask made of leaves</v>
      </c>
    </row>
    <row r="1505" ht="15.75" customHeight="1">
      <c r="A1505" s="3" t="s">
        <v>9</v>
      </c>
      <c r="B1505" s="3" t="s">
        <v>14</v>
      </c>
      <c r="D1505" s="3" t="str">
        <f>IFERROR(__xludf.DUMMYFUNCTION("GOOGLETRANSLATE(A1505, ""nl"", ""en"")"),"Psychological and Emotional Interpretations")</f>
        <v>Psychological and Emotional Interpretations</v>
      </c>
      <c r="E1505" s="3" t="str">
        <f>IFERROR(__xludf.DUMMYFUNCTION("GOOGLETRANSLATE(B1505, ""nl"", ""en"")"),"An unclear hug")</f>
        <v>An unclear hug</v>
      </c>
    </row>
    <row r="1506" ht="15.75" customHeight="1">
      <c r="A1506" s="3" t="s">
        <v>7</v>
      </c>
      <c r="B1506" s="3" t="s">
        <v>8</v>
      </c>
      <c r="D1506" s="3" t="str">
        <f>IFERROR(__xludf.DUMMYFUNCTION("GOOGLETRANSLATE(A1506, ""nl"", ""en"")"),"Human Figures and Physicality")</f>
        <v>Human Figures and Physicality</v>
      </c>
      <c r="E1506" s="3" t="str">
        <f>IFERROR(__xludf.DUMMYFUNCTION("GOOGLETRANSLATE(B1506, ""nl"", ""en"")"),"Two figures mirroring each other")</f>
        <v>Two figures mirroring each other</v>
      </c>
    </row>
    <row r="1507" ht="15.75" customHeight="1">
      <c r="A1507" s="3" t="s">
        <v>9</v>
      </c>
      <c r="B1507" s="3" t="s">
        <v>10</v>
      </c>
      <c r="D1507" s="3" t="str">
        <f>IFERROR(__xludf.DUMMYFUNCTION("GOOGLETRANSLATE(A1507, ""nl"", ""en"")"),"Psychological and Emotional Interpretations")</f>
        <v>Psychological and Emotional Interpretations</v>
      </c>
      <c r="E1507" s="3" t="str">
        <f>IFERROR(__xludf.DUMMYFUNCTION("GOOGLETRANSLATE(B1507, ""nl"", ""en"")"),"A face transforming in light")</f>
        <v>A face transforming in light</v>
      </c>
    </row>
    <row r="1508" ht="15.75" customHeight="1">
      <c r="A1508" s="3" t="s">
        <v>24</v>
      </c>
      <c r="B1508" s="3" t="s">
        <v>29</v>
      </c>
      <c r="D1508" s="3" t="str">
        <f>IFERROR(__xludf.DUMMYFUNCTION("GOOGLETRANSLATE(A1508, ""nl"", ""en"")"),"Cosmic and Abstract Patterns")</f>
        <v>Cosmic and Abstract Patterns</v>
      </c>
      <c r="E1508" s="3" t="str">
        <f>IFERROR(__xludf.DUMMYFUNCTION("GOOGLETRANSLATE(B1508, ""nl"", ""en"")"),"A galaxy unfolding")</f>
        <v>A galaxy unfolding</v>
      </c>
    </row>
    <row r="1509" ht="15.75" customHeight="1">
      <c r="A1509" s="3" t="s">
        <v>4</v>
      </c>
      <c r="B1509" s="3" t="s">
        <v>6</v>
      </c>
      <c r="D1509" s="3" t="str">
        <f>IFERROR(__xludf.DUMMYFUNCTION("GOOGLETRANSLATE(A1509, ""nl"", ""en"")"),"Architectural and Structural Associations")</f>
        <v>Architectural and Structural Associations</v>
      </c>
      <c r="E1509" s="3" t="str">
        <f>IFERROR(__xludf.DUMMYFUNCTION("GOOGLETRANSLATE(B1509, ""nl"", ""en"")"),"An endless labyrinth")</f>
        <v>An endless labyrinth</v>
      </c>
    </row>
    <row r="1510" ht="15.75" customHeight="1">
      <c r="A1510" s="3" t="s">
        <v>9</v>
      </c>
      <c r="B1510" s="3" t="s">
        <v>11</v>
      </c>
      <c r="D1510" s="3" t="str">
        <f>IFERROR(__xludf.DUMMYFUNCTION("GOOGLETRANSLATE(A1510, ""nl"", ""en"")"),"Psychological and Emotional Interpretations")</f>
        <v>Psychological and Emotional Interpretations</v>
      </c>
      <c r="E1510" s="3" t="str">
        <f>IFERROR(__xludf.DUMMYFUNCTION("GOOGLETRANSLATE(B1510, ""nl"", ""en"")"),"An emotion captured in abstraction")</f>
        <v>An emotion captured in abstraction</v>
      </c>
    </row>
    <row r="1511" ht="15.75" customHeight="1">
      <c r="A1511" s="3" t="s">
        <v>7</v>
      </c>
      <c r="B1511" s="3" t="s">
        <v>41</v>
      </c>
      <c r="D1511" s="3" t="str">
        <f>IFERROR(__xludf.DUMMYFUNCTION("GOOGLETRANSLATE(A1511, ""nl"", ""en"")"),"Human Figures and Physicality")</f>
        <v>Human Figures and Physicality</v>
      </c>
      <c r="E1511" s="3" t="str">
        <f>IFERROR(__xludf.DUMMYFUNCTION("GOOGLETRANSLATE(B1511, ""nl"", ""en"")"),"A face that fades into abstraction")</f>
        <v>A face that fades into abstraction</v>
      </c>
    </row>
    <row r="1512" ht="15.75" customHeight="1">
      <c r="A1512" s="3" t="s">
        <v>7</v>
      </c>
      <c r="B1512" s="3" t="s">
        <v>8</v>
      </c>
      <c r="D1512" s="3" t="str">
        <f>IFERROR(__xludf.DUMMYFUNCTION("GOOGLETRANSLATE(A1512, ""nl"", ""en"")"),"Human Figures and Physicality")</f>
        <v>Human Figures and Physicality</v>
      </c>
      <c r="E1512" s="3" t="str">
        <f>IFERROR(__xludf.DUMMYFUNCTION("GOOGLETRANSLATE(B1512, ""nl"", ""en"")"),"Two figures mirroring each other")</f>
        <v>Two figures mirroring each other</v>
      </c>
    </row>
    <row r="1513" ht="15.75" customHeight="1">
      <c r="A1513" s="3" t="s">
        <v>9</v>
      </c>
      <c r="B1513" s="3" t="s">
        <v>10</v>
      </c>
      <c r="D1513" s="3" t="str">
        <f>IFERROR(__xludf.DUMMYFUNCTION("GOOGLETRANSLATE(A1513, ""nl"", ""en"")"),"Psychological and Emotional Interpretations")</f>
        <v>Psychological and Emotional Interpretations</v>
      </c>
      <c r="E1513" s="3" t="str">
        <f>IFERROR(__xludf.DUMMYFUNCTION("GOOGLETRANSLATE(B1513, ""nl"", ""en"")"),"A face transforming in light")</f>
        <v>A face transforming in light</v>
      </c>
    </row>
    <row r="1514" ht="15.75" customHeight="1">
      <c r="A1514" s="3" t="s">
        <v>4</v>
      </c>
      <c r="B1514" s="3" t="s">
        <v>5</v>
      </c>
      <c r="D1514" s="3" t="str">
        <f>IFERROR(__xludf.DUMMYFUNCTION("GOOGLETRANSLATE(A1514, ""nl"", ""en"")"),"Architectural and Structural Associations")</f>
        <v>Architectural and Structural Associations</v>
      </c>
      <c r="E1514" s="3" t="str">
        <f>IFERROR(__xludf.DUMMYFUNCTION("GOOGLETRANSLATE(B1514, ""nl"", ""en"")"),"A cathedral shaped from mist")</f>
        <v>A cathedral shaped from mist</v>
      </c>
    </row>
    <row r="1515" ht="15.75" customHeight="1">
      <c r="A1515" s="3" t="s">
        <v>4</v>
      </c>
      <c r="B1515" s="3" t="s">
        <v>44</v>
      </c>
      <c r="D1515" s="3" t="str">
        <f>IFERROR(__xludf.DUMMYFUNCTION("GOOGLETRANSLATE(A1515, ""nl"", ""en"")"),"Architectural and Structural Associations")</f>
        <v>Architectural and Structural Associations</v>
      </c>
      <c r="E1515" s="3" t="str">
        <f>IFERROR(__xludf.DUMMYFUNCTION("GOOGLETRANSLATE(B1515, ""nl"", ""en"")"),"A structure that pulsates in waves")</f>
        <v>A structure that pulsates in waves</v>
      </c>
    </row>
    <row r="1516" ht="15.75" customHeight="1">
      <c r="A1516" s="3" t="s">
        <v>4</v>
      </c>
      <c r="B1516" s="3" t="s">
        <v>35</v>
      </c>
      <c r="D1516" s="3" t="str">
        <f>IFERROR(__xludf.DUMMYFUNCTION("GOOGLETRANSLATE(A1516, ""nl"", ""en"")"),"Architectural and Structural Associations")</f>
        <v>Architectural and Structural Associations</v>
      </c>
      <c r="E1516" s="3" t="str">
        <f>IFERROR(__xludf.DUMMYFUNCTION("GOOGLETRANSLATE(B1516, ""nl"", ""en"")"),"A floating building without a base")</f>
        <v>A floating building without a base</v>
      </c>
    </row>
    <row r="1517" ht="15.75" customHeight="1">
      <c r="A1517" s="3" t="s">
        <v>12</v>
      </c>
      <c r="B1517" s="3" t="s">
        <v>36</v>
      </c>
      <c r="D1517" s="3" t="str">
        <f>IFERROR(__xludf.DUMMYFUNCTION("GOOGLETRANSLATE(A1517, ""nl"", ""en"")"),"Nature and Elements")</f>
        <v>Nature and Elements</v>
      </c>
      <c r="E1517" s="3" t="str">
        <f>IFERROR(__xludf.DUMMYFUNCTION("GOOGLETRANSLATE(B1517, ""nl"", ""en"")"),"A river delta from a bird's-eye view")</f>
        <v>A river delta from a bird's-eye view</v>
      </c>
    </row>
    <row r="1518" ht="15.75" customHeight="1">
      <c r="A1518" s="3" t="s">
        <v>15</v>
      </c>
      <c r="B1518" s="3" t="s">
        <v>22</v>
      </c>
      <c r="D1518" s="3" t="str">
        <f>IFERROR(__xludf.DUMMYFUNCTION("GOOGLETRANSLATE(A1518, ""nl"", ""en"")"),"Animals and Organic Forms")</f>
        <v>Animals and Organic Forms</v>
      </c>
      <c r="E1518" s="3" t="str">
        <f>IFERROR(__xludf.DUMMYFUNCTION("GOOGLETRANSLATE(B1518, ""nl"", ""en"")"),"A bird taking off")</f>
        <v>A bird taking off</v>
      </c>
    </row>
    <row r="1519" ht="15.75" customHeight="1">
      <c r="A1519" s="3" t="s">
        <v>4</v>
      </c>
      <c r="B1519" s="3" t="s">
        <v>5</v>
      </c>
      <c r="D1519" s="3" t="str">
        <f>IFERROR(__xludf.DUMMYFUNCTION("GOOGLETRANSLATE(A1519, ""nl"", ""en"")"),"Architectural and Structural Associations")</f>
        <v>Architectural and Structural Associations</v>
      </c>
      <c r="E1519" s="3" t="str">
        <f>IFERROR(__xludf.DUMMYFUNCTION("GOOGLETRANSLATE(B1519, ""nl"", ""en"")"),"A cathedral shaped from mist")</f>
        <v>A cathedral shaped from mist</v>
      </c>
    </row>
    <row r="1520" ht="15.75" customHeight="1">
      <c r="A1520" s="3" t="s">
        <v>9</v>
      </c>
      <c r="B1520" s="3" t="s">
        <v>11</v>
      </c>
      <c r="D1520" s="3" t="str">
        <f>IFERROR(__xludf.DUMMYFUNCTION("GOOGLETRANSLATE(A1520, ""nl"", ""en"")"),"Psychological and Emotional Interpretations")</f>
        <v>Psychological and Emotional Interpretations</v>
      </c>
      <c r="E1520" s="3" t="str">
        <f>IFERROR(__xludf.DUMMYFUNCTION("GOOGLETRANSLATE(B1520, ""nl"", ""en"")"),"An emotion captured in abstraction")</f>
        <v>An emotion captured in abstraction</v>
      </c>
    </row>
    <row r="1521" ht="15.75" customHeight="1">
      <c r="A1521" s="3" t="s">
        <v>15</v>
      </c>
      <c r="B1521" s="3" t="s">
        <v>50</v>
      </c>
      <c r="D1521" s="3" t="str">
        <f>IFERROR(__xludf.DUMMYFUNCTION("GOOGLETRANSLATE(A1521, ""nl"", ""en"")"),"Animals and Organic Forms")</f>
        <v>Animals and Organic Forms</v>
      </c>
      <c r="E1521" s="3" t="str">
        <f>IFERROR(__xludf.DUMMYFUNCTION("GOOGLETRANSLATE(B1521, ""nl"", ""en"")"),"A squid with extended tentacles")</f>
        <v>A squid with extended tentacles</v>
      </c>
    </row>
    <row r="1522" ht="15.75" customHeight="1">
      <c r="A1522" s="3" t="s">
        <v>12</v>
      </c>
      <c r="B1522" s="3" t="s">
        <v>23</v>
      </c>
      <c r="D1522" s="3" t="str">
        <f>IFERROR(__xludf.DUMMYFUNCTION("GOOGLETRANSLATE(A1522, ""nl"", ""en"")"),"Nature and Elements")</f>
        <v>Nature and Elements</v>
      </c>
      <c r="E1522" s="3" t="str">
        <f>IFERROR(__xludf.DUMMYFUNCTION("GOOGLETRANSLATE(B1522, ""nl"", ""en"")"),"A storm cloud splitting in two")</f>
        <v>A storm cloud splitting in two</v>
      </c>
    </row>
    <row r="1523" ht="15.75" customHeight="1">
      <c r="A1523" s="3" t="s">
        <v>15</v>
      </c>
      <c r="B1523" s="3" t="s">
        <v>26</v>
      </c>
      <c r="D1523" s="3" t="str">
        <f>IFERROR(__xludf.DUMMYFUNCTION("GOOGLETRANSLATE(A1523, ""nl"", ""en"")"),"Animals and Organic Forms")</f>
        <v>Animals and Organic Forms</v>
      </c>
      <c r="E1523" s="3" t="str">
        <f>IFERROR(__xludf.DUMMYFUNCTION("GOOGLETRANSLATE(B1523, ""nl"", ""en"")"),"A frog preparing to jump")</f>
        <v>A frog preparing to jump</v>
      </c>
    </row>
    <row r="1524" ht="15.75" customHeight="1">
      <c r="A1524" s="3" t="s">
        <v>4</v>
      </c>
      <c r="B1524" s="3" t="s">
        <v>55</v>
      </c>
      <c r="D1524" s="3" t="str">
        <f>IFERROR(__xludf.DUMMYFUNCTION("GOOGLETRANSLATE(A1524, ""nl"", ""en"")"),"Architectural and Structural Associations")</f>
        <v>Architectural and Structural Associations</v>
      </c>
      <c r="E1524" s="3" t="str">
        <f>IFERROR(__xludf.DUMMYFUNCTION("GOOGLETRANSLATE(B1524, ""nl"", ""en"")"),"A prism that splits light into colors")</f>
        <v>A prism that splits light into colors</v>
      </c>
    </row>
    <row r="1525" ht="15.75" customHeight="1">
      <c r="A1525" s="3" t="s">
        <v>4</v>
      </c>
      <c r="B1525" s="3" t="s">
        <v>55</v>
      </c>
      <c r="D1525" s="3" t="str">
        <f>IFERROR(__xludf.DUMMYFUNCTION("GOOGLETRANSLATE(A1525, ""nl"", ""en"")"),"Architectural and Structural Associations")</f>
        <v>Architectural and Structural Associations</v>
      </c>
      <c r="E1525" s="3" t="str">
        <f>IFERROR(__xludf.DUMMYFUNCTION("GOOGLETRANSLATE(B1525, ""nl"", ""en"")"),"A prism that splits light into colors")</f>
        <v>A prism that splits light into colors</v>
      </c>
    </row>
    <row r="1526" ht="15.75" customHeight="1">
      <c r="A1526" s="3" t="s">
        <v>15</v>
      </c>
      <c r="B1526" s="3" t="s">
        <v>22</v>
      </c>
      <c r="D1526" s="3" t="str">
        <f>IFERROR(__xludf.DUMMYFUNCTION("GOOGLETRANSLATE(A1526, ""nl"", ""en"")"),"Animals and Organic Forms")</f>
        <v>Animals and Organic Forms</v>
      </c>
      <c r="E1526" s="3" t="str">
        <f>IFERROR(__xludf.DUMMYFUNCTION("GOOGLETRANSLATE(B1526, ""nl"", ""en"")"),"A bird taking off")</f>
        <v>A bird taking off</v>
      </c>
    </row>
    <row r="1527" ht="15.75" customHeight="1">
      <c r="A1527" s="3" t="s">
        <v>12</v>
      </c>
      <c r="B1527" s="3" t="s">
        <v>51</v>
      </c>
      <c r="D1527" s="3" t="str">
        <f>IFERROR(__xludf.DUMMYFUNCTION("GOOGLETRANSLATE(A1527, ""nl"", ""en"")"),"Nature and Elements")</f>
        <v>Nature and Elements</v>
      </c>
      <c r="E1527" s="3" t="str">
        <f>IFERROR(__xludf.DUMMYFUNCTION("GOOGLETRANSLATE(B1527, ""nl"", ""en"")"),"An evaporating puddle of water")</f>
        <v>An evaporating puddle of water</v>
      </c>
    </row>
    <row r="1528" ht="15.75" customHeight="1">
      <c r="A1528" s="3" t="s">
        <v>9</v>
      </c>
      <c r="B1528" s="3" t="s">
        <v>10</v>
      </c>
      <c r="D1528" s="3" t="str">
        <f>IFERROR(__xludf.DUMMYFUNCTION("GOOGLETRANSLATE(A1528, ""nl"", ""en"")"),"Psychological and Emotional Interpretations")</f>
        <v>Psychological and Emotional Interpretations</v>
      </c>
      <c r="E1528" s="3" t="str">
        <f>IFERROR(__xludf.DUMMYFUNCTION("GOOGLETRANSLATE(B1528, ""nl"", ""en"")"),"A face transforming in light")</f>
        <v>A face transforming in light</v>
      </c>
    </row>
    <row r="1529" ht="15.75" customHeight="1">
      <c r="A1529" s="3" t="s">
        <v>24</v>
      </c>
      <c r="B1529" s="3" t="s">
        <v>25</v>
      </c>
      <c r="D1529" s="3" t="str">
        <f>IFERROR(__xludf.DUMMYFUNCTION("GOOGLETRANSLATE(A1529, ""nl"", ""en"")"),"Cosmic and Abstract Patterns")</f>
        <v>Cosmic and Abstract Patterns</v>
      </c>
      <c r="E1529" s="3" t="str">
        <f>IFERROR(__xludf.DUMMYFUNCTION("GOOGLETRANSLATE(B1529, ""nl"", ""en"")"),"A meteor shower dissolving into each other")</f>
        <v>A meteor shower dissolving into each other</v>
      </c>
    </row>
    <row r="1530" ht="15.75" customHeight="1">
      <c r="A1530" s="3" t="s">
        <v>4</v>
      </c>
      <c r="B1530" s="3" t="s">
        <v>35</v>
      </c>
      <c r="D1530" s="3" t="str">
        <f>IFERROR(__xludf.DUMMYFUNCTION("GOOGLETRANSLATE(A1530, ""nl"", ""en"")"),"Architectural and Structural Associations")</f>
        <v>Architectural and Structural Associations</v>
      </c>
      <c r="E1530" s="3" t="str">
        <f>IFERROR(__xludf.DUMMYFUNCTION("GOOGLETRANSLATE(B1530, ""nl"", ""en"")"),"A floating building without a base")</f>
        <v>A floating building without a base</v>
      </c>
    </row>
    <row r="1531" ht="15.75" customHeight="1">
      <c r="A1531" s="3" t="s">
        <v>15</v>
      </c>
      <c r="B1531" s="3" t="s">
        <v>45</v>
      </c>
      <c r="D1531" s="3" t="str">
        <f>IFERROR(__xludf.DUMMYFUNCTION("GOOGLETRANSLATE(A1531, ""nl"", ""en"")"),"Animals and Organic Forms")</f>
        <v>Animals and Organic Forms</v>
      </c>
      <c r="E1531" s="3" t="str">
        <f>IFERROR(__xludf.DUMMYFUNCTION("GOOGLETRANSLATE(B1531, ""nl"", ""en"")"),"A snake biting its own tail")</f>
        <v>A snake biting its own tail</v>
      </c>
    </row>
    <row r="1532" ht="15.75" customHeight="1">
      <c r="A1532" s="3" t="s">
        <v>7</v>
      </c>
      <c r="B1532" s="3" t="s">
        <v>56</v>
      </c>
      <c r="D1532" s="3" t="str">
        <f>IFERROR(__xludf.DUMMYFUNCTION("GOOGLETRANSLATE(A1532, ""nl"", ""en"")"),"Human Figures and Physicality")</f>
        <v>Human Figures and Physicality</v>
      </c>
      <c r="E1532" s="3" t="str">
        <f>IFERROR(__xludf.DUMMYFUNCTION("GOOGLETRANSLATE(B1532, ""nl"", ""en"")"),"A shadow that seems to move")</f>
        <v>A shadow that seems to move</v>
      </c>
    </row>
    <row r="1533" ht="15.75" customHeight="1">
      <c r="A1533" s="3" t="s">
        <v>15</v>
      </c>
      <c r="B1533" s="3" t="s">
        <v>38</v>
      </c>
      <c r="D1533" s="3" t="str">
        <f>IFERROR(__xludf.DUMMYFUNCTION("GOOGLETRANSLATE(A1533, ""nl"", ""en"")"),"Animals and Organic Forms")</f>
        <v>Animals and Organic Forms</v>
      </c>
      <c r="E1533" s="3" t="str">
        <f>IFERROR(__xludf.DUMMYFUNCTION("GOOGLETRANSLATE(B1533, ""nl"", ""en"")"),"A lion with an open mouth")</f>
        <v>A lion with an open mouth</v>
      </c>
    </row>
    <row r="1534" ht="15.75" customHeight="1">
      <c r="A1534" s="3" t="s">
        <v>9</v>
      </c>
      <c r="B1534" s="3" t="s">
        <v>57</v>
      </c>
      <c r="D1534" s="3" t="str">
        <f>IFERROR(__xludf.DUMMYFUNCTION("GOOGLETRANSLATE(A1534, ""nl"", ""en"")"),"Psychological and Emotional Interpretations")</f>
        <v>Psychological and Emotional Interpretations</v>
      </c>
      <c r="E1534" s="3" t="str">
        <f>IFERROR(__xludf.DUMMYFUNCTION("GOOGLETRANSLATE(B1534, ""nl"", ""en"")"),"An explosion of colours and feelings")</f>
        <v>An explosion of colours and feelings</v>
      </c>
    </row>
    <row r="1535" ht="15.75" customHeight="1">
      <c r="A1535" s="3" t="s">
        <v>9</v>
      </c>
      <c r="B1535" s="3" t="s">
        <v>37</v>
      </c>
      <c r="D1535" s="3" t="str">
        <f>IFERROR(__xludf.DUMMYFUNCTION("GOOGLETRANSLATE(A1535, ""nl"", ""en"")"),"Psychological and Emotional Interpretations")</f>
        <v>Psychological and Emotional Interpretations</v>
      </c>
      <c r="E1535" s="3" t="str">
        <f>IFERROR(__xludf.DUMMYFUNCTION("GOOGLETRANSLATE(B1535, ""nl"", ""en"")"),"A figure looking through itself")</f>
        <v>A figure looking through itself</v>
      </c>
    </row>
    <row r="1536" ht="15.75" customHeight="1">
      <c r="A1536" s="3" t="s">
        <v>7</v>
      </c>
      <c r="B1536" s="3" t="s">
        <v>39</v>
      </c>
      <c r="D1536" s="3" t="str">
        <f>IFERROR(__xludf.DUMMYFUNCTION("GOOGLETRANSLATE(A1536, ""nl"", ""en"")"),"Human Figures and Physicality")</f>
        <v>Human Figures and Physicality</v>
      </c>
      <c r="E1536" s="3" t="str">
        <f>IFERROR(__xludf.DUMMYFUNCTION("GOOGLETRANSLATE(B1536, ""nl"", ""en"")"),"A torso without a head")</f>
        <v>A torso without a head</v>
      </c>
    </row>
    <row r="1537" ht="15.75" customHeight="1">
      <c r="A1537" s="3" t="s">
        <v>4</v>
      </c>
      <c r="B1537" s="3" t="s">
        <v>21</v>
      </c>
      <c r="D1537" s="3" t="str">
        <f>IFERROR(__xludf.DUMMYFUNCTION("GOOGLETRANSLATE(A1537, ""nl"", ""en"")"),"Architectural and Structural Associations")</f>
        <v>Architectural and Structural Associations</v>
      </c>
      <c r="E1537" s="3" t="str">
        <f>IFERROR(__xludf.DUMMYFUNCTION("GOOGLETRANSLATE(B1537, ""nl"", ""en"")"),"A bridge that leads nowhere")</f>
        <v>A bridge that leads nowhere</v>
      </c>
    </row>
    <row r="1538" ht="15.75" customHeight="1">
      <c r="A1538" s="3" t="s">
        <v>12</v>
      </c>
      <c r="B1538" s="3" t="s">
        <v>23</v>
      </c>
      <c r="D1538" s="3" t="str">
        <f>IFERROR(__xludf.DUMMYFUNCTION("GOOGLETRANSLATE(A1538, ""nl"", ""en"")"),"Nature and Elements")</f>
        <v>Nature and Elements</v>
      </c>
      <c r="E1538" s="3" t="str">
        <f>IFERROR(__xludf.DUMMYFUNCTION("GOOGLETRANSLATE(B1538, ""nl"", ""en"")"),"A storm cloud splitting in two")</f>
        <v>A storm cloud splitting in two</v>
      </c>
    </row>
    <row r="1539" ht="15.75" customHeight="1">
      <c r="A1539" s="3" t="s">
        <v>9</v>
      </c>
      <c r="B1539" s="3" t="s">
        <v>37</v>
      </c>
      <c r="D1539" s="3" t="str">
        <f>IFERROR(__xludf.DUMMYFUNCTION("GOOGLETRANSLATE(A1539, ""nl"", ""en"")"),"Psychological and Emotional Interpretations")</f>
        <v>Psychological and Emotional Interpretations</v>
      </c>
      <c r="E1539" s="3" t="str">
        <f>IFERROR(__xludf.DUMMYFUNCTION("GOOGLETRANSLATE(B1539, ""nl"", ""en"")"),"A figure looking through itself")</f>
        <v>A figure looking through itself</v>
      </c>
    </row>
    <row r="1540" ht="15.75" customHeight="1">
      <c r="A1540" s="3" t="s">
        <v>4</v>
      </c>
      <c r="B1540" s="3" t="s">
        <v>5</v>
      </c>
      <c r="D1540" s="3" t="str">
        <f>IFERROR(__xludf.DUMMYFUNCTION("GOOGLETRANSLATE(A1540, ""nl"", ""en"")"),"Architectural and Structural Associations")</f>
        <v>Architectural and Structural Associations</v>
      </c>
      <c r="E1540" s="3" t="str">
        <f>IFERROR(__xludf.DUMMYFUNCTION("GOOGLETRANSLATE(B1540, ""nl"", ""en"")"),"A cathedral shaped from mist")</f>
        <v>A cathedral shaped from mist</v>
      </c>
    </row>
    <row r="1541" ht="15.75" customHeight="1">
      <c r="A1541" s="3" t="s">
        <v>15</v>
      </c>
      <c r="B1541" s="3" t="s">
        <v>26</v>
      </c>
      <c r="D1541" s="3" t="str">
        <f>IFERROR(__xludf.DUMMYFUNCTION("GOOGLETRANSLATE(A1541, ""nl"", ""en"")"),"Animals and Organic Forms")</f>
        <v>Animals and Organic Forms</v>
      </c>
      <c r="E1541" s="3" t="str">
        <f>IFERROR(__xludf.DUMMYFUNCTION("GOOGLETRANSLATE(B1541, ""nl"", ""en"")"),"A frog preparing to jump")</f>
        <v>A frog preparing to jump</v>
      </c>
    </row>
    <row r="1542" ht="15.75" customHeight="1">
      <c r="A1542" s="3" t="s">
        <v>24</v>
      </c>
      <c r="B1542" s="3" t="s">
        <v>32</v>
      </c>
      <c r="D1542" s="3" t="str">
        <f>IFERROR(__xludf.DUMMYFUNCTION("GOOGLETRANSLATE(A1542, ""nl"", ""en"")"),"Cosmic and Abstract Patterns")</f>
        <v>Cosmic and Abstract Patterns</v>
      </c>
      <c r="E1542" s="3" t="str">
        <f>IFERROR(__xludf.DUMMYFUNCTION("GOOGLETRANSLATE(B1542, ""nl"", ""en"")"),"A time loop captured in image")</f>
        <v>A time loop captured in image</v>
      </c>
    </row>
    <row r="1543" ht="15.75" customHeight="1">
      <c r="A1543" s="3" t="s">
        <v>15</v>
      </c>
      <c r="B1543" s="3" t="s">
        <v>45</v>
      </c>
      <c r="D1543" s="3" t="str">
        <f>IFERROR(__xludf.DUMMYFUNCTION("GOOGLETRANSLATE(A1543, ""nl"", ""en"")"),"Animals and Organic Forms")</f>
        <v>Animals and Organic Forms</v>
      </c>
      <c r="E1543" s="3" t="str">
        <f>IFERROR(__xludf.DUMMYFUNCTION("GOOGLETRANSLATE(B1543, ""nl"", ""en"")"),"A snake biting its own tail")</f>
        <v>A snake biting its own tail</v>
      </c>
    </row>
    <row r="1544" ht="15.75" customHeight="1">
      <c r="A1544" s="3" t="s">
        <v>12</v>
      </c>
      <c r="B1544" s="3" t="s">
        <v>36</v>
      </c>
      <c r="D1544" s="3" t="str">
        <f>IFERROR(__xludf.DUMMYFUNCTION("GOOGLETRANSLATE(A1544, ""nl"", ""en"")"),"Nature and Elements")</f>
        <v>Nature and Elements</v>
      </c>
      <c r="E1544" s="3" t="str">
        <f>IFERROR(__xludf.DUMMYFUNCTION("GOOGLETRANSLATE(B1544, ""nl"", ""en"")"),"A river delta from a bird's-eye view")</f>
        <v>A river delta from a bird's-eye view</v>
      </c>
    </row>
    <row r="1545" ht="15.75" customHeight="1">
      <c r="A1545" s="3" t="s">
        <v>4</v>
      </c>
      <c r="B1545" s="3" t="s">
        <v>20</v>
      </c>
      <c r="D1545" s="3" t="str">
        <f>IFERROR(__xludf.DUMMYFUNCTION("GOOGLETRANSLATE(A1545, ""nl"", ""en"")"),"Architectural and Structural Associations")</f>
        <v>Architectural and Structural Associations</v>
      </c>
      <c r="E1545" s="3" t="str">
        <f>IFERROR(__xludf.DUMMYFUNCTION("GOOGLETRANSLATE(B1545, ""nl"", ""en"")"),"A tower that grows by itself")</f>
        <v>A tower that grows by itself</v>
      </c>
    </row>
    <row r="1546" ht="15.75" customHeight="1">
      <c r="A1546" s="3" t="s">
        <v>7</v>
      </c>
      <c r="B1546" s="3" t="s">
        <v>39</v>
      </c>
      <c r="D1546" s="3" t="str">
        <f>IFERROR(__xludf.DUMMYFUNCTION("GOOGLETRANSLATE(A1546, ""nl"", ""en"")"),"Human Figures and Physicality")</f>
        <v>Human Figures and Physicality</v>
      </c>
      <c r="E1546" s="3" t="str">
        <f>IFERROR(__xludf.DUMMYFUNCTION("GOOGLETRANSLATE(B1546, ""nl"", ""en"")"),"A torso without a head")</f>
        <v>A torso without a head</v>
      </c>
    </row>
    <row r="1547" ht="15.75" customHeight="1">
      <c r="A1547" s="3" t="s">
        <v>7</v>
      </c>
      <c r="B1547" s="3" t="s">
        <v>40</v>
      </c>
      <c r="D1547" s="3" t="str">
        <f>IFERROR(__xludf.DUMMYFUNCTION("GOOGLETRANSLATE(A1547, ""nl"", ""en"")"),"Human Figures and Physicality")</f>
        <v>Human Figures and Physicality</v>
      </c>
      <c r="E1547" s="3" t="str">
        <f>IFERROR(__xludf.DUMMYFUNCTION("GOOGLETRANSLATE(B1547, ""nl"", ""en"")"),"A figure who is withdrawn into himself")</f>
        <v>A figure who is withdrawn into himself</v>
      </c>
    </row>
    <row r="1548" ht="15.75" customHeight="1">
      <c r="A1548" s="3" t="s">
        <v>7</v>
      </c>
      <c r="B1548" s="3" t="s">
        <v>34</v>
      </c>
      <c r="D1548" s="3" t="str">
        <f>IFERROR(__xludf.DUMMYFUNCTION("GOOGLETRANSLATE(A1548, ""nl"", ""en"")"),"Human Figures and Physicality")</f>
        <v>Human Figures and Physicality</v>
      </c>
      <c r="E1548" s="3" t="str">
        <f>IFERROR(__xludf.DUMMYFUNCTION("GOOGLETRANSLATE(B1548, ""nl"", ""en"")"),"Hands almost touching")</f>
        <v>Hands almost touching</v>
      </c>
    </row>
    <row r="1549" ht="15.75" customHeight="1">
      <c r="A1549" s="3" t="s">
        <v>24</v>
      </c>
      <c r="B1549" s="3" t="s">
        <v>31</v>
      </c>
      <c r="D1549" s="3" t="str">
        <f>IFERROR(__xludf.DUMMYFUNCTION("GOOGLETRANSLATE(A1549, ""nl"", ""en"")"),"Cosmic and Abstract Patterns")</f>
        <v>Cosmic and Abstract Patterns</v>
      </c>
      <c r="E1549" s="3" t="str">
        <f>IFERROR(__xludf.DUMMYFUNCTION("GOOGLETRANSLATE(B1549, ""nl"", ""en"")"),"A planet with unusual rings")</f>
        <v>A planet with unusual rings</v>
      </c>
    </row>
    <row r="1550" ht="15.75" customHeight="1">
      <c r="A1550" s="3" t="s">
        <v>24</v>
      </c>
      <c r="B1550" s="3" t="s">
        <v>27</v>
      </c>
      <c r="D1550" s="3" t="str">
        <f>IFERROR(__xludf.DUMMYFUNCTION("GOOGLETRANSLATE(A1550, ""nl"", ""en"")"),"Cosmic and Abstract Patterns")</f>
        <v>Cosmic and Abstract Patterns</v>
      </c>
      <c r="E1550" s="3" t="str">
        <f>IFERROR(__xludf.DUMMYFUNCTION("GOOGLETRANSLATE(B1550, ""nl"", ""en"")"),"A pair of black holes in dance")</f>
        <v>A pair of black holes in dance</v>
      </c>
    </row>
    <row r="1551" ht="15.75" customHeight="1">
      <c r="A1551" s="3" t="s">
        <v>24</v>
      </c>
      <c r="B1551" s="3" t="s">
        <v>27</v>
      </c>
      <c r="D1551" s="3" t="str">
        <f>IFERROR(__xludf.DUMMYFUNCTION("GOOGLETRANSLATE(A1551, ""nl"", ""en"")"),"Cosmic and Abstract Patterns")</f>
        <v>Cosmic and Abstract Patterns</v>
      </c>
      <c r="E1551" s="3" t="str">
        <f>IFERROR(__xludf.DUMMYFUNCTION("GOOGLETRANSLATE(B1551, ""nl"", ""en"")"),"A pair of black holes in dance")</f>
        <v>A pair of black holes in dance</v>
      </c>
    </row>
    <row r="1552" ht="15.75" customHeight="1">
      <c r="A1552" s="3" t="s">
        <v>4</v>
      </c>
      <c r="B1552" s="3" t="s">
        <v>6</v>
      </c>
      <c r="D1552" s="3" t="str">
        <f>IFERROR(__xludf.DUMMYFUNCTION("GOOGLETRANSLATE(A1552, ""nl"", ""en"")"),"Architectural and Structural Associations")</f>
        <v>Architectural and Structural Associations</v>
      </c>
      <c r="E1552" s="3" t="str">
        <f>IFERROR(__xludf.DUMMYFUNCTION("GOOGLETRANSLATE(B1552, ""nl"", ""en"")"),"An endless labyrinth")</f>
        <v>An endless labyrinth</v>
      </c>
    </row>
    <row r="1553" ht="15.75" customHeight="1">
      <c r="A1553" s="3" t="s">
        <v>15</v>
      </c>
      <c r="B1553" s="3" t="s">
        <v>26</v>
      </c>
      <c r="D1553" s="3" t="str">
        <f>IFERROR(__xludf.DUMMYFUNCTION("GOOGLETRANSLATE(A1553, ""nl"", ""en"")"),"Animals and Organic Forms")</f>
        <v>Animals and Organic Forms</v>
      </c>
      <c r="E1553" s="3" t="str">
        <f>IFERROR(__xludf.DUMMYFUNCTION("GOOGLETRANSLATE(B1553, ""nl"", ""en"")"),"A frog preparing to jump")</f>
        <v>A frog preparing to jump</v>
      </c>
    </row>
    <row r="1554" ht="15.75" customHeight="1">
      <c r="A1554" s="3" t="s">
        <v>24</v>
      </c>
      <c r="B1554" s="3" t="s">
        <v>54</v>
      </c>
      <c r="D1554" s="3" t="str">
        <f>IFERROR(__xludf.DUMMYFUNCTION("GOOGLETRANSLATE(A1554, ""nl"", ""en"")"),"Cosmic and Abstract Patterns")</f>
        <v>Cosmic and Abstract Patterns</v>
      </c>
      <c r="E1554" s="3" t="str">
        <f>IFERROR(__xludf.DUMMYFUNCTION("GOOGLETRANSLATE(B1554, ""nl"", ""en"")"),"A quantum particle in superposition")</f>
        <v>A quantum particle in superposition</v>
      </c>
    </row>
    <row r="1555" ht="15.75" customHeight="1">
      <c r="A1555" s="3" t="s">
        <v>24</v>
      </c>
      <c r="B1555" s="3" t="s">
        <v>33</v>
      </c>
      <c r="D1555" s="3" t="str">
        <f>IFERROR(__xludf.DUMMYFUNCTION("GOOGLETRANSLATE(A1555, ""nl"", ""en"")"),"Cosmic and Abstract Patterns")</f>
        <v>Cosmic and Abstract Patterns</v>
      </c>
      <c r="E1555" s="3" t="str">
        <f>IFERROR(__xludf.DUMMYFUNCTION("GOOGLETRANSLATE(B1555, ""nl"", ""en"")"),"An eye that repeats itself in endless patterns")</f>
        <v>An eye that repeats itself in endless patterns</v>
      </c>
    </row>
    <row r="1556" ht="15.75" customHeight="1">
      <c r="A1556" s="3" t="s">
        <v>7</v>
      </c>
      <c r="B1556" s="3" t="s">
        <v>40</v>
      </c>
      <c r="D1556" s="3" t="str">
        <f>IFERROR(__xludf.DUMMYFUNCTION("GOOGLETRANSLATE(A1556, ""nl"", ""en"")"),"Human Figures and Physicality")</f>
        <v>Human Figures and Physicality</v>
      </c>
      <c r="E1556" s="3" t="str">
        <f>IFERROR(__xludf.DUMMYFUNCTION("GOOGLETRANSLATE(B1556, ""nl"", ""en"")"),"A figure who is withdrawn into himself")</f>
        <v>A figure who is withdrawn into himself</v>
      </c>
    </row>
    <row r="1557" ht="15.75" customHeight="1">
      <c r="A1557" s="3" t="s">
        <v>15</v>
      </c>
      <c r="B1557" s="3" t="s">
        <v>45</v>
      </c>
      <c r="D1557" s="3" t="str">
        <f>IFERROR(__xludf.DUMMYFUNCTION("GOOGLETRANSLATE(A1557, ""nl"", ""en"")"),"Animals and Organic Forms")</f>
        <v>Animals and Organic Forms</v>
      </c>
      <c r="E1557" s="3" t="str">
        <f>IFERROR(__xludf.DUMMYFUNCTION("GOOGLETRANSLATE(B1557, ""nl"", ""en"")"),"A snake biting its own tail")</f>
        <v>A snake biting its own tail</v>
      </c>
    </row>
    <row r="1558" ht="15.75" customHeight="1">
      <c r="A1558" s="3" t="s">
        <v>12</v>
      </c>
      <c r="B1558" s="3" t="s">
        <v>18</v>
      </c>
      <c r="D1558" s="3" t="str">
        <f>IFERROR(__xludf.DUMMYFUNCTION("GOOGLETRANSLATE(A1558, ""nl"", ""en"")"),"Nature and Elements")</f>
        <v>Nature and Elements</v>
      </c>
      <c r="E1558" s="3" t="str">
        <f>IFERROR(__xludf.DUMMYFUNCTION("GOOGLETRANSLATE(B1558, ""nl"", ""en"")"),"A tree with endless branches")</f>
        <v>A tree with endless branches</v>
      </c>
    </row>
    <row r="1559" ht="15.75" customHeight="1">
      <c r="A1559" s="3" t="s">
        <v>4</v>
      </c>
      <c r="B1559" s="3" t="s">
        <v>44</v>
      </c>
      <c r="D1559" s="3" t="str">
        <f>IFERROR(__xludf.DUMMYFUNCTION("GOOGLETRANSLATE(A1559, ""nl"", ""en"")"),"Architectural and Structural Associations")</f>
        <v>Architectural and Structural Associations</v>
      </c>
      <c r="E1559" s="3" t="str">
        <f>IFERROR(__xludf.DUMMYFUNCTION("GOOGLETRANSLATE(B1559, ""nl"", ""en"")"),"A structure that pulsates in waves")</f>
        <v>A structure that pulsates in waves</v>
      </c>
    </row>
    <row r="1560" ht="15.75" customHeight="1">
      <c r="A1560" s="3" t="s">
        <v>12</v>
      </c>
      <c r="B1560" s="3" t="s">
        <v>19</v>
      </c>
      <c r="D1560" s="3" t="str">
        <f>IFERROR(__xludf.DUMMYFUNCTION("GOOGLETRANSLATE(A1560, ""nl"", ""en"")"),"Nature and Elements")</f>
        <v>Nature and Elements</v>
      </c>
      <c r="E1560" s="3" t="str">
        <f>IFERROR(__xludf.DUMMYFUNCTION("GOOGLETRANSLATE(B1560, ""nl"", ""en"")"),"A mountain range that seems to breathe")</f>
        <v>A mountain range that seems to breathe</v>
      </c>
    </row>
    <row r="1561" ht="15.75" customHeight="1">
      <c r="A1561" s="3" t="s">
        <v>12</v>
      </c>
      <c r="B1561" s="3" t="s">
        <v>18</v>
      </c>
      <c r="D1561" s="3" t="str">
        <f>IFERROR(__xludf.DUMMYFUNCTION("GOOGLETRANSLATE(A1561, ""nl"", ""en"")"),"Nature and Elements")</f>
        <v>Nature and Elements</v>
      </c>
      <c r="E1561" s="3" t="str">
        <f>IFERROR(__xludf.DUMMYFUNCTION("GOOGLETRANSLATE(B1561, ""nl"", ""en"")"),"A tree with endless branches")</f>
        <v>A tree with endless branches</v>
      </c>
    </row>
    <row r="1562" ht="15.75" customHeight="1">
      <c r="A1562" s="3" t="s">
        <v>12</v>
      </c>
      <c r="B1562" s="3" t="s">
        <v>36</v>
      </c>
      <c r="D1562" s="3" t="str">
        <f>IFERROR(__xludf.DUMMYFUNCTION("GOOGLETRANSLATE(A1562, ""nl"", ""en"")"),"Nature and Elements")</f>
        <v>Nature and Elements</v>
      </c>
      <c r="E1562" s="3" t="str">
        <f>IFERROR(__xludf.DUMMYFUNCTION("GOOGLETRANSLATE(B1562, ""nl"", ""en"")"),"A river delta from a bird's-eye view")</f>
        <v>A river delta from a bird's-eye view</v>
      </c>
    </row>
    <row r="1563" ht="15.75" customHeight="1">
      <c r="A1563" s="3" t="s">
        <v>24</v>
      </c>
      <c r="B1563" s="3" t="s">
        <v>27</v>
      </c>
      <c r="D1563" s="3" t="str">
        <f>IFERROR(__xludf.DUMMYFUNCTION("GOOGLETRANSLATE(A1563, ""nl"", ""en"")"),"Cosmic and Abstract Patterns")</f>
        <v>Cosmic and Abstract Patterns</v>
      </c>
      <c r="E1563" s="3" t="str">
        <f>IFERROR(__xludf.DUMMYFUNCTION("GOOGLETRANSLATE(B1563, ""nl"", ""en"")"),"A pair of black holes in dance")</f>
        <v>A pair of black holes in dance</v>
      </c>
    </row>
    <row r="1564" ht="15.75" customHeight="1">
      <c r="A1564" s="3" t="s">
        <v>24</v>
      </c>
      <c r="B1564" s="3" t="s">
        <v>54</v>
      </c>
      <c r="D1564" s="3" t="str">
        <f>IFERROR(__xludf.DUMMYFUNCTION("GOOGLETRANSLATE(A1564, ""nl"", ""en"")"),"Cosmic and Abstract Patterns")</f>
        <v>Cosmic and Abstract Patterns</v>
      </c>
      <c r="E1564" s="3" t="str">
        <f>IFERROR(__xludf.DUMMYFUNCTION("GOOGLETRANSLATE(B1564, ""nl"", ""en"")"),"A quantum particle in superposition")</f>
        <v>A quantum particle in superposition</v>
      </c>
    </row>
    <row r="1565" ht="15.75" customHeight="1">
      <c r="A1565" s="3" t="s">
        <v>15</v>
      </c>
      <c r="B1565" s="3" t="s">
        <v>26</v>
      </c>
      <c r="D1565" s="3" t="str">
        <f>IFERROR(__xludf.DUMMYFUNCTION("GOOGLETRANSLATE(A1565, ""nl"", ""en"")"),"Animals and Organic Forms")</f>
        <v>Animals and Organic Forms</v>
      </c>
      <c r="E1565" s="3" t="str">
        <f>IFERROR(__xludf.DUMMYFUNCTION("GOOGLETRANSLATE(B1565, ""nl"", ""en"")"),"A frog preparing to jump")</f>
        <v>A frog preparing to jump</v>
      </c>
    </row>
    <row r="1566" ht="15.75" customHeight="1">
      <c r="A1566" s="3" t="s">
        <v>24</v>
      </c>
      <c r="B1566" s="3" t="s">
        <v>27</v>
      </c>
      <c r="D1566" s="3" t="str">
        <f>IFERROR(__xludf.DUMMYFUNCTION("GOOGLETRANSLATE(A1566, ""nl"", ""en"")"),"Cosmic and Abstract Patterns")</f>
        <v>Cosmic and Abstract Patterns</v>
      </c>
      <c r="E1566" s="3" t="str">
        <f>IFERROR(__xludf.DUMMYFUNCTION("GOOGLETRANSLATE(B1566, ""nl"", ""en"")"),"A pair of black holes in dance")</f>
        <v>A pair of black holes in dance</v>
      </c>
    </row>
    <row r="1567" ht="15.75" customHeight="1">
      <c r="A1567" s="3" t="s">
        <v>9</v>
      </c>
      <c r="B1567" s="3" t="s">
        <v>42</v>
      </c>
      <c r="D1567" s="3" t="str">
        <f>IFERROR(__xludf.DUMMYFUNCTION("GOOGLETRANSLATE(A1567, ""nl"", ""en"")"),"Psychological and Emotional Interpretations")</f>
        <v>Psychological and Emotional Interpretations</v>
      </c>
      <c r="E1567" s="3" t="str">
        <f>IFERROR(__xludf.DUMMYFUNCTION("GOOGLETRANSLATE(B1567, ""nl"", ""en"")"),"A mask that slowly disappears")</f>
        <v>A mask that slowly disappears</v>
      </c>
    </row>
    <row r="1568" ht="15.75" customHeight="1">
      <c r="A1568" s="3" t="s">
        <v>4</v>
      </c>
      <c r="B1568" s="3" t="s">
        <v>55</v>
      </c>
      <c r="D1568" s="3" t="str">
        <f>IFERROR(__xludf.DUMMYFUNCTION("GOOGLETRANSLATE(A1568, ""nl"", ""en"")"),"Architectural and Structural Associations")</f>
        <v>Architectural and Structural Associations</v>
      </c>
      <c r="E1568" s="3" t="str">
        <f>IFERROR(__xludf.DUMMYFUNCTION("GOOGLETRANSLATE(B1568, ""nl"", ""en"")"),"A prism that splits light into colors")</f>
        <v>A prism that splits light into colors</v>
      </c>
    </row>
    <row r="1569" ht="15.75" customHeight="1">
      <c r="A1569" s="3" t="s">
        <v>7</v>
      </c>
      <c r="B1569" s="3" t="s">
        <v>8</v>
      </c>
      <c r="D1569" s="3" t="str">
        <f>IFERROR(__xludf.DUMMYFUNCTION("GOOGLETRANSLATE(A1569, ""nl"", ""en"")"),"Human Figures and Physicality")</f>
        <v>Human Figures and Physicality</v>
      </c>
      <c r="E1569" s="3" t="str">
        <f>IFERROR(__xludf.DUMMYFUNCTION("GOOGLETRANSLATE(B1569, ""nl"", ""en"")"),"Two figures mirroring each other")</f>
        <v>Two figures mirroring each other</v>
      </c>
    </row>
    <row r="1570" ht="15.75" customHeight="1">
      <c r="A1570" s="3" t="s">
        <v>7</v>
      </c>
      <c r="B1570" s="3" t="s">
        <v>56</v>
      </c>
      <c r="D1570" s="3" t="str">
        <f>IFERROR(__xludf.DUMMYFUNCTION("GOOGLETRANSLATE(A1570, ""nl"", ""en"")"),"Human Figures and Physicality")</f>
        <v>Human Figures and Physicality</v>
      </c>
      <c r="E1570" s="3" t="str">
        <f>IFERROR(__xludf.DUMMYFUNCTION("GOOGLETRANSLATE(B1570, ""nl"", ""en"")"),"A shadow that seems to move")</f>
        <v>A shadow that seems to move</v>
      </c>
    </row>
    <row r="1571" ht="15.75" customHeight="1">
      <c r="A1571" s="3" t="s">
        <v>12</v>
      </c>
      <c r="B1571" s="3" t="s">
        <v>36</v>
      </c>
      <c r="D1571" s="3" t="str">
        <f>IFERROR(__xludf.DUMMYFUNCTION("GOOGLETRANSLATE(A1571, ""nl"", ""en"")"),"Nature and Elements")</f>
        <v>Nature and Elements</v>
      </c>
      <c r="E1571" s="3" t="str">
        <f>IFERROR(__xludf.DUMMYFUNCTION("GOOGLETRANSLATE(B1571, ""nl"", ""en"")"),"A river delta from a bird's-eye view")</f>
        <v>A river delta from a bird's-eye view</v>
      </c>
    </row>
    <row r="1572" ht="15.75" customHeight="1">
      <c r="A1572" s="3" t="s">
        <v>15</v>
      </c>
      <c r="B1572" s="3" t="s">
        <v>22</v>
      </c>
      <c r="D1572" s="3" t="str">
        <f>IFERROR(__xludf.DUMMYFUNCTION("GOOGLETRANSLATE(A1572, ""nl"", ""en"")"),"Animals and Organic Forms")</f>
        <v>Animals and Organic Forms</v>
      </c>
      <c r="E1572" s="3" t="str">
        <f>IFERROR(__xludf.DUMMYFUNCTION("GOOGLETRANSLATE(B1572, ""nl"", ""en"")"),"A bird taking off")</f>
        <v>A bird taking off</v>
      </c>
    </row>
    <row r="1573" ht="15.75" customHeight="1">
      <c r="A1573" s="3" t="s">
        <v>24</v>
      </c>
      <c r="B1573" s="3" t="s">
        <v>48</v>
      </c>
      <c r="D1573" s="3" t="str">
        <f>IFERROR(__xludf.DUMMYFUNCTION("GOOGLETRANSLATE(A1573, ""nl"", ""en"")"),"Cosmic and Abstract Patterns")</f>
        <v>Cosmic and Abstract Patterns</v>
      </c>
      <c r="E1573" s="3" t="str">
        <f>IFERROR(__xludf.DUMMYFUNCTION("GOOGLETRANSLATE(B1573, ""nl"", ""en"")"),"A fractal that repeats itself")</f>
        <v>A fractal that repeats itself</v>
      </c>
    </row>
    <row r="1574" ht="15.75" customHeight="1">
      <c r="A1574" s="3" t="s">
        <v>9</v>
      </c>
      <c r="B1574" s="3" t="s">
        <v>57</v>
      </c>
      <c r="D1574" s="3" t="str">
        <f>IFERROR(__xludf.DUMMYFUNCTION("GOOGLETRANSLATE(A1574, ""nl"", ""en"")"),"Psychological and Emotional Interpretations")</f>
        <v>Psychological and Emotional Interpretations</v>
      </c>
      <c r="E1574" s="3" t="str">
        <f>IFERROR(__xludf.DUMMYFUNCTION("GOOGLETRANSLATE(B1574, ""nl"", ""en"")"),"An explosion of colours and feelings")</f>
        <v>An explosion of colours and feelings</v>
      </c>
    </row>
    <row r="1575" ht="15.75" customHeight="1">
      <c r="A1575" s="3" t="s">
        <v>9</v>
      </c>
      <c r="B1575" s="3" t="s">
        <v>11</v>
      </c>
      <c r="D1575" s="3" t="str">
        <f>IFERROR(__xludf.DUMMYFUNCTION("GOOGLETRANSLATE(A1575, ""nl"", ""en"")"),"Psychological and Emotional Interpretations")</f>
        <v>Psychological and Emotional Interpretations</v>
      </c>
      <c r="E1575" s="3" t="str">
        <f>IFERROR(__xludf.DUMMYFUNCTION("GOOGLETRANSLATE(B1575, ""nl"", ""en"")"),"An emotion captured in abstraction")</f>
        <v>An emotion captured in abstraction</v>
      </c>
    </row>
    <row r="1576" ht="15.75" customHeight="1">
      <c r="A1576" s="3" t="s">
        <v>4</v>
      </c>
      <c r="B1576" s="3" t="s">
        <v>35</v>
      </c>
      <c r="D1576" s="3" t="str">
        <f>IFERROR(__xludf.DUMMYFUNCTION("GOOGLETRANSLATE(A1576, ""nl"", ""en"")"),"Architectural and Structural Associations")</f>
        <v>Architectural and Structural Associations</v>
      </c>
      <c r="E1576" s="3" t="str">
        <f>IFERROR(__xludf.DUMMYFUNCTION("GOOGLETRANSLATE(B1576, ""nl"", ""en"")"),"A floating building without a base")</f>
        <v>A floating building without a base</v>
      </c>
    </row>
    <row r="1577" ht="15.75" customHeight="1">
      <c r="A1577" s="3" t="s">
        <v>4</v>
      </c>
      <c r="B1577" s="3" t="s">
        <v>44</v>
      </c>
      <c r="D1577" s="3" t="str">
        <f>IFERROR(__xludf.DUMMYFUNCTION("GOOGLETRANSLATE(A1577, ""nl"", ""en"")"),"Architectural and Structural Associations")</f>
        <v>Architectural and Structural Associations</v>
      </c>
      <c r="E1577" s="3" t="str">
        <f>IFERROR(__xludf.DUMMYFUNCTION("GOOGLETRANSLATE(B1577, ""nl"", ""en"")"),"A structure that pulsates in waves")</f>
        <v>A structure that pulsates in waves</v>
      </c>
    </row>
    <row r="1578" ht="15.75" customHeight="1">
      <c r="A1578" s="3" t="s">
        <v>7</v>
      </c>
      <c r="B1578" s="3" t="s">
        <v>28</v>
      </c>
      <c r="D1578" s="3" t="str">
        <f>IFERROR(__xludf.DUMMYFUNCTION("GOOGLETRANSLATE(A1578, ""nl"", ""en"")"),"Human Figures and Physicality")</f>
        <v>Human Figures and Physicality</v>
      </c>
      <c r="E1578" s="3" t="str">
        <f>IFERROR(__xludf.DUMMYFUNCTION("GOOGLETRANSLATE(B1578, ""nl"", ""en"")"),"A dancing silhouette")</f>
        <v>A dancing silhouette</v>
      </c>
    </row>
    <row r="1579" ht="15.75" customHeight="1">
      <c r="A1579" s="3" t="s">
        <v>7</v>
      </c>
      <c r="B1579" s="3" t="s">
        <v>34</v>
      </c>
      <c r="D1579" s="3" t="str">
        <f>IFERROR(__xludf.DUMMYFUNCTION("GOOGLETRANSLATE(A1579, ""nl"", ""en"")"),"Human Figures and Physicality")</f>
        <v>Human Figures and Physicality</v>
      </c>
      <c r="E1579" s="3" t="str">
        <f>IFERROR(__xludf.DUMMYFUNCTION("GOOGLETRANSLATE(B1579, ""nl"", ""en"")"),"Hands almost touching")</f>
        <v>Hands almost touching</v>
      </c>
    </row>
    <row r="1580" ht="15.75" customHeight="1">
      <c r="A1580" s="3" t="s">
        <v>24</v>
      </c>
      <c r="B1580" s="3" t="s">
        <v>25</v>
      </c>
      <c r="D1580" s="3" t="str">
        <f>IFERROR(__xludf.DUMMYFUNCTION("GOOGLETRANSLATE(A1580, ""nl"", ""en"")"),"Cosmic and Abstract Patterns")</f>
        <v>Cosmic and Abstract Patterns</v>
      </c>
      <c r="E1580" s="3" t="str">
        <f>IFERROR(__xludf.DUMMYFUNCTION("GOOGLETRANSLATE(B1580, ""nl"", ""en"")"),"A meteor shower dissolving into each other")</f>
        <v>A meteor shower dissolving into each other</v>
      </c>
    </row>
    <row r="1581" ht="15.75" customHeight="1">
      <c r="A1581" s="3" t="s">
        <v>15</v>
      </c>
      <c r="B1581" s="3" t="s">
        <v>46</v>
      </c>
      <c r="D1581" s="3" t="str">
        <f>IFERROR(__xludf.DUMMYFUNCTION("GOOGLETRANSLATE(A1581, ""nl"", ""en"")"),"Animals and Organic Forms")</f>
        <v>Animals and Organic Forms</v>
      </c>
      <c r="E1581" s="3" t="str">
        <f>IFERROR(__xludf.DUMMYFUNCTION("GOOGLETRANSLATE(B1581, ""nl"", ""en"")"),"A flock of fish moving as one")</f>
        <v>A flock of fish moving as one</v>
      </c>
    </row>
    <row r="1582" ht="15.75" customHeight="1">
      <c r="A1582" s="3" t="s">
        <v>24</v>
      </c>
      <c r="B1582" s="3" t="s">
        <v>33</v>
      </c>
      <c r="D1582" s="3" t="str">
        <f>IFERROR(__xludf.DUMMYFUNCTION("GOOGLETRANSLATE(A1582, ""nl"", ""en"")"),"Cosmic and Abstract Patterns")</f>
        <v>Cosmic and Abstract Patterns</v>
      </c>
      <c r="E1582" s="3" t="str">
        <f>IFERROR(__xludf.DUMMYFUNCTION("GOOGLETRANSLATE(B1582, ""nl"", ""en"")"),"An eye that repeats itself in endless patterns")</f>
        <v>An eye that repeats itself in endless patterns</v>
      </c>
    </row>
    <row r="1583" ht="15.75" customHeight="1">
      <c r="A1583" s="3" t="s">
        <v>15</v>
      </c>
      <c r="B1583" s="3" t="s">
        <v>26</v>
      </c>
      <c r="D1583" s="3" t="str">
        <f>IFERROR(__xludf.DUMMYFUNCTION("GOOGLETRANSLATE(A1583, ""nl"", ""en"")"),"Animals and Organic Forms")</f>
        <v>Animals and Organic Forms</v>
      </c>
      <c r="E1583" s="3" t="str">
        <f>IFERROR(__xludf.DUMMYFUNCTION("GOOGLETRANSLATE(B1583, ""nl"", ""en"")"),"A frog preparing to jump")</f>
        <v>A frog preparing to jump</v>
      </c>
    </row>
    <row r="1584" ht="15.75" customHeight="1">
      <c r="A1584" s="3" t="s">
        <v>15</v>
      </c>
      <c r="B1584" s="3" t="s">
        <v>16</v>
      </c>
      <c r="D1584" s="3" t="str">
        <f>IFERROR(__xludf.DUMMYFUNCTION("GOOGLETRANSLATE(A1584, ""nl"", ""en"")"),"Animals and Organic Forms")</f>
        <v>Animals and Organic Forms</v>
      </c>
      <c r="E1584" s="3" t="str">
        <f>IFERROR(__xludf.DUMMYFUNCTION("GOOGLETRANSLATE(B1584, ""nl"", ""en"")"),"A butterfly in transformation")</f>
        <v>A butterfly in transformation</v>
      </c>
    </row>
    <row r="1585" ht="15.75" customHeight="1">
      <c r="A1585" s="3" t="s">
        <v>9</v>
      </c>
      <c r="B1585" s="3" t="s">
        <v>57</v>
      </c>
      <c r="D1585" s="3" t="str">
        <f>IFERROR(__xludf.DUMMYFUNCTION("GOOGLETRANSLATE(A1585, ""nl"", ""en"")"),"Psychological and Emotional Interpretations")</f>
        <v>Psychological and Emotional Interpretations</v>
      </c>
      <c r="E1585" s="3" t="str">
        <f>IFERROR(__xludf.DUMMYFUNCTION("GOOGLETRANSLATE(B1585, ""nl"", ""en"")"),"An explosion of colours and feelings")</f>
        <v>An explosion of colours and feelings</v>
      </c>
    </row>
    <row r="1586" ht="15.75" customHeight="1">
      <c r="A1586" s="3" t="s">
        <v>12</v>
      </c>
      <c r="B1586" s="3" t="s">
        <v>36</v>
      </c>
      <c r="D1586" s="3" t="str">
        <f>IFERROR(__xludf.DUMMYFUNCTION("GOOGLETRANSLATE(A1586, ""nl"", ""en"")"),"Nature and Elements")</f>
        <v>Nature and Elements</v>
      </c>
      <c r="E1586" s="3" t="str">
        <f>IFERROR(__xludf.DUMMYFUNCTION("GOOGLETRANSLATE(B1586, ""nl"", ""en"")"),"A river delta from a bird's-eye view")</f>
        <v>A river delta from a bird's-eye view</v>
      </c>
    </row>
    <row r="1587" ht="15.75" customHeight="1">
      <c r="A1587" s="3" t="s">
        <v>4</v>
      </c>
      <c r="B1587" s="3" t="s">
        <v>21</v>
      </c>
      <c r="D1587" s="3" t="str">
        <f>IFERROR(__xludf.DUMMYFUNCTION("GOOGLETRANSLATE(A1587, ""nl"", ""en"")"),"Architectural and Structural Associations")</f>
        <v>Architectural and Structural Associations</v>
      </c>
      <c r="E1587" s="3" t="str">
        <f>IFERROR(__xludf.DUMMYFUNCTION("GOOGLETRANSLATE(B1587, ""nl"", ""en"")"),"A bridge that leads nowhere")</f>
        <v>A bridge that leads nowhere</v>
      </c>
    </row>
    <row r="1588" ht="15.75" customHeight="1">
      <c r="A1588" s="3" t="s">
        <v>12</v>
      </c>
      <c r="B1588" s="3" t="s">
        <v>36</v>
      </c>
      <c r="D1588" s="3" t="str">
        <f>IFERROR(__xludf.DUMMYFUNCTION("GOOGLETRANSLATE(A1588, ""nl"", ""en"")"),"Nature and Elements")</f>
        <v>Nature and Elements</v>
      </c>
      <c r="E1588" s="3" t="str">
        <f>IFERROR(__xludf.DUMMYFUNCTION("GOOGLETRANSLATE(B1588, ""nl"", ""en"")"),"A river delta from a bird's-eye view")</f>
        <v>A river delta from a bird's-eye view</v>
      </c>
    </row>
    <row r="1589" ht="15.75" customHeight="1">
      <c r="A1589" s="3" t="s">
        <v>15</v>
      </c>
      <c r="B1589" s="3" t="s">
        <v>52</v>
      </c>
      <c r="D1589" s="3" t="str">
        <f>IFERROR(__xludf.DUMMYFUNCTION("GOOGLETRANSLATE(A1589, ""nl"", ""en"")"),"Animals and Organic Forms")</f>
        <v>Animals and Organic Forms</v>
      </c>
      <c r="E1589" s="3" t="str">
        <f>IFERROR(__xludf.DUMMYFUNCTION("GOOGLETRANSLATE(B1589, ""nl"", ""en"")"),"A mask made of leaves")</f>
        <v>A mask made of leaves</v>
      </c>
    </row>
    <row r="1590" ht="15.75" customHeight="1">
      <c r="A1590" s="3" t="s">
        <v>9</v>
      </c>
      <c r="B1590" s="3" t="s">
        <v>17</v>
      </c>
      <c r="D1590" s="3" t="str">
        <f>IFERROR(__xludf.DUMMYFUNCTION("GOOGLETRANSLATE(A1590, ""nl"", ""en"")"),"Psychological and Emotional Interpretations")</f>
        <v>Psychological and Emotional Interpretations</v>
      </c>
      <c r="E1590" s="3" t="str">
        <f>IFERROR(__xludf.DUMMYFUNCTION("GOOGLETRANSLATE(B1590, ""nl"", ""en"")"),"A figure that seems to melt")</f>
        <v>A figure that seems to melt</v>
      </c>
    </row>
    <row r="1591" ht="15.75" customHeight="1">
      <c r="A1591" s="3" t="s">
        <v>4</v>
      </c>
      <c r="B1591" s="3" t="s">
        <v>20</v>
      </c>
      <c r="D1591" s="3" t="str">
        <f>IFERROR(__xludf.DUMMYFUNCTION("GOOGLETRANSLATE(A1591, ""nl"", ""en"")"),"Architectural and Structural Associations")</f>
        <v>Architectural and Structural Associations</v>
      </c>
      <c r="E1591" s="3" t="str">
        <f>IFERROR(__xludf.DUMMYFUNCTION("GOOGLETRANSLATE(B1591, ""nl"", ""en"")"),"A tower that grows by itself")</f>
        <v>A tower that grows by itself</v>
      </c>
    </row>
    <row r="1592" ht="15.75" customHeight="1">
      <c r="A1592" s="3" t="s">
        <v>12</v>
      </c>
      <c r="B1592" s="3" t="s">
        <v>36</v>
      </c>
      <c r="D1592" s="3" t="str">
        <f>IFERROR(__xludf.DUMMYFUNCTION("GOOGLETRANSLATE(A1592, ""nl"", ""en"")"),"Nature and Elements")</f>
        <v>Nature and Elements</v>
      </c>
      <c r="E1592" s="3" t="str">
        <f>IFERROR(__xludf.DUMMYFUNCTION("GOOGLETRANSLATE(B1592, ""nl"", ""en"")"),"A river delta from a bird's-eye view")</f>
        <v>A river delta from a bird's-eye view</v>
      </c>
    </row>
    <row r="1593" ht="15.75" customHeight="1">
      <c r="A1593" s="3" t="s">
        <v>7</v>
      </c>
      <c r="B1593" s="3" t="s">
        <v>34</v>
      </c>
      <c r="D1593" s="3" t="str">
        <f>IFERROR(__xludf.DUMMYFUNCTION("GOOGLETRANSLATE(A1593, ""nl"", ""en"")"),"Human Figures and Physicality")</f>
        <v>Human Figures and Physicality</v>
      </c>
      <c r="E1593" s="3" t="str">
        <f>IFERROR(__xludf.DUMMYFUNCTION("GOOGLETRANSLATE(B1593, ""nl"", ""en"")"),"Hands almost touching")</f>
        <v>Hands almost touching</v>
      </c>
    </row>
    <row r="1594" ht="15.75" customHeight="1">
      <c r="A1594" s="3" t="s">
        <v>7</v>
      </c>
      <c r="B1594" s="3" t="s">
        <v>53</v>
      </c>
      <c r="D1594" s="3" t="str">
        <f>IFERROR(__xludf.DUMMYFUNCTION("GOOGLETRANSLATE(A1594, ""nl"", ""en"")"),"Human Figures and Physicality")</f>
        <v>Human Figures and Physicality</v>
      </c>
      <c r="E1594" s="3" t="str">
        <f>IFERROR(__xludf.DUMMYFUNCTION("GOOGLETRANSLATE(B1594, ""nl"", ""en"")"),"A face that both smiles and cries")</f>
        <v>A face that both smiles and cries</v>
      </c>
    </row>
    <row r="1595" ht="15.75" customHeight="1">
      <c r="A1595" s="3" t="s">
        <v>24</v>
      </c>
      <c r="B1595" s="3" t="s">
        <v>48</v>
      </c>
      <c r="D1595" s="3" t="str">
        <f>IFERROR(__xludf.DUMMYFUNCTION("GOOGLETRANSLATE(A1595, ""nl"", ""en"")"),"Cosmic and Abstract Patterns")</f>
        <v>Cosmic and Abstract Patterns</v>
      </c>
      <c r="E1595" s="3" t="str">
        <f>IFERROR(__xludf.DUMMYFUNCTION("GOOGLETRANSLATE(B1595, ""nl"", ""en"")"),"A fractal that repeats itself")</f>
        <v>A fractal that repeats itself</v>
      </c>
    </row>
    <row r="1596" ht="15.75" customHeight="1">
      <c r="A1596" s="3" t="s">
        <v>9</v>
      </c>
      <c r="B1596" s="3" t="s">
        <v>10</v>
      </c>
      <c r="D1596" s="3" t="str">
        <f>IFERROR(__xludf.DUMMYFUNCTION("GOOGLETRANSLATE(A1596, ""nl"", ""en"")"),"Psychological and Emotional Interpretations")</f>
        <v>Psychological and Emotional Interpretations</v>
      </c>
      <c r="E1596" s="3" t="str">
        <f>IFERROR(__xludf.DUMMYFUNCTION("GOOGLETRANSLATE(B1596, ""nl"", ""en"")"),"A face transforming in light")</f>
        <v>A face transforming in light</v>
      </c>
    </row>
    <row r="1597" ht="15.75" customHeight="1">
      <c r="A1597" s="3" t="s">
        <v>12</v>
      </c>
      <c r="B1597" s="3" t="s">
        <v>18</v>
      </c>
      <c r="D1597" s="3" t="str">
        <f>IFERROR(__xludf.DUMMYFUNCTION("GOOGLETRANSLATE(A1597, ""nl"", ""en"")"),"Nature and Elements")</f>
        <v>Nature and Elements</v>
      </c>
      <c r="E1597" s="3" t="str">
        <f>IFERROR(__xludf.DUMMYFUNCTION("GOOGLETRANSLATE(B1597, ""nl"", ""en"")"),"A tree with endless branches")</f>
        <v>A tree with endless branches</v>
      </c>
    </row>
    <row r="1598" ht="15.75" customHeight="1">
      <c r="A1598" s="3" t="s">
        <v>7</v>
      </c>
      <c r="B1598" s="3" t="s">
        <v>41</v>
      </c>
      <c r="D1598" s="3" t="str">
        <f>IFERROR(__xludf.DUMMYFUNCTION("GOOGLETRANSLATE(A1598, ""nl"", ""en"")"),"Human Figures and Physicality")</f>
        <v>Human Figures and Physicality</v>
      </c>
      <c r="E1598" s="3" t="str">
        <f>IFERROR(__xludf.DUMMYFUNCTION("GOOGLETRANSLATE(B1598, ""nl"", ""en"")"),"A face that fades into abstraction")</f>
        <v>A face that fades into abstraction</v>
      </c>
    </row>
    <row r="1599" ht="15.75" customHeight="1">
      <c r="A1599" s="3" t="s">
        <v>24</v>
      </c>
      <c r="B1599" s="3" t="s">
        <v>29</v>
      </c>
      <c r="D1599" s="3" t="str">
        <f>IFERROR(__xludf.DUMMYFUNCTION("GOOGLETRANSLATE(A1599, ""nl"", ""en"")"),"Cosmic and Abstract Patterns")</f>
        <v>Cosmic and Abstract Patterns</v>
      </c>
      <c r="E1599" s="3" t="str">
        <f>IFERROR(__xludf.DUMMYFUNCTION("GOOGLETRANSLATE(B1599, ""nl"", ""en"")"),"A galaxy unfolding")</f>
        <v>A galaxy unfolding</v>
      </c>
    </row>
    <row r="1600" ht="15.75" customHeight="1">
      <c r="A1600" s="3" t="s">
        <v>7</v>
      </c>
      <c r="B1600" s="3" t="s">
        <v>28</v>
      </c>
      <c r="D1600" s="3" t="str">
        <f>IFERROR(__xludf.DUMMYFUNCTION("GOOGLETRANSLATE(A1600, ""nl"", ""en"")"),"Human Figures and Physicality")</f>
        <v>Human Figures and Physicality</v>
      </c>
      <c r="E1600" s="3" t="str">
        <f>IFERROR(__xludf.DUMMYFUNCTION("GOOGLETRANSLATE(B1600, ""nl"", ""en"")"),"A dancing silhouette")</f>
        <v>A dancing silhouette</v>
      </c>
    </row>
    <row r="1601" ht="15.75" customHeight="1">
      <c r="A1601" s="3" t="s">
        <v>4</v>
      </c>
      <c r="B1601" s="3" t="s">
        <v>44</v>
      </c>
      <c r="D1601" s="3" t="str">
        <f>IFERROR(__xludf.DUMMYFUNCTION("GOOGLETRANSLATE(A1601, ""nl"", ""en"")"),"Architectural and Structural Associations")</f>
        <v>Architectural and Structural Associations</v>
      </c>
      <c r="E1601" s="3" t="str">
        <f>IFERROR(__xludf.DUMMYFUNCTION("GOOGLETRANSLATE(B1601, ""nl"", ""en"")"),"A structure that pulsates in waves")</f>
        <v>A structure that pulsates in waves</v>
      </c>
    </row>
    <row r="1602" ht="15.75" customHeight="1">
      <c r="A1602" s="3" t="s">
        <v>7</v>
      </c>
      <c r="B1602" s="3" t="s">
        <v>41</v>
      </c>
      <c r="D1602" s="3" t="str">
        <f>IFERROR(__xludf.DUMMYFUNCTION("GOOGLETRANSLATE(A1602, ""nl"", ""en"")"),"Human Figures and Physicality")</f>
        <v>Human Figures and Physicality</v>
      </c>
      <c r="E1602" s="3" t="str">
        <f>IFERROR(__xludf.DUMMYFUNCTION("GOOGLETRANSLATE(B1602, ""nl"", ""en"")"),"A face that fades into abstraction")</f>
        <v>A face that fades into abstraction</v>
      </c>
    </row>
    <row r="1603" ht="15.75" customHeight="1">
      <c r="A1603" s="3" t="s">
        <v>12</v>
      </c>
      <c r="B1603" s="3" t="s">
        <v>18</v>
      </c>
      <c r="D1603" s="3" t="str">
        <f>IFERROR(__xludf.DUMMYFUNCTION("GOOGLETRANSLATE(A1603, ""nl"", ""en"")"),"Nature and Elements")</f>
        <v>Nature and Elements</v>
      </c>
      <c r="E1603" s="3" t="str">
        <f>IFERROR(__xludf.DUMMYFUNCTION("GOOGLETRANSLATE(B1603, ""nl"", ""en"")"),"A tree with endless branches")</f>
        <v>A tree with endless branches</v>
      </c>
    </row>
    <row r="1604" ht="15.75" customHeight="1">
      <c r="A1604" s="3" t="s">
        <v>9</v>
      </c>
      <c r="B1604" s="3" t="s">
        <v>57</v>
      </c>
      <c r="D1604" s="3" t="str">
        <f>IFERROR(__xludf.DUMMYFUNCTION("GOOGLETRANSLATE(A1604, ""nl"", ""en"")"),"Psychological and Emotional Interpretations")</f>
        <v>Psychological and Emotional Interpretations</v>
      </c>
      <c r="E1604" s="3" t="str">
        <f>IFERROR(__xludf.DUMMYFUNCTION("GOOGLETRANSLATE(B1604, ""nl"", ""en"")"),"An explosion of colours and feelings")</f>
        <v>An explosion of colours and feelings</v>
      </c>
    </row>
    <row r="1605" ht="15.75" customHeight="1">
      <c r="A1605" s="3" t="s">
        <v>4</v>
      </c>
      <c r="B1605" s="3" t="s">
        <v>6</v>
      </c>
      <c r="D1605" s="3" t="str">
        <f>IFERROR(__xludf.DUMMYFUNCTION("GOOGLETRANSLATE(A1605, ""nl"", ""en"")"),"Architectural and Structural Associations")</f>
        <v>Architectural and Structural Associations</v>
      </c>
      <c r="E1605" s="3" t="str">
        <f>IFERROR(__xludf.DUMMYFUNCTION("GOOGLETRANSLATE(B1605, ""nl"", ""en"")"),"An endless labyrinth")</f>
        <v>An endless labyrinth</v>
      </c>
    </row>
    <row r="1606" ht="15.75" customHeight="1">
      <c r="A1606" s="3" t="s">
        <v>7</v>
      </c>
      <c r="B1606" s="3" t="s">
        <v>28</v>
      </c>
      <c r="D1606" s="3" t="str">
        <f>IFERROR(__xludf.DUMMYFUNCTION("GOOGLETRANSLATE(A1606, ""nl"", ""en"")"),"Human Figures and Physicality")</f>
        <v>Human Figures and Physicality</v>
      </c>
      <c r="E1606" s="3" t="str">
        <f>IFERROR(__xludf.DUMMYFUNCTION("GOOGLETRANSLATE(B1606, ""nl"", ""en"")"),"A dancing silhouette")</f>
        <v>A dancing silhouette</v>
      </c>
    </row>
    <row r="1607" ht="15.75" customHeight="1">
      <c r="A1607" s="3" t="s">
        <v>15</v>
      </c>
      <c r="B1607" s="3" t="s">
        <v>45</v>
      </c>
      <c r="D1607" s="3" t="str">
        <f>IFERROR(__xludf.DUMMYFUNCTION("GOOGLETRANSLATE(A1607, ""nl"", ""en"")"),"Animals and Organic Forms")</f>
        <v>Animals and Organic Forms</v>
      </c>
      <c r="E1607" s="3" t="str">
        <f>IFERROR(__xludf.DUMMYFUNCTION("GOOGLETRANSLATE(B1607, ""nl"", ""en"")"),"A snake biting its own tail")</f>
        <v>A snake biting its own tail</v>
      </c>
    </row>
    <row r="1608" ht="15.75" customHeight="1">
      <c r="A1608" s="3" t="s">
        <v>12</v>
      </c>
      <c r="B1608" s="3" t="s">
        <v>36</v>
      </c>
      <c r="D1608" s="3" t="str">
        <f>IFERROR(__xludf.DUMMYFUNCTION("GOOGLETRANSLATE(A1608, ""nl"", ""en"")"),"Nature and Elements")</f>
        <v>Nature and Elements</v>
      </c>
      <c r="E1608" s="3" t="str">
        <f>IFERROR(__xludf.DUMMYFUNCTION("GOOGLETRANSLATE(B1608, ""nl"", ""en"")"),"A river delta from a bird's-eye view")</f>
        <v>A river delta from a bird's-eye view</v>
      </c>
    </row>
    <row r="1609" ht="15.75" customHeight="1">
      <c r="A1609" s="3" t="s">
        <v>7</v>
      </c>
      <c r="B1609" s="3" t="s">
        <v>41</v>
      </c>
      <c r="D1609" s="3" t="str">
        <f>IFERROR(__xludf.DUMMYFUNCTION("GOOGLETRANSLATE(A1609, ""nl"", ""en"")"),"Human Figures and Physicality")</f>
        <v>Human Figures and Physicality</v>
      </c>
      <c r="E1609" s="3" t="str">
        <f>IFERROR(__xludf.DUMMYFUNCTION("GOOGLETRANSLATE(B1609, ""nl"", ""en"")"),"A face that fades into abstraction")</f>
        <v>A face that fades into abstraction</v>
      </c>
    </row>
    <row r="1610" ht="15.75" customHeight="1">
      <c r="A1610" s="3" t="s">
        <v>12</v>
      </c>
      <c r="B1610" s="3" t="s">
        <v>13</v>
      </c>
      <c r="D1610" s="3" t="str">
        <f>IFERROR(__xludf.DUMMYFUNCTION("GOOGLETRANSLATE(A1610, ""nl"", ""en"")"),"Nature and Elements")</f>
        <v>Nature and Elements</v>
      </c>
      <c r="E1610" s="3" t="str">
        <f>IFERROR(__xludf.DUMMYFUNCTION("GOOGLETRANSLATE(B1610, ""nl"", ""en"")"),"A lightning strike in slow motion")</f>
        <v>A lightning strike in slow motion</v>
      </c>
    </row>
    <row r="1611" ht="15.75" customHeight="1">
      <c r="A1611" s="3" t="s">
        <v>15</v>
      </c>
      <c r="B1611" s="3" t="s">
        <v>45</v>
      </c>
      <c r="D1611" s="3" t="str">
        <f>IFERROR(__xludf.DUMMYFUNCTION("GOOGLETRANSLATE(A1611, ""nl"", ""en"")"),"Animals and Organic Forms")</f>
        <v>Animals and Organic Forms</v>
      </c>
      <c r="E1611" s="3" t="str">
        <f>IFERROR(__xludf.DUMMYFUNCTION("GOOGLETRANSLATE(B1611, ""nl"", ""en"")"),"A snake biting its own tail")</f>
        <v>A snake biting its own tail</v>
      </c>
    </row>
    <row r="1612" ht="15.75" customHeight="1">
      <c r="A1612" s="3" t="s">
        <v>24</v>
      </c>
      <c r="B1612" s="3" t="s">
        <v>25</v>
      </c>
      <c r="D1612" s="3" t="str">
        <f>IFERROR(__xludf.DUMMYFUNCTION("GOOGLETRANSLATE(A1612, ""nl"", ""en"")"),"Cosmic and Abstract Patterns")</f>
        <v>Cosmic and Abstract Patterns</v>
      </c>
      <c r="E1612" s="3" t="str">
        <f>IFERROR(__xludf.DUMMYFUNCTION("GOOGLETRANSLATE(B1612, ""nl"", ""en"")"),"A meteor shower dissolving into each other")</f>
        <v>A meteor shower dissolving into each other</v>
      </c>
    </row>
    <row r="1613" ht="15.75" customHeight="1">
      <c r="A1613" s="3" t="s">
        <v>9</v>
      </c>
      <c r="B1613" s="3" t="s">
        <v>37</v>
      </c>
      <c r="D1613" s="3" t="str">
        <f>IFERROR(__xludf.DUMMYFUNCTION("GOOGLETRANSLATE(A1613, ""nl"", ""en"")"),"Psychological and Emotional Interpretations")</f>
        <v>Psychological and Emotional Interpretations</v>
      </c>
      <c r="E1613" s="3" t="str">
        <f>IFERROR(__xludf.DUMMYFUNCTION("GOOGLETRANSLATE(B1613, ""nl"", ""en"")"),"A figure looking through itself")</f>
        <v>A figure looking through itself</v>
      </c>
    </row>
    <row r="1614" ht="15.75" customHeight="1">
      <c r="A1614" s="3" t="s">
        <v>24</v>
      </c>
      <c r="B1614" s="3" t="s">
        <v>33</v>
      </c>
      <c r="D1614" s="3" t="str">
        <f>IFERROR(__xludf.DUMMYFUNCTION("GOOGLETRANSLATE(A1614, ""nl"", ""en"")"),"Cosmic and Abstract Patterns")</f>
        <v>Cosmic and Abstract Patterns</v>
      </c>
      <c r="E1614" s="3" t="str">
        <f>IFERROR(__xludf.DUMMYFUNCTION("GOOGLETRANSLATE(B1614, ""nl"", ""en"")"),"An eye that repeats itself in endless patterns")</f>
        <v>An eye that repeats itself in endless patterns</v>
      </c>
    </row>
    <row r="1615" ht="15.75" customHeight="1">
      <c r="A1615" s="3" t="s">
        <v>7</v>
      </c>
      <c r="B1615" s="3" t="s">
        <v>28</v>
      </c>
      <c r="D1615" s="3" t="str">
        <f>IFERROR(__xludf.DUMMYFUNCTION("GOOGLETRANSLATE(A1615, ""nl"", ""en"")"),"Human Figures and Physicality")</f>
        <v>Human Figures and Physicality</v>
      </c>
      <c r="E1615" s="3" t="str">
        <f>IFERROR(__xludf.DUMMYFUNCTION("GOOGLETRANSLATE(B1615, ""nl"", ""en"")"),"A dancing silhouette")</f>
        <v>A dancing silhouette</v>
      </c>
    </row>
    <row r="1616" ht="15.75" customHeight="1">
      <c r="A1616" s="3" t="s">
        <v>15</v>
      </c>
      <c r="B1616" s="3" t="s">
        <v>16</v>
      </c>
      <c r="D1616" s="3" t="str">
        <f>IFERROR(__xludf.DUMMYFUNCTION("GOOGLETRANSLATE(A1616, ""nl"", ""en"")"),"Animals and Organic Forms")</f>
        <v>Animals and Organic Forms</v>
      </c>
      <c r="E1616" s="3" t="str">
        <f>IFERROR(__xludf.DUMMYFUNCTION("GOOGLETRANSLATE(B1616, ""nl"", ""en"")"),"A butterfly in transformation")</f>
        <v>A butterfly in transformation</v>
      </c>
    </row>
    <row r="1617" ht="15.75" customHeight="1">
      <c r="A1617" s="3" t="s">
        <v>24</v>
      </c>
      <c r="B1617" s="3" t="s">
        <v>29</v>
      </c>
      <c r="D1617" s="3" t="str">
        <f>IFERROR(__xludf.DUMMYFUNCTION("GOOGLETRANSLATE(A1617, ""nl"", ""en"")"),"Cosmic and Abstract Patterns")</f>
        <v>Cosmic and Abstract Patterns</v>
      </c>
      <c r="E1617" s="3" t="str">
        <f>IFERROR(__xludf.DUMMYFUNCTION("GOOGLETRANSLATE(B1617, ""nl"", ""en"")"),"A galaxy unfolding")</f>
        <v>A galaxy unfolding</v>
      </c>
    </row>
    <row r="1618" ht="15.75" customHeight="1">
      <c r="A1618" s="3" t="s">
        <v>7</v>
      </c>
      <c r="B1618" s="3" t="s">
        <v>40</v>
      </c>
      <c r="D1618" s="3" t="str">
        <f>IFERROR(__xludf.DUMMYFUNCTION("GOOGLETRANSLATE(A1618, ""nl"", ""en"")"),"Human Figures and Physicality")</f>
        <v>Human Figures and Physicality</v>
      </c>
      <c r="E1618" s="3" t="str">
        <f>IFERROR(__xludf.DUMMYFUNCTION("GOOGLETRANSLATE(B1618, ""nl"", ""en"")"),"A figure who is withdrawn into himself")</f>
        <v>A figure who is withdrawn into himself</v>
      </c>
    </row>
    <row r="1619" ht="15.75" customHeight="1">
      <c r="A1619" s="3" t="s">
        <v>15</v>
      </c>
      <c r="B1619" s="3" t="s">
        <v>52</v>
      </c>
      <c r="D1619" s="3" t="str">
        <f>IFERROR(__xludf.DUMMYFUNCTION("GOOGLETRANSLATE(A1619, ""nl"", ""en"")"),"Animals and Organic Forms")</f>
        <v>Animals and Organic Forms</v>
      </c>
      <c r="E1619" s="3" t="str">
        <f>IFERROR(__xludf.DUMMYFUNCTION("GOOGLETRANSLATE(B1619, ""nl"", ""en"")"),"A mask made of leaves")</f>
        <v>A mask made of leaves</v>
      </c>
    </row>
    <row r="1620" ht="15.75" customHeight="1">
      <c r="A1620" s="3" t="s">
        <v>24</v>
      </c>
      <c r="B1620" s="3" t="s">
        <v>29</v>
      </c>
      <c r="D1620" s="3" t="str">
        <f>IFERROR(__xludf.DUMMYFUNCTION("GOOGLETRANSLATE(A1620, ""nl"", ""en"")"),"Cosmic and Abstract Patterns")</f>
        <v>Cosmic and Abstract Patterns</v>
      </c>
      <c r="E1620" s="3" t="str">
        <f>IFERROR(__xludf.DUMMYFUNCTION("GOOGLETRANSLATE(B1620, ""nl"", ""en"")"),"A galaxy unfolding")</f>
        <v>A galaxy unfolding</v>
      </c>
    </row>
    <row r="1621" ht="15.75" customHeight="1">
      <c r="A1621" s="3" t="s">
        <v>7</v>
      </c>
      <c r="B1621" s="3" t="s">
        <v>41</v>
      </c>
      <c r="D1621" s="3" t="str">
        <f>IFERROR(__xludf.DUMMYFUNCTION("GOOGLETRANSLATE(A1621, ""nl"", ""en"")"),"Human Figures and Physicality")</f>
        <v>Human Figures and Physicality</v>
      </c>
      <c r="E1621" s="3" t="str">
        <f>IFERROR(__xludf.DUMMYFUNCTION("GOOGLETRANSLATE(B1621, ""nl"", ""en"")"),"A face that fades into abstraction")</f>
        <v>A face that fades into abstraction</v>
      </c>
    </row>
    <row r="1622" ht="15.75" customHeight="1">
      <c r="A1622" s="3" t="s">
        <v>9</v>
      </c>
      <c r="B1622" s="3" t="s">
        <v>17</v>
      </c>
      <c r="D1622" s="3" t="str">
        <f>IFERROR(__xludf.DUMMYFUNCTION("GOOGLETRANSLATE(A1622, ""nl"", ""en"")"),"Psychological and Emotional Interpretations")</f>
        <v>Psychological and Emotional Interpretations</v>
      </c>
      <c r="E1622" s="3" t="str">
        <f>IFERROR(__xludf.DUMMYFUNCTION("GOOGLETRANSLATE(B1622, ""nl"", ""en"")"),"A figure that seems to melt")</f>
        <v>A figure that seems to melt</v>
      </c>
    </row>
    <row r="1623" ht="15.75" customHeight="1">
      <c r="A1623" s="3" t="s">
        <v>24</v>
      </c>
      <c r="B1623" s="3" t="s">
        <v>33</v>
      </c>
      <c r="D1623" s="3" t="str">
        <f>IFERROR(__xludf.DUMMYFUNCTION("GOOGLETRANSLATE(A1623, ""nl"", ""en"")"),"Cosmic and Abstract Patterns")</f>
        <v>Cosmic and Abstract Patterns</v>
      </c>
      <c r="E1623" s="3" t="str">
        <f>IFERROR(__xludf.DUMMYFUNCTION("GOOGLETRANSLATE(B1623, ""nl"", ""en"")"),"An eye that repeats itself in endless patterns")</f>
        <v>An eye that repeats itself in endless patterns</v>
      </c>
    </row>
    <row r="1624" ht="15.75" customHeight="1">
      <c r="A1624" s="3" t="s">
        <v>4</v>
      </c>
      <c r="B1624" s="3" t="s">
        <v>35</v>
      </c>
      <c r="D1624" s="3" t="str">
        <f>IFERROR(__xludf.DUMMYFUNCTION("GOOGLETRANSLATE(A1624, ""nl"", ""en"")"),"Architectural and Structural Associations")</f>
        <v>Architectural and Structural Associations</v>
      </c>
      <c r="E1624" s="3" t="str">
        <f>IFERROR(__xludf.DUMMYFUNCTION("GOOGLETRANSLATE(B1624, ""nl"", ""en"")"),"A floating building without a base")</f>
        <v>A floating building without a base</v>
      </c>
    </row>
    <row r="1625" ht="15.75" customHeight="1">
      <c r="A1625" s="3" t="s">
        <v>4</v>
      </c>
      <c r="B1625" s="3" t="s">
        <v>6</v>
      </c>
      <c r="D1625" s="3" t="str">
        <f>IFERROR(__xludf.DUMMYFUNCTION("GOOGLETRANSLATE(A1625, ""nl"", ""en"")"),"Architectural and Structural Associations")</f>
        <v>Architectural and Structural Associations</v>
      </c>
      <c r="E1625" s="3" t="str">
        <f>IFERROR(__xludf.DUMMYFUNCTION("GOOGLETRANSLATE(B1625, ""nl"", ""en"")"),"An endless labyrinth")</f>
        <v>An endless labyrinth</v>
      </c>
    </row>
    <row r="1626" ht="15.75" customHeight="1">
      <c r="A1626" s="3" t="s">
        <v>15</v>
      </c>
      <c r="B1626" s="3" t="s">
        <v>52</v>
      </c>
      <c r="D1626" s="3" t="str">
        <f>IFERROR(__xludf.DUMMYFUNCTION("GOOGLETRANSLATE(A1626, ""nl"", ""en"")"),"Animals and Organic Forms")</f>
        <v>Animals and Organic Forms</v>
      </c>
      <c r="E1626" s="3" t="str">
        <f>IFERROR(__xludf.DUMMYFUNCTION("GOOGLETRANSLATE(B1626, ""nl"", ""en"")"),"A mask made of leaves")</f>
        <v>A mask made of leaves</v>
      </c>
    </row>
    <row r="1627" ht="15.75" customHeight="1">
      <c r="A1627" s="3" t="s">
        <v>9</v>
      </c>
      <c r="B1627" s="3" t="s">
        <v>42</v>
      </c>
      <c r="D1627" s="3" t="str">
        <f>IFERROR(__xludf.DUMMYFUNCTION("GOOGLETRANSLATE(A1627, ""nl"", ""en"")"),"Psychological and Emotional Interpretations")</f>
        <v>Psychological and Emotional Interpretations</v>
      </c>
      <c r="E1627" s="3" t="str">
        <f>IFERROR(__xludf.DUMMYFUNCTION("GOOGLETRANSLATE(B1627, ""nl"", ""en"")"),"A mask that slowly disappears")</f>
        <v>A mask that slowly disappears</v>
      </c>
    </row>
    <row r="1628" ht="15.75" customHeight="1">
      <c r="A1628" s="3" t="s">
        <v>7</v>
      </c>
      <c r="B1628" s="3" t="s">
        <v>53</v>
      </c>
      <c r="D1628" s="3" t="str">
        <f>IFERROR(__xludf.DUMMYFUNCTION("GOOGLETRANSLATE(A1628, ""nl"", ""en"")"),"Human Figures and Physicality")</f>
        <v>Human Figures and Physicality</v>
      </c>
      <c r="E1628" s="3" t="str">
        <f>IFERROR(__xludf.DUMMYFUNCTION("GOOGLETRANSLATE(B1628, ""nl"", ""en"")"),"A face that both smiles and cries")</f>
        <v>A face that both smiles and cries</v>
      </c>
    </row>
    <row r="1629" ht="15.75" customHeight="1">
      <c r="A1629" s="3" t="s">
        <v>12</v>
      </c>
      <c r="B1629" s="3" t="s">
        <v>47</v>
      </c>
      <c r="D1629" s="3" t="str">
        <f>IFERROR(__xludf.DUMMYFUNCTION("GOOGLETRANSLATE(A1629, ""nl"", ""en"")"),"Nature and Elements")</f>
        <v>Nature and Elements</v>
      </c>
      <c r="E1629" s="3" t="str">
        <f>IFERROR(__xludf.DUMMYFUNCTION("GOOGLETRANSLATE(B1629, ""nl"", ""en"")"),"A desert landscape that slowly changes")</f>
        <v>A desert landscape that slowly changes</v>
      </c>
    </row>
    <row r="1630" ht="15.75" customHeight="1">
      <c r="A1630" s="3" t="s">
        <v>24</v>
      </c>
      <c r="B1630" s="3" t="s">
        <v>54</v>
      </c>
      <c r="D1630" s="3" t="str">
        <f>IFERROR(__xludf.DUMMYFUNCTION("GOOGLETRANSLATE(A1630, ""nl"", ""en"")"),"Cosmic and Abstract Patterns")</f>
        <v>Cosmic and Abstract Patterns</v>
      </c>
      <c r="E1630" s="3" t="str">
        <f>IFERROR(__xludf.DUMMYFUNCTION("GOOGLETRANSLATE(B1630, ""nl"", ""en"")"),"A quantum particle in superposition")</f>
        <v>A quantum particle in superposition</v>
      </c>
    </row>
    <row r="1631" ht="15.75" customHeight="1">
      <c r="A1631" s="3" t="s">
        <v>15</v>
      </c>
      <c r="B1631" s="3" t="s">
        <v>52</v>
      </c>
      <c r="D1631" s="3" t="str">
        <f>IFERROR(__xludf.DUMMYFUNCTION("GOOGLETRANSLATE(A1631, ""nl"", ""en"")"),"Animals and Organic Forms")</f>
        <v>Animals and Organic Forms</v>
      </c>
      <c r="E1631" s="3" t="str">
        <f>IFERROR(__xludf.DUMMYFUNCTION("GOOGLETRANSLATE(B1631, ""nl"", ""en"")"),"A mask made of leaves")</f>
        <v>A mask made of leaves</v>
      </c>
    </row>
    <row r="1632" ht="15.75" customHeight="1">
      <c r="A1632" s="3" t="s">
        <v>9</v>
      </c>
      <c r="B1632" s="3" t="s">
        <v>14</v>
      </c>
      <c r="D1632" s="3" t="str">
        <f>IFERROR(__xludf.DUMMYFUNCTION("GOOGLETRANSLATE(A1632, ""nl"", ""en"")"),"Psychological and Emotional Interpretations")</f>
        <v>Psychological and Emotional Interpretations</v>
      </c>
      <c r="E1632" s="3" t="str">
        <f>IFERROR(__xludf.DUMMYFUNCTION("GOOGLETRANSLATE(B1632, ""nl"", ""en"")"),"An unclear hug")</f>
        <v>An unclear hug</v>
      </c>
    </row>
    <row r="1633" ht="15.75" customHeight="1">
      <c r="A1633" s="3" t="s">
        <v>12</v>
      </c>
      <c r="B1633" s="3" t="s">
        <v>51</v>
      </c>
      <c r="D1633" s="3" t="str">
        <f>IFERROR(__xludf.DUMMYFUNCTION("GOOGLETRANSLATE(A1633, ""nl"", ""en"")"),"Nature and Elements")</f>
        <v>Nature and Elements</v>
      </c>
      <c r="E1633" s="3" t="str">
        <f>IFERROR(__xludf.DUMMYFUNCTION("GOOGLETRANSLATE(B1633, ""nl"", ""en"")"),"An evaporating puddle of water")</f>
        <v>An evaporating puddle of water</v>
      </c>
    </row>
    <row r="1634" ht="15.75" customHeight="1">
      <c r="A1634" s="3" t="s">
        <v>4</v>
      </c>
      <c r="B1634" s="3" t="s">
        <v>43</v>
      </c>
      <c r="D1634" s="3" t="str">
        <f>IFERROR(__xludf.DUMMYFUNCTION("GOOGLETRANSLATE(A1634, ""nl"", ""en"")"),"Architectural and Structural Associations")</f>
        <v>Architectural and Structural Associations</v>
      </c>
      <c r="E1634" s="3" t="str">
        <f>IFERROR(__xludf.DUMMYFUNCTION("GOOGLETRANSLATE(B1634, ""nl"", ""en"")"),"A network of tunnels and passages")</f>
        <v>A network of tunnels and passages</v>
      </c>
    </row>
    <row r="1635" ht="15.75" customHeight="1">
      <c r="A1635" s="3" t="s">
        <v>15</v>
      </c>
      <c r="B1635" s="3" t="s">
        <v>52</v>
      </c>
      <c r="D1635" s="3" t="str">
        <f>IFERROR(__xludf.DUMMYFUNCTION("GOOGLETRANSLATE(A1635, ""nl"", ""en"")"),"Animals and Organic Forms")</f>
        <v>Animals and Organic Forms</v>
      </c>
      <c r="E1635" s="3" t="str">
        <f>IFERROR(__xludf.DUMMYFUNCTION("GOOGLETRANSLATE(B1635, ""nl"", ""en"")"),"A mask made of leaves")</f>
        <v>A mask made of leaves</v>
      </c>
    </row>
    <row r="1636" ht="15.75" customHeight="1">
      <c r="A1636" s="3" t="s">
        <v>9</v>
      </c>
      <c r="B1636" s="3" t="s">
        <v>49</v>
      </c>
      <c r="D1636" s="3" t="str">
        <f>IFERROR(__xludf.DUMMYFUNCTION("GOOGLETRANSLATE(A1636, ""nl"", ""en"")"),"Psychological and Emotional Interpretations")</f>
        <v>Psychological and Emotional Interpretations</v>
      </c>
      <c r="E1636" s="3" t="str">
        <f>IFERROR(__xludf.DUMMYFUNCTION("GOOGLETRANSLATE(B1636, ""nl"", ""en"")"),"A spiral that turns inward")</f>
        <v>A spiral that turns inward</v>
      </c>
    </row>
    <row r="1637" ht="15.75" customHeight="1">
      <c r="A1637" s="3" t="s">
        <v>7</v>
      </c>
      <c r="B1637" s="3" t="s">
        <v>39</v>
      </c>
      <c r="D1637" s="3" t="str">
        <f>IFERROR(__xludf.DUMMYFUNCTION("GOOGLETRANSLATE(A1637, ""nl"", ""en"")"),"Human Figures and Physicality")</f>
        <v>Human Figures and Physicality</v>
      </c>
      <c r="E1637" s="3" t="str">
        <f>IFERROR(__xludf.DUMMYFUNCTION("GOOGLETRANSLATE(B1637, ""nl"", ""en"")"),"A torso without a head")</f>
        <v>A torso without a head</v>
      </c>
    </row>
    <row r="1638" ht="15.75" customHeight="1">
      <c r="A1638" s="3" t="s">
        <v>7</v>
      </c>
      <c r="B1638" s="3" t="s">
        <v>41</v>
      </c>
      <c r="D1638" s="3" t="str">
        <f>IFERROR(__xludf.DUMMYFUNCTION("GOOGLETRANSLATE(A1638, ""nl"", ""en"")"),"Human Figures and Physicality")</f>
        <v>Human Figures and Physicality</v>
      </c>
      <c r="E1638" s="3" t="str">
        <f>IFERROR(__xludf.DUMMYFUNCTION("GOOGLETRANSLATE(B1638, ""nl"", ""en"")"),"A face that fades into abstraction")</f>
        <v>A face that fades into abstraction</v>
      </c>
    </row>
    <row r="1639" ht="15.75" customHeight="1">
      <c r="A1639" s="3" t="s">
        <v>7</v>
      </c>
      <c r="B1639" s="3" t="s">
        <v>28</v>
      </c>
      <c r="D1639" s="3" t="str">
        <f>IFERROR(__xludf.DUMMYFUNCTION("GOOGLETRANSLATE(A1639, ""nl"", ""en"")"),"Human Figures and Physicality")</f>
        <v>Human Figures and Physicality</v>
      </c>
      <c r="E1639" s="3" t="str">
        <f>IFERROR(__xludf.DUMMYFUNCTION("GOOGLETRANSLATE(B1639, ""nl"", ""en"")"),"A dancing silhouette")</f>
        <v>A dancing silhouette</v>
      </c>
    </row>
    <row r="1640" ht="15.75" customHeight="1">
      <c r="A1640" s="3" t="s">
        <v>12</v>
      </c>
      <c r="B1640" s="3" t="s">
        <v>47</v>
      </c>
      <c r="D1640" s="3" t="str">
        <f>IFERROR(__xludf.DUMMYFUNCTION("GOOGLETRANSLATE(A1640, ""nl"", ""en"")"),"Nature and Elements")</f>
        <v>Nature and Elements</v>
      </c>
      <c r="E1640" s="3" t="str">
        <f>IFERROR(__xludf.DUMMYFUNCTION("GOOGLETRANSLATE(B1640, ""nl"", ""en"")"),"A desert landscape that slowly changes")</f>
        <v>A desert landscape that slowly changes</v>
      </c>
    </row>
    <row r="1641" ht="15.75" customHeight="1">
      <c r="A1641" s="3" t="s">
        <v>7</v>
      </c>
      <c r="B1641" s="3" t="s">
        <v>41</v>
      </c>
      <c r="D1641" s="3" t="str">
        <f>IFERROR(__xludf.DUMMYFUNCTION("GOOGLETRANSLATE(A1641, ""nl"", ""en"")"),"Human Figures and Physicality")</f>
        <v>Human Figures and Physicality</v>
      </c>
      <c r="E1641" s="3" t="str">
        <f>IFERROR(__xludf.DUMMYFUNCTION("GOOGLETRANSLATE(B1641, ""nl"", ""en"")"),"A face that fades into abstraction")</f>
        <v>A face that fades into abstraction</v>
      </c>
    </row>
    <row r="1642" ht="15.75" customHeight="1">
      <c r="A1642" s="3" t="s">
        <v>24</v>
      </c>
      <c r="B1642" s="3" t="s">
        <v>32</v>
      </c>
      <c r="D1642" s="3" t="str">
        <f>IFERROR(__xludf.DUMMYFUNCTION("GOOGLETRANSLATE(A1642, ""nl"", ""en"")"),"Cosmic and Abstract Patterns")</f>
        <v>Cosmic and Abstract Patterns</v>
      </c>
      <c r="E1642" s="3" t="str">
        <f>IFERROR(__xludf.DUMMYFUNCTION("GOOGLETRANSLATE(B1642, ""nl"", ""en"")"),"A time loop captured in image")</f>
        <v>A time loop captured in image</v>
      </c>
    </row>
    <row r="1643" ht="15.75" customHeight="1">
      <c r="A1643" s="3" t="s">
        <v>24</v>
      </c>
      <c r="B1643" s="3" t="s">
        <v>31</v>
      </c>
      <c r="D1643" s="3" t="str">
        <f>IFERROR(__xludf.DUMMYFUNCTION("GOOGLETRANSLATE(A1643, ""nl"", ""en"")"),"Cosmic and Abstract Patterns")</f>
        <v>Cosmic and Abstract Patterns</v>
      </c>
      <c r="E1643" s="3" t="str">
        <f>IFERROR(__xludf.DUMMYFUNCTION("GOOGLETRANSLATE(B1643, ""nl"", ""en"")"),"A planet with unusual rings")</f>
        <v>A planet with unusual rings</v>
      </c>
    </row>
    <row r="1644" ht="15.75" customHeight="1">
      <c r="A1644" s="3" t="s">
        <v>12</v>
      </c>
      <c r="B1644" s="3" t="s">
        <v>47</v>
      </c>
      <c r="D1644" s="3" t="str">
        <f>IFERROR(__xludf.DUMMYFUNCTION("GOOGLETRANSLATE(A1644, ""nl"", ""en"")"),"Nature and Elements")</f>
        <v>Nature and Elements</v>
      </c>
      <c r="E1644" s="3" t="str">
        <f>IFERROR(__xludf.DUMMYFUNCTION("GOOGLETRANSLATE(B1644, ""nl"", ""en"")"),"A desert landscape that slowly changes")</f>
        <v>A desert landscape that slowly changes</v>
      </c>
    </row>
    <row r="1645" ht="15.75" customHeight="1">
      <c r="A1645" s="3" t="s">
        <v>12</v>
      </c>
      <c r="B1645" s="3" t="s">
        <v>23</v>
      </c>
      <c r="D1645" s="3" t="str">
        <f>IFERROR(__xludf.DUMMYFUNCTION("GOOGLETRANSLATE(A1645, ""nl"", ""en"")"),"Nature and Elements")</f>
        <v>Nature and Elements</v>
      </c>
      <c r="E1645" s="3" t="str">
        <f>IFERROR(__xludf.DUMMYFUNCTION("GOOGLETRANSLATE(B1645, ""nl"", ""en"")"),"A storm cloud splitting in two")</f>
        <v>A storm cloud splitting in two</v>
      </c>
    </row>
    <row r="1646" ht="15.75" customHeight="1">
      <c r="A1646" s="3" t="s">
        <v>7</v>
      </c>
      <c r="B1646" s="3" t="s">
        <v>41</v>
      </c>
      <c r="D1646" s="3" t="str">
        <f>IFERROR(__xludf.DUMMYFUNCTION("GOOGLETRANSLATE(A1646, ""nl"", ""en"")"),"Human Figures and Physicality")</f>
        <v>Human Figures and Physicality</v>
      </c>
      <c r="E1646" s="3" t="str">
        <f>IFERROR(__xludf.DUMMYFUNCTION("GOOGLETRANSLATE(B1646, ""nl"", ""en"")"),"A face that fades into abstraction")</f>
        <v>A face that fades into abstraction</v>
      </c>
    </row>
    <row r="1647" ht="15.75" customHeight="1">
      <c r="A1647" s="3" t="s">
        <v>15</v>
      </c>
      <c r="B1647" s="3" t="s">
        <v>46</v>
      </c>
      <c r="D1647" s="3" t="str">
        <f>IFERROR(__xludf.DUMMYFUNCTION("GOOGLETRANSLATE(A1647, ""nl"", ""en"")"),"Animals and Organic Forms")</f>
        <v>Animals and Organic Forms</v>
      </c>
      <c r="E1647" s="3" t="str">
        <f>IFERROR(__xludf.DUMMYFUNCTION("GOOGLETRANSLATE(B1647, ""nl"", ""en"")"),"A flock of fish moving as one")</f>
        <v>A flock of fish moving as one</v>
      </c>
    </row>
    <row r="1648" ht="15.75" customHeight="1">
      <c r="A1648" s="3" t="s">
        <v>4</v>
      </c>
      <c r="B1648" s="3" t="s">
        <v>6</v>
      </c>
      <c r="D1648" s="3" t="str">
        <f>IFERROR(__xludf.DUMMYFUNCTION("GOOGLETRANSLATE(A1648, ""nl"", ""en"")"),"Architectural and Structural Associations")</f>
        <v>Architectural and Structural Associations</v>
      </c>
      <c r="E1648" s="3" t="str">
        <f>IFERROR(__xludf.DUMMYFUNCTION("GOOGLETRANSLATE(B1648, ""nl"", ""en"")"),"An endless labyrinth")</f>
        <v>An endless labyrinth</v>
      </c>
    </row>
    <row r="1649" ht="15.75" customHeight="1">
      <c r="A1649" s="3" t="s">
        <v>15</v>
      </c>
      <c r="B1649" s="3" t="s">
        <v>16</v>
      </c>
      <c r="D1649" s="3" t="str">
        <f>IFERROR(__xludf.DUMMYFUNCTION("GOOGLETRANSLATE(A1649, ""nl"", ""en"")"),"Animals and Organic Forms")</f>
        <v>Animals and Organic Forms</v>
      </c>
      <c r="E1649" s="3" t="str">
        <f>IFERROR(__xludf.DUMMYFUNCTION("GOOGLETRANSLATE(B1649, ""nl"", ""en"")"),"A butterfly in transformation")</f>
        <v>A butterfly in transformation</v>
      </c>
    </row>
    <row r="1650" ht="15.75" customHeight="1">
      <c r="A1650" s="3" t="s">
        <v>12</v>
      </c>
      <c r="B1650" s="3" t="s">
        <v>51</v>
      </c>
      <c r="D1650" s="3" t="str">
        <f>IFERROR(__xludf.DUMMYFUNCTION("GOOGLETRANSLATE(A1650, ""nl"", ""en"")"),"Nature and Elements")</f>
        <v>Nature and Elements</v>
      </c>
      <c r="E1650" s="3" t="str">
        <f>IFERROR(__xludf.DUMMYFUNCTION("GOOGLETRANSLATE(B1650, ""nl"", ""en"")"),"An evaporating puddle of water")</f>
        <v>An evaporating puddle of water</v>
      </c>
    </row>
    <row r="1651" ht="15.75" customHeight="1">
      <c r="A1651" s="3" t="s">
        <v>15</v>
      </c>
      <c r="B1651" s="3" t="s">
        <v>26</v>
      </c>
      <c r="D1651" s="3" t="str">
        <f>IFERROR(__xludf.DUMMYFUNCTION("GOOGLETRANSLATE(A1651, ""nl"", ""en"")"),"Animals and Organic Forms")</f>
        <v>Animals and Organic Forms</v>
      </c>
      <c r="E1651" s="3" t="str">
        <f>IFERROR(__xludf.DUMMYFUNCTION("GOOGLETRANSLATE(B1651, ""nl"", ""en"")"),"A frog preparing to jump")</f>
        <v>A frog preparing to jump</v>
      </c>
    </row>
    <row r="1652" ht="15.75" customHeight="1">
      <c r="A1652" s="3" t="s">
        <v>15</v>
      </c>
      <c r="B1652" s="3" t="s">
        <v>26</v>
      </c>
      <c r="D1652" s="3" t="str">
        <f>IFERROR(__xludf.DUMMYFUNCTION("GOOGLETRANSLATE(A1652, ""nl"", ""en"")"),"Animals and Organic Forms")</f>
        <v>Animals and Organic Forms</v>
      </c>
      <c r="E1652" s="3" t="str">
        <f>IFERROR(__xludf.DUMMYFUNCTION("GOOGLETRANSLATE(B1652, ""nl"", ""en"")"),"A frog preparing to jump")</f>
        <v>A frog preparing to jump</v>
      </c>
    </row>
    <row r="1653" ht="15.75" customHeight="1">
      <c r="A1653" s="3" t="s">
        <v>24</v>
      </c>
      <c r="B1653" s="3" t="s">
        <v>33</v>
      </c>
      <c r="D1653" s="3" t="str">
        <f>IFERROR(__xludf.DUMMYFUNCTION("GOOGLETRANSLATE(A1653, ""nl"", ""en"")"),"Cosmic and Abstract Patterns")</f>
        <v>Cosmic and Abstract Patterns</v>
      </c>
      <c r="E1653" s="3" t="str">
        <f>IFERROR(__xludf.DUMMYFUNCTION("GOOGLETRANSLATE(B1653, ""nl"", ""en"")"),"An eye that repeats itself in endless patterns")</f>
        <v>An eye that repeats itself in endless patterns</v>
      </c>
    </row>
    <row r="1654" ht="15.75" customHeight="1">
      <c r="A1654" s="3" t="s">
        <v>24</v>
      </c>
      <c r="B1654" s="3" t="s">
        <v>32</v>
      </c>
      <c r="D1654" s="3" t="str">
        <f>IFERROR(__xludf.DUMMYFUNCTION("GOOGLETRANSLATE(A1654, ""nl"", ""en"")"),"Cosmic and Abstract Patterns")</f>
        <v>Cosmic and Abstract Patterns</v>
      </c>
      <c r="E1654" s="3" t="str">
        <f>IFERROR(__xludf.DUMMYFUNCTION("GOOGLETRANSLATE(B1654, ""nl"", ""en"")"),"A time loop captured in image")</f>
        <v>A time loop captured in image</v>
      </c>
    </row>
    <row r="1655" ht="15.75" customHeight="1">
      <c r="A1655" s="3" t="s">
        <v>24</v>
      </c>
      <c r="B1655" s="3" t="s">
        <v>48</v>
      </c>
      <c r="D1655" s="3" t="str">
        <f>IFERROR(__xludf.DUMMYFUNCTION("GOOGLETRANSLATE(A1655, ""nl"", ""en"")"),"Cosmic and Abstract Patterns")</f>
        <v>Cosmic and Abstract Patterns</v>
      </c>
      <c r="E1655" s="3" t="str">
        <f>IFERROR(__xludf.DUMMYFUNCTION("GOOGLETRANSLATE(B1655, ""nl"", ""en"")"),"A fractal that repeats itself")</f>
        <v>A fractal that repeats itself</v>
      </c>
    </row>
    <row r="1656" ht="15.75" customHeight="1">
      <c r="A1656" s="3" t="s">
        <v>24</v>
      </c>
      <c r="B1656" s="3" t="s">
        <v>32</v>
      </c>
      <c r="D1656" s="3" t="str">
        <f>IFERROR(__xludf.DUMMYFUNCTION("GOOGLETRANSLATE(A1656, ""nl"", ""en"")"),"Cosmic and Abstract Patterns")</f>
        <v>Cosmic and Abstract Patterns</v>
      </c>
      <c r="E1656" s="3" t="str">
        <f>IFERROR(__xludf.DUMMYFUNCTION("GOOGLETRANSLATE(B1656, ""nl"", ""en"")"),"A time loop captured in image")</f>
        <v>A time loop captured in image</v>
      </c>
    </row>
    <row r="1657" ht="15.75" customHeight="1">
      <c r="A1657" s="3" t="s">
        <v>15</v>
      </c>
      <c r="B1657" s="3" t="s">
        <v>52</v>
      </c>
      <c r="D1657" s="3" t="str">
        <f>IFERROR(__xludf.DUMMYFUNCTION("GOOGLETRANSLATE(A1657, ""nl"", ""en"")"),"Animals and Organic Forms")</f>
        <v>Animals and Organic Forms</v>
      </c>
      <c r="E1657" s="3" t="str">
        <f>IFERROR(__xludf.DUMMYFUNCTION("GOOGLETRANSLATE(B1657, ""nl"", ""en"")"),"A mask made of leaves")</f>
        <v>A mask made of leaves</v>
      </c>
    </row>
    <row r="1658" ht="15.75" customHeight="1">
      <c r="A1658" s="3" t="s">
        <v>7</v>
      </c>
      <c r="B1658" s="3" t="s">
        <v>28</v>
      </c>
      <c r="D1658" s="3" t="str">
        <f>IFERROR(__xludf.DUMMYFUNCTION("GOOGLETRANSLATE(A1658, ""nl"", ""en"")"),"Human Figures and Physicality")</f>
        <v>Human Figures and Physicality</v>
      </c>
      <c r="E1658" s="3" t="str">
        <f>IFERROR(__xludf.DUMMYFUNCTION("GOOGLETRANSLATE(B1658, ""nl"", ""en"")"),"A dancing silhouette")</f>
        <v>A dancing silhouette</v>
      </c>
    </row>
    <row r="1659" ht="15.75" customHeight="1">
      <c r="A1659" s="3" t="s">
        <v>12</v>
      </c>
      <c r="B1659" s="3" t="s">
        <v>13</v>
      </c>
      <c r="D1659" s="3" t="str">
        <f>IFERROR(__xludf.DUMMYFUNCTION("GOOGLETRANSLATE(A1659, ""nl"", ""en"")"),"Nature and Elements")</f>
        <v>Nature and Elements</v>
      </c>
      <c r="E1659" s="3" t="str">
        <f>IFERROR(__xludf.DUMMYFUNCTION("GOOGLETRANSLATE(B1659, ""nl"", ""en"")"),"A lightning strike in slow motion")</f>
        <v>A lightning strike in slow motion</v>
      </c>
    </row>
    <row r="1660" ht="15.75" customHeight="1">
      <c r="A1660" s="3" t="s">
        <v>9</v>
      </c>
      <c r="B1660" s="3" t="s">
        <v>42</v>
      </c>
      <c r="D1660" s="3" t="str">
        <f>IFERROR(__xludf.DUMMYFUNCTION("GOOGLETRANSLATE(A1660, ""nl"", ""en"")"),"Psychological and Emotional Interpretations")</f>
        <v>Psychological and Emotional Interpretations</v>
      </c>
      <c r="E1660" s="3" t="str">
        <f>IFERROR(__xludf.DUMMYFUNCTION("GOOGLETRANSLATE(B1660, ""nl"", ""en"")"),"A mask that slowly disappears")</f>
        <v>A mask that slowly disappears</v>
      </c>
    </row>
    <row r="1661" ht="15.75" customHeight="1">
      <c r="A1661" s="3" t="s">
        <v>9</v>
      </c>
      <c r="B1661" s="3" t="s">
        <v>11</v>
      </c>
      <c r="D1661" s="3" t="str">
        <f>IFERROR(__xludf.DUMMYFUNCTION("GOOGLETRANSLATE(A1661, ""nl"", ""en"")"),"Psychological and Emotional Interpretations")</f>
        <v>Psychological and Emotional Interpretations</v>
      </c>
      <c r="E1661" s="3" t="str">
        <f>IFERROR(__xludf.DUMMYFUNCTION("GOOGLETRANSLATE(B1661, ""nl"", ""en"")"),"An emotion captured in abstraction")</f>
        <v>An emotion captured in abstraction</v>
      </c>
    </row>
    <row r="1662" ht="15.75" customHeight="1">
      <c r="A1662" s="3" t="s">
        <v>4</v>
      </c>
      <c r="B1662" s="3" t="s">
        <v>20</v>
      </c>
      <c r="D1662" s="3" t="str">
        <f>IFERROR(__xludf.DUMMYFUNCTION("GOOGLETRANSLATE(A1662, ""nl"", ""en"")"),"Architectural and Structural Associations")</f>
        <v>Architectural and Structural Associations</v>
      </c>
      <c r="E1662" s="3" t="str">
        <f>IFERROR(__xludf.DUMMYFUNCTION("GOOGLETRANSLATE(B1662, ""nl"", ""en"")"),"A tower that grows by itself")</f>
        <v>A tower that grows by itself</v>
      </c>
    </row>
    <row r="1663" ht="15.75" customHeight="1">
      <c r="A1663" s="3" t="s">
        <v>9</v>
      </c>
      <c r="B1663" s="3" t="s">
        <v>11</v>
      </c>
      <c r="D1663" s="3" t="str">
        <f>IFERROR(__xludf.DUMMYFUNCTION("GOOGLETRANSLATE(A1663, ""nl"", ""en"")"),"Psychological and Emotional Interpretations")</f>
        <v>Psychological and Emotional Interpretations</v>
      </c>
      <c r="E1663" s="3" t="str">
        <f>IFERROR(__xludf.DUMMYFUNCTION("GOOGLETRANSLATE(B1663, ""nl"", ""en"")"),"An emotion captured in abstraction")</f>
        <v>An emotion captured in abstraction</v>
      </c>
    </row>
    <row r="1664" ht="15.75" customHeight="1">
      <c r="A1664" s="3" t="s">
        <v>7</v>
      </c>
      <c r="B1664" s="3" t="s">
        <v>41</v>
      </c>
      <c r="D1664" s="3" t="str">
        <f>IFERROR(__xludf.DUMMYFUNCTION("GOOGLETRANSLATE(A1664, ""nl"", ""en"")"),"Human Figures and Physicality")</f>
        <v>Human Figures and Physicality</v>
      </c>
      <c r="E1664" s="3" t="str">
        <f>IFERROR(__xludf.DUMMYFUNCTION("GOOGLETRANSLATE(B1664, ""nl"", ""en"")"),"A face that fades into abstraction")</f>
        <v>A face that fades into abstraction</v>
      </c>
    </row>
    <row r="1665" ht="15.75" customHeight="1">
      <c r="A1665" s="3" t="s">
        <v>24</v>
      </c>
      <c r="B1665" s="3" t="s">
        <v>54</v>
      </c>
      <c r="D1665" s="3" t="str">
        <f>IFERROR(__xludf.DUMMYFUNCTION("GOOGLETRANSLATE(A1665, ""nl"", ""en"")"),"Cosmic and Abstract Patterns")</f>
        <v>Cosmic and Abstract Patterns</v>
      </c>
      <c r="E1665" s="3" t="str">
        <f>IFERROR(__xludf.DUMMYFUNCTION("GOOGLETRANSLATE(B1665, ""nl"", ""en"")"),"A quantum particle in superposition")</f>
        <v>A quantum particle in superposition</v>
      </c>
    </row>
    <row r="1666" ht="15.75" customHeight="1">
      <c r="A1666" s="3" t="s">
        <v>12</v>
      </c>
      <c r="B1666" s="3" t="s">
        <v>30</v>
      </c>
      <c r="D1666" s="3" t="str">
        <f>IFERROR(__xludf.DUMMYFUNCTION("GOOGLETRANSLATE(A1666, ""nl"", ""en"")"),"Nature and Elements")</f>
        <v>Nature and Elements</v>
      </c>
      <c r="E1666" s="3" t="str">
        <f>IFERROR(__xludf.DUMMYFUNCTION("GOOGLETRANSLATE(B1666, ""nl"", ""en"")"),"Waves breaking in fractal patterns")</f>
        <v>Waves breaking in fractal patterns</v>
      </c>
    </row>
    <row r="1667" ht="15.75" customHeight="1">
      <c r="A1667" s="3" t="s">
        <v>24</v>
      </c>
      <c r="B1667" s="3" t="s">
        <v>31</v>
      </c>
      <c r="D1667" s="3" t="str">
        <f>IFERROR(__xludf.DUMMYFUNCTION("GOOGLETRANSLATE(A1667, ""nl"", ""en"")"),"Cosmic and Abstract Patterns")</f>
        <v>Cosmic and Abstract Patterns</v>
      </c>
      <c r="E1667" s="3" t="str">
        <f>IFERROR(__xludf.DUMMYFUNCTION("GOOGLETRANSLATE(B1667, ""nl"", ""en"")"),"A planet with unusual rings")</f>
        <v>A planet with unusual rings</v>
      </c>
    </row>
    <row r="1668" ht="15.75" customHeight="1">
      <c r="A1668" s="3" t="s">
        <v>24</v>
      </c>
      <c r="B1668" s="3" t="s">
        <v>48</v>
      </c>
      <c r="D1668" s="3" t="str">
        <f>IFERROR(__xludf.DUMMYFUNCTION("GOOGLETRANSLATE(A1668, ""nl"", ""en"")"),"Cosmic and Abstract Patterns")</f>
        <v>Cosmic and Abstract Patterns</v>
      </c>
      <c r="E1668" s="3" t="str">
        <f>IFERROR(__xludf.DUMMYFUNCTION("GOOGLETRANSLATE(B1668, ""nl"", ""en"")"),"A fractal that repeats itself")</f>
        <v>A fractal that repeats itself</v>
      </c>
    </row>
    <row r="1669" ht="15.75" customHeight="1">
      <c r="A1669" s="3" t="s">
        <v>7</v>
      </c>
      <c r="B1669" s="3" t="s">
        <v>34</v>
      </c>
      <c r="D1669" s="3" t="str">
        <f>IFERROR(__xludf.DUMMYFUNCTION("GOOGLETRANSLATE(A1669, ""nl"", ""en"")"),"Human Figures and Physicality")</f>
        <v>Human Figures and Physicality</v>
      </c>
      <c r="E1669" s="3" t="str">
        <f>IFERROR(__xludf.DUMMYFUNCTION("GOOGLETRANSLATE(B1669, ""nl"", ""en"")"),"Hands almost touching")</f>
        <v>Hands almost touching</v>
      </c>
    </row>
    <row r="1670" ht="15.75" customHeight="1">
      <c r="A1670" s="3" t="s">
        <v>9</v>
      </c>
      <c r="B1670" s="3" t="s">
        <v>42</v>
      </c>
      <c r="D1670" s="3" t="str">
        <f>IFERROR(__xludf.DUMMYFUNCTION("GOOGLETRANSLATE(A1670, ""nl"", ""en"")"),"Psychological and Emotional Interpretations")</f>
        <v>Psychological and Emotional Interpretations</v>
      </c>
      <c r="E1670" s="3" t="str">
        <f>IFERROR(__xludf.DUMMYFUNCTION("GOOGLETRANSLATE(B1670, ""nl"", ""en"")"),"A mask that slowly disappears")</f>
        <v>A mask that slowly disappears</v>
      </c>
    </row>
    <row r="1671" ht="15.75" customHeight="1">
      <c r="A1671" s="3" t="s">
        <v>7</v>
      </c>
      <c r="B1671" s="3" t="s">
        <v>8</v>
      </c>
      <c r="D1671" s="3" t="str">
        <f>IFERROR(__xludf.DUMMYFUNCTION("GOOGLETRANSLATE(A1671, ""nl"", ""en"")"),"Human Figures and Physicality")</f>
        <v>Human Figures and Physicality</v>
      </c>
      <c r="E1671" s="3" t="str">
        <f>IFERROR(__xludf.DUMMYFUNCTION("GOOGLETRANSLATE(B1671, ""nl"", ""en"")"),"Two figures mirroring each other")</f>
        <v>Two figures mirroring each other</v>
      </c>
    </row>
    <row r="1672" ht="15.75" customHeight="1">
      <c r="A1672" s="3" t="s">
        <v>24</v>
      </c>
      <c r="B1672" s="3" t="s">
        <v>29</v>
      </c>
      <c r="D1672" s="3" t="str">
        <f>IFERROR(__xludf.DUMMYFUNCTION("GOOGLETRANSLATE(A1672, ""nl"", ""en"")"),"Cosmic and Abstract Patterns")</f>
        <v>Cosmic and Abstract Patterns</v>
      </c>
      <c r="E1672" s="3" t="str">
        <f>IFERROR(__xludf.DUMMYFUNCTION("GOOGLETRANSLATE(B1672, ""nl"", ""en"")"),"A galaxy unfolding")</f>
        <v>A galaxy unfolding</v>
      </c>
    </row>
    <row r="1673" ht="15.75" customHeight="1">
      <c r="A1673" s="3" t="s">
        <v>9</v>
      </c>
      <c r="B1673" s="3" t="s">
        <v>42</v>
      </c>
      <c r="D1673" s="3" t="str">
        <f>IFERROR(__xludf.DUMMYFUNCTION("GOOGLETRANSLATE(A1673, ""nl"", ""en"")"),"Psychological and Emotional Interpretations")</f>
        <v>Psychological and Emotional Interpretations</v>
      </c>
      <c r="E1673" s="3" t="str">
        <f>IFERROR(__xludf.DUMMYFUNCTION("GOOGLETRANSLATE(B1673, ""nl"", ""en"")"),"A mask that slowly disappears")</f>
        <v>A mask that slowly disappears</v>
      </c>
    </row>
    <row r="1674" ht="15.75" customHeight="1">
      <c r="A1674" s="3" t="s">
        <v>7</v>
      </c>
      <c r="B1674" s="3" t="s">
        <v>28</v>
      </c>
      <c r="D1674" s="3" t="str">
        <f>IFERROR(__xludf.DUMMYFUNCTION("GOOGLETRANSLATE(A1674, ""nl"", ""en"")"),"Human Figures and Physicality")</f>
        <v>Human Figures and Physicality</v>
      </c>
      <c r="E1674" s="3" t="str">
        <f>IFERROR(__xludf.DUMMYFUNCTION("GOOGLETRANSLATE(B1674, ""nl"", ""en"")"),"A dancing silhouette")</f>
        <v>A dancing silhouette</v>
      </c>
    </row>
    <row r="1675" ht="15.75" customHeight="1">
      <c r="A1675" s="3" t="s">
        <v>9</v>
      </c>
      <c r="B1675" s="3" t="s">
        <v>37</v>
      </c>
      <c r="D1675" s="3" t="str">
        <f>IFERROR(__xludf.DUMMYFUNCTION("GOOGLETRANSLATE(A1675, ""nl"", ""en"")"),"Psychological and Emotional Interpretations")</f>
        <v>Psychological and Emotional Interpretations</v>
      </c>
      <c r="E1675" s="3" t="str">
        <f>IFERROR(__xludf.DUMMYFUNCTION("GOOGLETRANSLATE(B1675, ""nl"", ""en"")"),"A figure looking through itself")</f>
        <v>A figure looking through itself</v>
      </c>
    </row>
    <row r="1676" ht="15.75" customHeight="1">
      <c r="A1676" s="3" t="s">
        <v>15</v>
      </c>
      <c r="B1676" s="3" t="s">
        <v>50</v>
      </c>
      <c r="D1676" s="3" t="str">
        <f>IFERROR(__xludf.DUMMYFUNCTION("GOOGLETRANSLATE(A1676, ""nl"", ""en"")"),"Animals and Organic Forms")</f>
        <v>Animals and Organic Forms</v>
      </c>
      <c r="E1676" s="3" t="str">
        <f>IFERROR(__xludf.DUMMYFUNCTION("GOOGLETRANSLATE(B1676, ""nl"", ""en"")"),"A squid with extended tentacles")</f>
        <v>A squid with extended tentacles</v>
      </c>
    </row>
    <row r="1677" ht="15.75" customHeight="1">
      <c r="A1677" s="3" t="s">
        <v>9</v>
      </c>
      <c r="B1677" s="3" t="s">
        <v>17</v>
      </c>
      <c r="D1677" s="3" t="str">
        <f>IFERROR(__xludf.DUMMYFUNCTION("GOOGLETRANSLATE(A1677, ""nl"", ""en"")"),"Psychological and Emotional Interpretations")</f>
        <v>Psychological and Emotional Interpretations</v>
      </c>
      <c r="E1677" s="3" t="str">
        <f>IFERROR(__xludf.DUMMYFUNCTION("GOOGLETRANSLATE(B1677, ""nl"", ""en"")"),"A figure that seems to melt")</f>
        <v>A figure that seems to melt</v>
      </c>
    </row>
    <row r="1678" ht="15.75" customHeight="1">
      <c r="A1678" s="3" t="s">
        <v>24</v>
      </c>
      <c r="B1678" s="3" t="s">
        <v>54</v>
      </c>
      <c r="D1678" s="3" t="str">
        <f>IFERROR(__xludf.DUMMYFUNCTION("GOOGLETRANSLATE(A1678, ""nl"", ""en"")"),"Cosmic and Abstract Patterns")</f>
        <v>Cosmic and Abstract Patterns</v>
      </c>
      <c r="E1678" s="3" t="str">
        <f>IFERROR(__xludf.DUMMYFUNCTION("GOOGLETRANSLATE(B1678, ""nl"", ""en"")"),"A quantum particle in superposition")</f>
        <v>A quantum particle in superposition</v>
      </c>
    </row>
    <row r="1679" ht="15.75" customHeight="1">
      <c r="A1679" s="3" t="s">
        <v>15</v>
      </c>
      <c r="B1679" s="3" t="s">
        <v>46</v>
      </c>
      <c r="D1679" s="3" t="str">
        <f>IFERROR(__xludf.DUMMYFUNCTION("GOOGLETRANSLATE(A1679, ""nl"", ""en"")"),"Animals and Organic Forms")</f>
        <v>Animals and Organic Forms</v>
      </c>
      <c r="E1679" s="3" t="str">
        <f>IFERROR(__xludf.DUMMYFUNCTION("GOOGLETRANSLATE(B1679, ""nl"", ""en"")"),"A flock of fish moving as one")</f>
        <v>A flock of fish moving as one</v>
      </c>
    </row>
    <row r="1680" ht="15.75" customHeight="1">
      <c r="A1680" s="3" t="s">
        <v>9</v>
      </c>
      <c r="B1680" s="3" t="s">
        <v>10</v>
      </c>
      <c r="D1680" s="3" t="str">
        <f>IFERROR(__xludf.DUMMYFUNCTION("GOOGLETRANSLATE(A1680, ""nl"", ""en"")"),"Psychological and Emotional Interpretations")</f>
        <v>Psychological and Emotional Interpretations</v>
      </c>
      <c r="E1680" s="3" t="str">
        <f>IFERROR(__xludf.DUMMYFUNCTION("GOOGLETRANSLATE(B1680, ""nl"", ""en"")"),"A face transforming in light")</f>
        <v>A face transforming in light</v>
      </c>
    </row>
    <row r="1681" ht="15.75" customHeight="1">
      <c r="A1681" s="3" t="s">
        <v>12</v>
      </c>
      <c r="B1681" s="3" t="s">
        <v>13</v>
      </c>
      <c r="D1681" s="3" t="str">
        <f>IFERROR(__xludf.DUMMYFUNCTION("GOOGLETRANSLATE(A1681, ""nl"", ""en"")"),"Nature and Elements")</f>
        <v>Nature and Elements</v>
      </c>
      <c r="E1681" s="3" t="str">
        <f>IFERROR(__xludf.DUMMYFUNCTION("GOOGLETRANSLATE(B1681, ""nl"", ""en"")"),"A lightning strike in slow motion")</f>
        <v>A lightning strike in slow motion</v>
      </c>
    </row>
    <row r="1682" ht="15.75" customHeight="1">
      <c r="A1682" s="3" t="s">
        <v>9</v>
      </c>
      <c r="B1682" s="3" t="s">
        <v>49</v>
      </c>
      <c r="D1682" s="3" t="str">
        <f>IFERROR(__xludf.DUMMYFUNCTION("GOOGLETRANSLATE(A1682, ""nl"", ""en"")"),"Psychological and Emotional Interpretations")</f>
        <v>Psychological and Emotional Interpretations</v>
      </c>
      <c r="E1682" s="3" t="str">
        <f>IFERROR(__xludf.DUMMYFUNCTION("GOOGLETRANSLATE(B1682, ""nl"", ""en"")"),"A spiral that turns inward")</f>
        <v>A spiral that turns inward</v>
      </c>
    </row>
    <row r="1683" ht="15.75" customHeight="1">
      <c r="A1683" s="3" t="s">
        <v>24</v>
      </c>
      <c r="B1683" s="3" t="s">
        <v>29</v>
      </c>
      <c r="D1683" s="3" t="str">
        <f>IFERROR(__xludf.DUMMYFUNCTION("GOOGLETRANSLATE(A1683, ""nl"", ""en"")"),"Cosmic and Abstract Patterns")</f>
        <v>Cosmic and Abstract Patterns</v>
      </c>
      <c r="E1683" s="3" t="str">
        <f>IFERROR(__xludf.DUMMYFUNCTION("GOOGLETRANSLATE(B1683, ""nl"", ""en"")"),"A galaxy unfolding")</f>
        <v>A galaxy unfolding</v>
      </c>
    </row>
    <row r="1684" ht="15.75" customHeight="1">
      <c r="A1684" s="3" t="s">
        <v>15</v>
      </c>
      <c r="B1684" s="3" t="s">
        <v>46</v>
      </c>
      <c r="D1684" s="3" t="str">
        <f>IFERROR(__xludf.DUMMYFUNCTION("GOOGLETRANSLATE(A1684, ""nl"", ""en"")"),"Animals and Organic Forms")</f>
        <v>Animals and Organic Forms</v>
      </c>
      <c r="E1684" s="3" t="str">
        <f>IFERROR(__xludf.DUMMYFUNCTION("GOOGLETRANSLATE(B1684, ""nl"", ""en"")"),"A flock of fish moving as one")</f>
        <v>A flock of fish moving as one</v>
      </c>
    </row>
    <row r="1685" ht="15.75" customHeight="1">
      <c r="A1685" s="3" t="s">
        <v>7</v>
      </c>
      <c r="B1685" s="3" t="s">
        <v>8</v>
      </c>
      <c r="D1685" s="3" t="str">
        <f>IFERROR(__xludf.DUMMYFUNCTION("GOOGLETRANSLATE(A1685, ""nl"", ""en"")"),"Human Figures and Physicality")</f>
        <v>Human Figures and Physicality</v>
      </c>
      <c r="E1685" s="3" t="str">
        <f>IFERROR(__xludf.DUMMYFUNCTION("GOOGLETRANSLATE(B1685, ""nl"", ""en"")"),"Two figures mirroring each other")</f>
        <v>Two figures mirroring each other</v>
      </c>
    </row>
    <row r="1686" ht="15.75" customHeight="1">
      <c r="A1686" s="3" t="s">
        <v>7</v>
      </c>
      <c r="B1686" s="3" t="s">
        <v>40</v>
      </c>
      <c r="D1686" s="3" t="str">
        <f>IFERROR(__xludf.DUMMYFUNCTION("GOOGLETRANSLATE(A1686, ""nl"", ""en"")"),"Human Figures and Physicality")</f>
        <v>Human Figures and Physicality</v>
      </c>
      <c r="E1686" s="3" t="str">
        <f>IFERROR(__xludf.DUMMYFUNCTION("GOOGLETRANSLATE(B1686, ""nl"", ""en"")"),"A figure who is withdrawn into himself")</f>
        <v>A figure who is withdrawn into himself</v>
      </c>
    </row>
    <row r="1687" ht="15.75" customHeight="1">
      <c r="A1687" s="3" t="s">
        <v>24</v>
      </c>
      <c r="B1687" s="3" t="s">
        <v>31</v>
      </c>
      <c r="D1687" s="3" t="str">
        <f>IFERROR(__xludf.DUMMYFUNCTION("GOOGLETRANSLATE(A1687, ""nl"", ""en"")"),"Cosmic and Abstract Patterns")</f>
        <v>Cosmic and Abstract Patterns</v>
      </c>
      <c r="E1687" s="3" t="str">
        <f>IFERROR(__xludf.DUMMYFUNCTION("GOOGLETRANSLATE(B1687, ""nl"", ""en"")"),"A planet with unusual rings")</f>
        <v>A planet with unusual rings</v>
      </c>
    </row>
    <row r="1688" ht="15.75" customHeight="1">
      <c r="A1688" s="3" t="s">
        <v>7</v>
      </c>
      <c r="B1688" s="3" t="s">
        <v>39</v>
      </c>
      <c r="D1688" s="3" t="str">
        <f>IFERROR(__xludf.DUMMYFUNCTION("GOOGLETRANSLATE(A1688, ""nl"", ""en"")"),"Human Figures and Physicality")</f>
        <v>Human Figures and Physicality</v>
      </c>
      <c r="E1688" s="3" t="str">
        <f>IFERROR(__xludf.DUMMYFUNCTION("GOOGLETRANSLATE(B1688, ""nl"", ""en"")"),"A torso without a head")</f>
        <v>A torso without a head</v>
      </c>
    </row>
    <row r="1689" ht="15.75" customHeight="1">
      <c r="A1689" s="3" t="s">
        <v>9</v>
      </c>
      <c r="B1689" s="3" t="s">
        <v>14</v>
      </c>
      <c r="D1689" s="3" t="str">
        <f>IFERROR(__xludf.DUMMYFUNCTION("GOOGLETRANSLATE(A1689, ""nl"", ""en"")"),"Psychological and Emotional Interpretations")</f>
        <v>Psychological and Emotional Interpretations</v>
      </c>
      <c r="E1689" s="3" t="str">
        <f>IFERROR(__xludf.DUMMYFUNCTION("GOOGLETRANSLATE(B1689, ""nl"", ""en"")"),"An unclear hug")</f>
        <v>An unclear hug</v>
      </c>
    </row>
    <row r="1690" ht="15.75" customHeight="1">
      <c r="A1690" s="3" t="s">
        <v>4</v>
      </c>
      <c r="B1690" s="3" t="s">
        <v>43</v>
      </c>
      <c r="D1690" s="3" t="str">
        <f>IFERROR(__xludf.DUMMYFUNCTION("GOOGLETRANSLATE(A1690, ""nl"", ""en"")"),"Architectural and Structural Associations")</f>
        <v>Architectural and Structural Associations</v>
      </c>
      <c r="E1690" s="3" t="str">
        <f>IFERROR(__xludf.DUMMYFUNCTION("GOOGLETRANSLATE(B1690, ""nl"", ""en"")"),"A network of tunnels and passages")</f>
        <v>A network of tunnels and passages</v>
      </c>
    </row>
    <row r="1691" ht="15.75" customHeight="1">
      <c r="A1691" s="3" t="s">
        <v>9</v>
      </c>
      <c r="B1691" s="3" t="s">
        <v>17</v>
      </c>
      <c r="D1691" s="3" t="str">
        <f>IFERROR(__xludf.DUMMYFUNCTION("GOOGLETRANSLATE(A1691, ""nl"", ""en"")"),"Psychological and Emotional Interpretations")</f>
        <v>Psychological and Emotional Interpretations</v>
      </c>
      <c r="E1691" s="3" t="str">
        <f>IFERROR(__xludf.DUMMYFUNCTION("GOOGLETRANSLATE(B1691, ""nl"", ""en"")"),"A figure that seems to melt")</f>
        <v>A figure that seems to melt</v>
      </c>
    </row>
    <row r="1692" ht="15.75" customHeight="1">
      <c r="A1692" s="3" t="s">
        <v>7</v>
      </c>
      <c r="B1692" s="3" t="s">
        <v>41</v>
      </c>
      <c r="D1692" s="3" t="str">
        <f>IFERROR(__xludf.DUMMYFUNCTION("GOOGLETRANSLATE(A1692, ""nl"", ""en"")"),"Human Figures and Physicality")</f>
        <v>Human Figures and Physicality</v>
      </c>
      <c r="E1692" s="3" t="str">
        <f>IFERROR(__xludf.DUMMYFUNCTION("GOOGLETRANSLATE(B1692, ""nl"", ""en"")"),"A face that fades into abstraction")</f>
        <v>A face that fades into abstraction</v>
      </c>
    </row>
    <row r="1693" ht="15.75" customHeight="1">
      <c r="A1693" s="3" t="s">
        <v>9</v>
      </c>
      <c r="B1693" s="3" t="s">
        <v>11</v>
      </c>
      <c r="D1693" s="3" t="str">
        <f>IFERROR(__xludf.DUMMYFUNCTION("GOOGLETRANSLATE(A1693, ""nl"", ""en"")"),"Psychological and Emotional Interpretations")</f>
        <v>Psychological and Emotional Interpretations</v>
      </c>
      <c r="E1693" s="3" t="str">
        <f>IFERROR(__xludf.DUMMYFUNCTION("GOOGLETRANSLATE(B1693, ""nl"", ""en"")"),"An emotion captured in abstraction")</f>
        <v>An emotion captured in abstraction</v>
      </c>
    </row>
    <row r="1694" ht="15.75" customHeight="1">
      <c r="A1694" s="3" t="s">
        <v>7</v>
      </c>
      <c r="B1694" s="3" t="s">
        <v>53</v>
      </c>
      <c r="D1694" s="3" t="str">
        <f>IFERROR(__xludf.DUMMYFUNCTION("GOOGLETRANSLATE(A1694, ""nl"", ""en"")"),"Human Figures and Physicality")</f>
        <v>Human Figures and Physicality</v>
      </c>
      <c r="E1694" s="3" t="str">
        <f>IFERROR(__xludf.DUMMYFUNCTION("GOOGLETRANSLATE(B1694, ""nl"", ""en"")"),"A face that both smiles and cries")</f>
        <v>A face that both smiles and cries</v>
      </c>
    </row>
    <row r="1695" ht="15.75" customHeight="1">
      <c r="A1695" s="3" t="s">
        <v>9</v>
      </c>
      <c r="B1695" s="3" t="s">
        <v>17</v>
      </c>
      <c r="D1695" s="3" t="str">
        <f>IFERROR(__xludf.DUMMYFUNCTION("GOOGLETRANSLATE(A1695, ""nl"", ""en"")"),"Psychological and Emotional Interpretations")</f>
        <v>Psychological and Emotional Interpretations</v>
      </c>
      <c r="E1695" s="3" t="str">
        <f>IFERROR(__xludf.DUMMYFUNCTION("GOOGLETRANSLATE(B1695, ""nl"", ""en"")"),"A figure that seems to melt")</f>
        <v>A figure that seems to melt</v>
      </c>
    </row>
    <row r="1696" ht="15.75" customHeight="1">
      <c r="A1696" s="3" t="s">
        <v>12</v>
      </c>
      <c r="B1696" s="3" t="s">
        <v>13</v>
      </c>
      <c r="D1696" s="3" t="str">
        <f>IFERROR(__xludf.DUMMYFUNCTION("GOOGLETRANSLATE(A1696, ""nl"", ""en"")"),"Nature and Elements")</f>
        <v>Nature and Elements</v>
      </c>
      <c r="E1696" s="3" t="str">
        <f>IFERROR(__xludf.DUMMYFUNCTION("GOOGLETRANSLATE(B1696, ""nl"", ""en"")"),"A lightning strike in slow motion")</f>
        <v>A lightning strike in slow motion</v>
      </c>
    </row>
    <row r="1697" ht="15.75" customHeight="1">
      <c r="A1697" s="3" t="s">
        <v>12</v>
      </c>
      <c r="B1697" s="3" t="s">
        <v>36</v>
      </c>
      <c r="D1697" s="3" t="str">
        <f>IFERROR(__xludf.DUMMYFUNCTION("GOOGLETRANSLATE(A1697, ""nl"", ""en"")"),"Nature and Elements")</f>
        <v>Nature and Elements</v>
      </c>
      <c r="E1697" s="3" t="str">
        <f>IFERROR(__xludf.DUMMYFUNCTION("GOOGLETRANSLATE(B1697, ""nl"", ""en"")"),"A river delta from a bird's-eye view")</f>
        <v>A river delta from a bird's-eye view</v>
      </c>
    </row>
    <row r="1698" ht="15.75" customHeight="1">
      <c r="A1698" s="3" t="s">
        <v>12</v>
      </c>
      <c r="B1698" s="3" t="s">
        <v>47</v>
      </c>
      <c r="D1698" s="3" t="str">
        <f>IFERROR(__xludf.DUMMYFUNCTION("GOOGLETRANSLATE(A1698, ""nl"", ""en"")"),"Nature and Elements")</f>
        <v>Nature and Elements</v>
      </c>
      <c r="E1698" s="3" t="str">
        <f>IFERROR(__xludf.DUMMYFUNCTION("GOOGLETRANSLATE(B1698, ""nl"", ""en"")"),"A desert landscape that slowly changes")</f>
        <v>A desert landscape that slowly changes</v>
      </c>
    </row>
    <row r="1699" ht="15.75" customHeight="1">
      <c r="A1699" s="3" t="s">
        <v>9</v>
      </c>
      <c r="B1699" s="3" t="s">
        <v>17</v>
      </c>
      <c r="D1699" s="3" t="str">
        <f>IFERROR(__xludf.DUMMYFUNCTION("GOOGLETRANSLATE(A1699, ""nl"", ""en"")"),"Psychological and Emotional Interpretations")</f>
        <v>Psychological and Emotional Interpretations</v>
      </c>
      <c r="E1699" s="3" t="str">
        <f>IFERROR(__xludf.DUMMYFUNCTION("GOOGLETRANSLATE(B1699, ""nl"", ""en"")"),"A figure that seems to melt")</f>
        <v>A figure that seems to melt</v>
      </c>
    </row>
    <row r="1700" ht="15.75" customHeight="1">
      <c r="A1700" s="3" t="s">
        <v>9</v>
      </c>
      <c r="B1700" s="3" t="s">
        <v>10</v>
      </c>
      <c r="D1700" s="3" t="str">
        <f>IFERROR(__xludf.DUMMYFUNCTION("GOOGLETRANSLATE(A1700, ""nl"", ""en"")"),"Psychological and Emotional Interpretations")</f>
        <v>Psychological and Emotional Interpretations</v>
      </c>
      <c r="E1700" s="3" t="str">
        <f>IFERROR(__xludf.DUMMYFUNCTION("GOOGLETRANSLATE(B1700, ""nl"", ""en"")"),"A face transforming in light")</f>
        <v>A face transforming in light</v>
      </c>
    </row>
    <row r="1701" ht="15.75" customHeight="1">
      <c r="A1701" s="3" t="s">
        <v>15</v>
      </c>
      <c r="B1701" s="3" t="s">
        <v>50</v>
      </c>
      <c r="D1701" s="3" t="str">
        <f>IFERROR(__xludf.DUMMYFUNCTION("GOOGLETRANSLATE(A1701, ""nl"", ""en"")"),"Animals and Organic Forms")</f>
        <v>Animals and Organic Forms</v>
      </c>
      <c r="E1701" s="3" t="str">
        <f>IFERROR(__xludf.DUMMYFUNCTION("GOOGLETRANSLATE(B1701, ""nl"", ""en"")"),"A squid with extended tentacles")</f>
        <v>A squid with extended tentacles</v>
      </c>
    </row>
    <row r="1702" ht="15.75" customHeight="1">
      <c r="A1702" s="3" t="s">
        <v>24</v>
      </c>
      <c r="B1702" s="3" t="s">
        <v>32</v>
      </c>
      <c r="D1702" s="3" t="str">
        <f>IFERROR(__xludf.DUMMYFUNCTION("GOOGLETRANSLATE(A1702, ""nl"", ""en"")"),"Cosmic and Abstract Patterns")</f>
        <v>Cosmic and Abstract Patterns</v>
      </c>
      <c r="E1702" s="3" t="str">
        <f>IFERROR(__xludf.DUMMYFUNCTION("GOOGLETRANSLATE(B1702, ""nl"", ""en"")"),"A time loop captured in image")</f>
        <v>A time loop captured in image</v>
      </c>
    </row>
    <row r="1703" ht="15.75" customHeight="1">
      <c r="A1703" s="3" t="s">
        <v>7</v>
      </c>
      <c r="B1703" s="3" t="s">
        <v>8</v>
      </c>
      <c r="D1703" s="3" t="str">
        <f>IFERROR(__xludf.DUMMYFUNCTION("GOOGLETRANSLATE(A1703, ""nl"", ""en"")"),"Human Figures and Physicality")</f>
        <v>Human Figures and Physicality</v>
      </c>
      <c r="E1703" s="3" t="str">
        <f>IFERROR(__xludf.DUMMYFUNCTION("GOOGLETRANSLATE(B1703, ""nl"", ""en"")"),"Two figures mirroring each other")</f>
        <v>Two figures mirroring each other</v>
      </c>
    </row>
    <row r="1704" ht="15.75" customHeight="1">
      <c r="A1704" s="3" t="s">
        <v>7</v>
      </c>
      <c r="B1704" s="3" t="s">
        <v>8</v>
      </c>
      <c r="D1704" s="3" t="str">
        <f>IFERROR(__xludf.DUMMYFUNCTION("GOOGLETRANSLATE(A1704, ""nl"", ""en"")"),"Human Figures and Physicality")</f>
        <v>Human Figures and Physicality</v>
      </c>
      <c r="E1704" s="3" t="str">
        <f>IFERROR(__xludf.DUMMYFUNCTION("GOOGLETRANSLATE(B1704, ""nl"", ""en"")"),"Two figures mirroring each other")</f>
        <v>Two figures mirroring each other</v>
      </c>
    </row>
    <row r="1705" ht="15.75" customHeight="1">
      <c r="A1705" s="3" t="s">
        <v>7</v>
      </c>
      <c r="B1705" s="3" t="s">
        <v>41</v>
      </c>
      <c r="D1705" s="3" t="str">
        <f>IFERROR(__xludf.DUMMYFUNCTION("GOOGLETRANSLATE(A1705, ""nl"", ""en"")"),"Human Figures and Physicality")</f>
        <v>Human Figures and Physicality</v>
      </c>
      <c r="E1705" s="3" t="str">
        <f>IFERROR(__xludf.DUMMYFUNCTION("GOOGLETRANSLATE(B1705, ""nl"", ""en"")"),"A face that fades into abstraction")</f>
        <v>A face that fades into abstraction</v>
      </c>
    </row>
    <row r="1706" ht="15.75" customHeight="1">
      <c r="A1706" s="3" t="s">
        <v>12</v>
      </c>
      <c r="B1706" s="3" t="s">
        <v>23</v>
      </c>
      <c r="D1706" s="3" t="str">
        <f>IFERROR(__xludf.DUMMYFUNCTION("GOOGLETRANSLATE(A1706, ""nl"", ""en"")"),"Nature and Elements")</f>
        <v>Nature and Elements</v>
      </c>
      <c r="E1706" s="3" t="str">
        <f>IFERROR(__xludf.DUMMYFUNCTION("GOOGLETRANSLATE(B1706, ""nl"", ""en"")"),"A storm cloud splitting in two")</f>
        <v>A storm cloud splitting in two</v>
      </c>
    </row>
    <row r="1707" ht="15.75" customHeight="1">
      <c r="A1707" s="3" t="s">
        <v>4</v>
      </c>
      <c r="B1707" s="3" t="s">
        <v>44</v>
      </c>
      <c r="D1707" s="3" t="str">
        <f>IFERROR(__xludf.DUMMYFUNCTION("GOOGLETRANSLATE(A1707, ""nl"", ""en"")"),"Architectural and Structural Associations")</f>
        <v>Architectural and Structural Associations</v>
      </c>
      <c r="E1707" s="3" t="str">
        <f>IFERROR(__xludf.DUMMYFUNCTION("GOOGLETRANSLATE(B1707, ""nl"", ""en"")"),"A structure that pulsates in waves")</f>
        <v>A structure that pulsates in waves</v>
      </c>
    </row>
    <row r="1708" ht="15.75" customHeight="1">
      <c r="A1708" s="3" t="s">
        <v>7</v>
      </c>
      <c r="B1708" s="3" t="s">
        <v>41</v>
      </c>
      <c r="D1708" s="3" t="str">
        <f>IFERROR(__xludf.DUMMYFUNCTION("GOOGLETRANSLATE(A1708, ""nl"", ""en"")"),"Human Figures and Physicality")</f>
        <v>Human Figures and Physicality</v>
      </c>
      <c r="E1708" s="3" t="str">
        <f>IFERROR(__xludf.DUMMYFUNCTION("GOOGLETRANSLATE(B1708, ""nl"", ""en"")"),"A face that fades into abstraction")</f>
        <v>A face that fades into abstraction</v>
      </c>
    </row>
    <row r="1709" ht="15.75" customHeight="1">
      <c r="A1709" s="3" t="s">
        <v>4</v>
      </c>
      <c r="B1709" s="3" t="s">
        <v>35</v>
      </c>
      <c r="D1709" s="3" t="str">
        <f>IFERROR(__xludf.DUMMYFUNCTION("GOOGLETRANSLATE(A1709, ""nl"", ""en"")"),"Architectural and Structural Associations")</f>
        <v>Architectural and Structural Associations</v>
      </c>
      <c r="E1709" s="3" t="str">
        <f>IFERROR(__xludf.DUMMYFUNCTION("GOOGLETRANSLATE(B1709, ""nl"", ""en"")"),"A floating building without a base")</f>
        <v>A floating building without a base</v>
      </c>
    </row>
    <row r="1710" ht="15.75" customHeight="1">
      <c r="A1710" s="3" t="s">
        <v>4</v>
      </c>
      <c r="B1710" s="3" t="s">
        <v>55</v>
      </c>
      <c r="D1710" s="3" t="str">
        <f>IFERROR(__xludf.DUMMYFUNCTION("GOOGLETRANSLATE(A1710, ""nl"", ""en"")"),"Architectural and Structural Associations")</f>
        <v>Architectural and Structural Associations</v>
      </c>
      <c r="E1710" s="3" t="str">
        <f>IFERROR(__xludf.DUMMYFUNCTION("GOOGLETRANSLATE(B1710, ""nl"", ""en"")"),"A prism that splits light into colors")</f>
        <v>A prism that splits light into colors</v>
      </c>
    </row>
    <row r="1711" ht="15.75" customHeight="1">
      <c r="A1711" s="3" t="s">
        <v>4</v>
      </c>
      <c r="B1711" s="3" t="s">
        <v>44</v>
      </c>
      <c r="D1711" s="3" t="str">
        <f>IFERROR(__xludf.DUMMYFUNCTION("GOOGLETRANSLATE(A1711, ""nl"", ""en"")"),"Architectural and Structural Associations")</f>
        <v>Architectural and Structural Associations</v>
      </c>
      <c r="E1711" s="3" t="str">
        <f>IFERROR(__xludf.DUMMYFUNCTION("GOOGLETRANSLATE(B1711, ""nl"", ""en"")"),"A structure that pulsates in waves")</f>
        <v>A structure that pulsates in waves</v>
      </c>
    </row>
    <row r="1712" ht="15.75" customHeight="1">
      <c r="A1712" s="3" t="s">
        <v>7</v>
      </c>
      <c r="B1712" s="3" t="s">
        <v>8</v>
      </c>
      <c r="D1712" s="3" t="str">
        <f>IFERROR(__xludf.DUMMYFUNCTION("GOOGLETRANSLATE(A1712, ""nl"", ""en"")"),"Human Figures and Physicality")</f>
        <v>Human Figures and Physicality</v>
      </c>
      <c r="E1712" s="3" t="str">
        <f>IFERROR(__xludf.DUMMYFUNCTION("GOOGLETRANSLATE(B1712, ""nl"", ""en"")"),"Two figures mirroring each other")</f>
        <v>Two figures mirroring each other</v>
      </c>
    </row>
    <row r="1713" ht="15.75" customHeight="1">
      <c r="A1713" s="3" t="s">
        <v>9</v>
      </c>
      <c r="B1713" s="3" t="s">
        <v>10</v>
      </c>
      <c r="D1713" s="3" t="str">
        <f>IFERROR(__xludf.DUMMYFUNCTION("GOOGLETRANSLATE(A1713, ""nl"", ""en"")"),"Psychological and Emotional Interpretations")</f>
        <v>Psychological and Emotional Interpretations</v>
      </c>
      <c r="E1713" s="3" t="str">
        <f>IFERROR(__xludf.DUMMYFUNCTION("GOOGLETRANSLATE(B1713, ""nl"", ""en"")"),"A face transforming in light")</f>
        <v>A face transforming in light</v>
      </c>
    </row>
    <row r="1714" ht="15.75" customHeight="1">
      <c r="A1714" s="3" t="s">
        <v>7</v>
      </c>
      <c r="B1714" s="3" t="s">
        <v>39</v>
      </c>
      <c r="D1714" s="3" t="str">
        <f>IFERROR(__xludf.DUMMYFUNCTION("GOOGLETRANSLATE(A1714, ""nl"", ""en"")"),"Human Figures and Physicality")</f>
        <v>Human Figures and Physicality</v>
      </c>
      <c r="E1714" s="3" t="str">
        <f>IFERROR(__xludf.DUMMYFUNCTION("GOOGLETRANSLATE(B1714, ""nl"", ""en"")"),"A torso without a head")</f>
        <v>A torso without a head</v>
      </c>
    </row>
    <row r="1715" ht="15.75" customHeight="1">
      <c r="A1715" s="3" t="s">
        <v>7</v>
      </c>
      <c r="B1715" s="3" t="s">
        <v>53</v>
      </c>
      <c r="D1715" s="3" t="str">
        <f>IFERROR(__xludf.DUMMYFUNCTION("GOOGLETRANSLATE(A1715, ""nl"", ""en"")"),"Human Figures and Physicality")</f>
        <v>Human Figures and Physicality</v>
      </c>
      <c r="E1715" s="3" t="str">
        <f>IFERROR(__xludf.DUMMYFUNCTION("GOOGLETRANSLATE(B1715, ""nl"", ""en"")"),"A face that both smiles and cries")</f>
        <v>A face that both smiles and cries</v>
      </c>
    </row>
    <row r="1716" ht="15.75" customHeight="1">
      <c r="A1716" s="3" t="s">
        <v>15</v>
      </c>
      <c r="B1716" s="3" t="s">
        <v>26</v>
      </c>
      <c r="D1716" s="3" t="str">
        <f>IFERROR(__xludf.DUMMYFUNCTION("GOOGLETRANSLATE(A1716, ""nl"", ""en"")"),"Animals and Organic Forms")</f>
        <v>Animals and Organic Forms</v>
      </c>
      <c r="E1716" s="3" t="str">
        <f>IFERROR(__xludf.DUMMYFUNCTION("GOOGLETRANSLATE(B1716, ""nl"", ""en"")"),"A frog preparing to jump")</f>
        <v>A frog preparing to jump</v>
      </c>
    </row>
    <row r="1717" ht="15.75" customHeight="1">
      <c r="A1717" s="3" t="s">
        <v>7</v>
      </c>
      <c r="B1717" s="3" t="s">
        <v>40</v>
      </c>
      <c r="D1717" s="3" t="str">
        <f>IFERROR(__xludf.DUMMYFUNCTION("GOOGLETRANSLATE(A1717, ""nl"", ""en"")"),"Human Figures and Physicality")</f>
        <v>Human Figures and Physicality</v>
      </c>
      <c r="E1717" s="3" t="str">
        <f>IFERROR(__xludf.DUMMYFUNCTION("GOOGLETRANSLATE(B1717, ""nl"", ""en"")"),"A figure who is withdrawn into himself")</f>
        <v>A figure who is withdrawn into himself</v>
      </c>
    </row>
    <row r="1718" ht="15.75" customHeight="1">
      <c r="A1718" s="3" t="s">
        <v>7</v>
      </c>
      <c r="B1718" s="3" t="s">
        <v>28</v>
      </c>
      <c r="D1718" s="3" t="str">
        <f>IFERROR(__xludf.DUMMYFUNCTION("GOOGLETRANSLATE(A1718, ""nl"", ""en"")"),"Human Figures and Physicality")</f>
        <v>Human Figures and Physicality</v>
      </c>
      <c r="E1718" s="3" t="str">
        <f>IFERROR(__xludf.DUMMYFUNCTION("GOOGLETRANSLATE(B1718, ""nl"", ""en"")"),"A dancing silhouette")</f>
        <v>A dancing silhouette</v>
      </c>
    </row>
    <row r="1719" ht="15.75" customHeight="1">
      <c r="A1719" s="3" t="s">
        <v>7</v>
      </c>
      <c r="B1719" s="3" t="s">
        <v>53</v>
      </c>
      <c r="D1719" s="3" t="str">
        <f>IFERROR(__xludf.DUMMYFUNCTION("GOOGLETRANSLATE(A1719, ""nl"", ""en"")"),"Human Figures and Physicality")</f>
        <v>Human Figures and Physicality</v>
      </c>
      <c r="E1719" s="3" t="str">
        <f>IFERROR(__xludf.DUMMYFUNCTION("GOOGLETRANSLATE(B1719, ""nl"", ""en"")"),"A face that both smiles and cries")</f>
        <v>A face that both smiles and cries</v>
      </c>
    </row>
    <row r="1720" ht="15.75" customHeight="1">
      <c r="A1720" s="3" t="s">
        <v>4</v>
      </c>
      <c r="B1720" s="3" t="s">
        <v>44</v>
      </c>
      <c r="D1720" s="3" t="str">
        <f>IFERROR(__xludf.DUMMYFUNCTION("GOOGLETRANSLATE(A1720, ""nl"", ""en"")"),"Architectural and Structural Associations")</f>
        <v>Architectural and Structural Associations</v>
      </c>
      <c r="E1720" s="3" t="str">
        <f>IFERROR(__xludf.DUMMYFUNCTION("GOOGLETRANSLATE(B1720, ""nl"", ""en"")"),"A structure that pulsates in waves")</f>
        <v>A structure that pulsates in waves</v>
      </c>
    </row>
    <row r="1721" ht="15.75" customHeight="1">
      <c r="A1721" s="3" t="s">
        <v>12</v>
      </c>
      <c r="B1721" s="3" t="s">
        <v>18</v>
      </c>
      <c r="D1721" s="3" t="str">
        <f>IFERROR(__xludf.DUMMYFUNCTION("GOOGLETRANSLATE(A1721, ""nl"", ""en"")"),"Nature and Elements")</f>
        <v>Nature and Elements</v>
      </c>
      <c r="E1721" s="3" t="str">
        <f>IFERROR(__xludf.DUMMYFUNCTION("GOOGLETRANSLATE(B1721, ""nl"", ""en"")"),"A tree with endless branches")</f>
        <v>A tree with endless branches</v>
      </c>
    </row>
    <row r="1722" ht="15.75" customHeight="1">
      <c r="A1722" s="3" t="s">
        <v>24</v>
      </c>
      <c r="B1722" s="3" t="s">
        <v>25</v>
      </c>
      <c r="D1722" s="3" t="str">
        <f>IFERROR(__xludf.DUMMYFUNCTION("GOOGLETRANSLATE(A1722, ""nl"", ""en"")"),"Cosmic and Abstract Patterns")</f>
        <v>Cosmic and Abstract Patterns</v>
      </c>
      <c r="E1722" s="3" t="str">
        <f>IFERROR(__xludf.DUMMYFUNCTION("GOOGLETRANSLATE(B1722, ""nl"", ""en"")"),"A meteor shower dissolving into each other")</f>
        <v>A meteor shower dissolving into each other</v>
      </c>
    </row>
    <row r="1723" ht="15.75" customHeight="1">
      <c r="A1723" s="3" t="s">
        <v>9</v>
      </c>
      <c r="B1723" s="3" t="s">
        <v>37</v>
      </c>
      <c r="D1723" s="3" t="str">
        <f>IFERROR(__xludf.DUMMYFUNCTION("GOOGLETRANSLATE(A1723, ""nl"", ""en"")"),"Psychological and Emotional Interpretations")</f>
        <v>Psychological and Emotional Interpretations</v>
      </c>
      <c r="E1723" s="3" t="str">
        <f>IFERROR(__xludf.DUMMYFUNCTION("GOOGLETRANSLATE(B1723, ""nl"", ""en"")"),"A figure looking through itself")</f>
        <v>A figure looking through itself</v>
      </c>
    </row>
    <row r="1724" ht="15.75" customHeight="1">
      <c r="A1724" s="3" t="s">
        <v>4</v>
      </c>
      <c r="B1724" s="3" t="s">
        <v>5</v>
      </c>
      <c r="D1724" s="3" t="str">
        <f>IFERROR(__xludf.DUMMYFUNCTION("GOOGLETRANSLATE(A1724, ""nl"", ""en"")"),"Architectural and Structural Associations")</f>
        <v>Architectural and Structural Associations</v>
      </c>
      <c r="E1724" s="3" t="str">
        <f>IFERROR(__xludf.DUMMYFUNCTION("GOOGLETRANSLATE(B1724, ""nl"", ""en"")"),"A cathedral shaped from mist")</f>
        <v>A cathedral shaped from mist</v>
      </c>
    </row>
    <row r="1725" ht="15.75" customHeight="1">
      <c r="A1725" s="3" t="s">
        <v>4</v>
      </c>
      <c r="B1725" s="3" t="s">
        <v>21</v>
      </c>
      <c r="D1725" s="3" t="str">
        <f>IFERROR(__xludf.DUMMYFUNCTION("GOOGLETRANSLATE(A1725, ""nl"", ""en"")"),"Architectural and Structural Associations")</f>
        <v>Architectural and Structural Associations</v>
      </c>
      <c r="E1725" s="3" t="str">
        <f>IFERROR(__xludf.DUMMYFUNCTION("GOOGLETRANSLATE(B1725, ""nl"", ""en"")"),"A bridge that leads nowhere")</f>
        <v>A bridge that leads nowhere</v>
      </c>
    </row>
    <row r="1726" ht="15.75" customHeight="1">
      <c r="A1726" s="3" t="s">
        <v>15</v>
      </c>
      <c r="B1726" s="3" t="s">
        <v>26</v>
      </c>
      <c r="D1726" s="3" t="str">
        <f>IFERROR(__xludf.DUMMYFUNCTION("GOOGLETRANSLATE(A1726, ""nl"", ""en"")"),"Animals and Organic Forms")</f>
        <v>Animals and Organic Forms</v>
      </c>
      <c r="E1726" s="3" t="str">
        <f>IFERROR(__xludf.DUMMYFUNCTION("GOOGLETRANSLATE(B1726, ""nl"", ""en"")"),"A frog preparing to jump")</f>
        <v>A frog preparing to jump</v>
      </c>
    </row>
    <row r="1727" ht="15.75" customHeight="1">
      <c r="A1727" s="3" t="s">
        <v>15</v>
      </c>
      <c r="B1727" s="3" t="s">
        <v>16</v>
      </c>
      <c r="D1727" s="3" t="str">
        <f>IFERROR(__xludf.DUMMYFUNCTION("GOOGLETRANSLATE(A1727, ""nl"", ""en"")"),"Animals and Organic Forms")</f>
        <v>Animals and Organic Forms</v>
      </c>
      <c r="E1727" s="3" t="str">
        <f>IFERROR(__xludf.DUMMYFUNCTION("GOOGLETRANSLATE(B1727, ""nl"", ""en"")"),"A butterfly in transformation")</f>
        <v>A butterfly in transformation</v>
      </c>
    </row>
    <row r="1728" ht="15.75" customHeight="1">
      <c r="A1728" s="3" t="s">
        <v>7</v>
      </c>
      <c r="B1728" s="3" t="s">
        <v>41</v>
      </c>
      <c r="D1728" s="3" t="str">
        <f>IFERROR(__xludf.DUMMYFUNCTION("GOOGLETRANSLATE(A1728, ""nl"", ""en"")"),"Human Figures and Physicality")</f>
        <v>Human Figures and Physicality</v>
      </c>
      <c r="E1728" s="3" t="str">
        <f>IFERROR(__xludf.DUMMYFUNCTION("GOOGLETRANSLATE(B1728, ""nl"", ""en"")"),"A face that fades into abstraction")</f>
        <v>A face that fades into abstraction</v>
      </c>
    </row>
    <row r="1729" ht="15.75" customHeight="1">
      <c r="A1729" s="3" t="s">
        <v>15</v>
      </c>
      <c r="B1729" s="3" t="s">
        <v>45</v>
      </c>
      <c r="D1729" s="3" t="str">
        <f>IFERROR(__xludf.DUMMYFUNCTION("GOOGLETRANSLATE(A1729, ""nl"", ""en"")"),"Animals and Organic Forms")</f>
        <v>Animals and Organic Forms</v>
      </c>
      <c r="E1729" s="3" t="str">
        <f>IFERROR(__xludf.DUMMYFUNCTION("GOOGLETRANSLATE(B1729, ""nl"", ""en"")"),"A snake biting its own tail")</f>
        <v>A snake biting its own tail</v>
      </c>
    </row>
    <row r="1730" ht="15.75" customHeight="1">
      <c r="A1730" s="3" t="s">
        <v>9</v>
      </c>
      <c r="B1730" s="3" t="s">
        <v>14</v>
      </c>
      <c r="D1730" s="3" t="str">
        <f>IFERROR(__xludf.DUMMYFUNCTION("GOOGLETRANSLATE(A1730, ""nl"", ""en"")"),"Psychological and Emotional Interpretations")</f>
        <v>Psychological and Emotional Interpretations</v>
      </c>
      <c r="E1730" s="3" t="str">
        <f>IFERROR(__xludf.DUMMYFUNCTION("GOOGLETRANSLATE(B1730, ""nl"", ""en"")"),"An unclear hug")</f>
        <v>An unclear hug</v>
      </c>
    </row>
    <row r="1731" ht="15.75" customHeight="1">
      <c r="A1731" s="3" t="s">
        <v>24</v>
      </c>
      <c r="B1731" s="3" t="s">
        <v>32</v>
      </c>
      <c r="D1731" s="3" t="str">
        <f>IFERROR(__xludf.DUMMYFUNCTION("GOOGLETRANSLATE(A1731, ""nl"", ""en"")"),"Cosmic and Abstract Patterns")</f>
        <v>Cosmic and Abstract Patterns</v>
      </c>
      <c r="E1731" s="3" t="str">
        <f>IFERROR(__xludf.DUMMYFUNCTION("GOOGLETRANSLATE(B1731, ""nl"", ""en"")"),"A time loop captured in image")</f>
        <v>A time loop captured in image</v>
      </c>
    </row>
    <row r="1732" ht="15.75" customHeight="1">
      <c r="A1732" s="3" t="s">
        <v>24</v>
      </c>
      <c r="B1732" s="3" t="s">
        <v>32</v>
      </c>
      <c r="D1732" s="3" t="str">
        <f>IFERROR(__xludf.DUMMYFUNCTION("GOOGLETRANSLATE(A1732, ""nl"", ""en"")"),"Cosmic and Abstract Patterns")</f>
        <v>Cosmic and Abstract Patterns</v>
      </c>
      <c r="E1732" s="3" t="str">
        <f>IFERROR(__xludf.DUMMYFUNCTION("GOOGLETRANSLATE(B1732, ""nl"", ""en"")"),"A time loop captured in image")</f>
        <v>A time loop captured in image</v>
      </c>
    </row>
    <row r="1733" ht="15.75" customHeight="1">
      <c r="A1733" s="3" t="s">
        <v>4</v>
      </c>
      <c r="B1733" s="3" t="s">
        <v>21</v>
      </c>
      <c r="D1733" s="3" t="str">
        <f>IFERROR(__xludf.DUMMYFUNCTION("GOOGLETRANSLATE(A1733, ""nl"", ""en"")"),"Architectural and Structural Associations")</f>
        <v>Architectural and Structural Associations</v>
      </c>
      <c r="E1733" s="3" t="str">
        <f>IFERROR(__xludf.DUMMYFUNCTION("GOOGLETRANSLATE(B1733, ""nl"", ""en"")"),"A bridge that leads nowhere")</f>
        <v>A bridge that leads nowhere</v>
      </c>
    </row>
    <row r="1734" ht="15.75" customHeight="1">
      <c r="A1734" s="3" t="s">
        <v>4</v>
      </c>
      <c r="B1734" s="3" t="s">
        <v>44</v>
      </c>
      <c r="D1734" s="3" t="str">
        <f>IFERROR(__xludf.DUMMYFUNCTION("GOOGLETRANSLATE(A1734, ""nl"", ""en"")"),"Architectural and Structural Associations")</f>
        <v>Architectural and Structural Associations</v>
      </c>
      <c r="E1734" s="3" t="str">
        <f>IFERROR(__xludf.DUMMYFUNCTION("GOOGLETRANSLATE(B1734, ""nl"", ""en"")"),"A structure that pulsates in waves")</f>
        <v>A structure that pulsates in waves</v>
      </c>
    </row>
    <row r="1735" ht="15.75" customHeight="1">
      <c r="A1735" s="3" t="s">
        <v>15</v>
      </c>
      <c r="B1735" s="3" t="s">
        <v>38</v>
      </c>
      <c r="D1735" s="3" t="str">
        <f>IFERROR(__xludf.DUMMYFUNCTION("GOOGLETRANSLATE(A1735, ""nl"", ""en"")"),"Animals and Organic Forms")</f>
        <v>Animals and Organic Forms</v>
      </c>
      <c r="E1735" s="3" t="str">
        <f>IFERROR(__xludf.DUMMYFUNCTION("GOOGLETRANSLATE(B1735, ""nl"", ""en"")"),"A lion with an open mouth")</f>
        <v>A lion with an open mouth</v>
      </c>
    </row>
    <row r="1736" ht="15.75" customHeight="1">
      <c r="A1736" s="3" t="s">
        <v>7</v>
      </c>
      <c r="B1736" s="3" t="s">
        <v>39</v>
      </c>
      <c r="D1736" s="3" t="str">
        <f>IFERROR(__xludf.DUMMYFUNCTION("GOOGLETRANSLATE(A1736, ""nl"", ""en"")"),"Human Figures and Physicality")</f>
        <v>Human Figures and Physicality</v>
      </c>
      <c r="E1736" s="3" t="str">
        <f>IFERROR(__xludf.DUMMYFUNCTION("GOOGLETRANSLATE(B1736, ""nl"", ""en"")"),"A torso without a head")</f>
        <v>A torso without a head</v>
      </c>
    </row>
    <row r="1737" ht="15.75" customHeight="1">
      <c r="A1737" s="3" t="s">
        <v>15</v>
      </c>
      <c r="B1737" s="3" t="s">
        <v>52</v>
      </c>
      <c r="D1737" s="3" t="str">
        <f>IFERROR(__xludf.DUMMYFUNCTION("GOOGLETRANSLATE(A1737, ""nl"", ""en"")"),"Animals and Organic Forms")</f>
        <v>Animals and Organic Forms</v>
      </c>
      <c r="E1737" s="3" t="str">
        <f>IFERROR(__xludf.DUMMYFUNCTION("GOOGLETRANSLATE(B1737, ""nl"", ""en"")"),"A mask made of leaves")</f>
        <v>A mask made of leaves</v>
      </c>
    </row>
    <row r="1738" ht="15.75" customHeight="1">
      <c r="A1738" s="3" t="s">
        <v>7</v>
      </c>
      <c r="B1738" s="3" t="s">
        <v>40</v>
      </c>
      <c r="D1738" s="3" t="str">
        <f>IFERROR(__xludf.DUMMYFUNCTION("GOOGLETRANSLATE(A1738, ""nl"", ""en"")"),"Human Figures and Physicality")</f>
        <v>Human Figures and Physicality</v>
      </c>
      <c r="E1738" s="3" t="str">
        <f>IFERROR(__xludf.DUMMYFUNCTION("GOOGLETRANSLATE(B1738, ""nl"", ""en"")"),"A figure who is withdrawn into himself")</f>
        <v>A figure who is withdrawn into himself</v>
      </c>
    </row>
    <row r="1739" ht="15.75" customHeight="1">
      <c r="A1739" s="3" t="s">
        <v>4</v>
      </c>
      <c r="B1739" s="3" t="s">
        <v>55</v>
      </c>
      <c r="D1739" s="3" t="str">
        <f>IFERROR(__xludf.DUMMYFUNCTION("GOOGLETRANSLATE(A1739, ""nl"", ""en"")"),"Architectural and Structural Associations")</f>
        <v>Architectural and Structural Associations</v>
      </c>
      <c r="E1739" s="3" t="str">
        <f>IFERROR(__xludf.DUMMYFUNCTION("GOOGLETRANSLATE(B1739, ""nl"", ""en"")"),"A prism that splits light into colors")</f>
        <v>A prism that splits light into colors</v>
      </c>
    </row>
    <row r="1740" ht="15.75" customHeight="1">
      <c r="A1740" s="3" t="s">
        <v>9</v>
      </c>
      <c r="B1740" s="3" t="s">
        <v>42</v>
      </c>
      <c r="D1740" s="3" t="str">
        <f>IFERROR(__xludf.DUMMYFUNCTION("GOOGLETRANSLATE(A1740, ""nl"", ""en"")"),"Psychological and Emotional Interpretations")</f>
        <v>Psychological and Emotional Interpretations</v>
      </c>
      <c r="E1740" s="3" t="str">
        <f>IFERROR(__xludf.DUMMYFUNCTION("GOOGLETRANSLATE(B1740, ""nl"", ""en"")"),"A mask that slowly disappears")</f>
        <v>A mask that slowly disappears</v>
      </c>
    </row>
    <row r="1741" ht="15.75" customHeight="1">
      <c r="A1741" s="3" t="s">
        <v>24</v>
      </c>
      <c r="B1741" s="3" t="s">
        <v>32</v>
      </c>
      <c r="D1741" s="3" t="str">
        <f>IFERROR(__xludf.DUMMYFUNCTION("GOOGLETRANSLATE(A1741, ""nl"", ""en"")"),"Cosmic and Abstract Patterns")</f>
        <v>Cosmic and Abstract Patterns</v>
      </c>
      <c r="E1741" s="3" t="str">
        <f>IFERROR(__xludf.DUMMYFUNCTION("GOOGLETRANSLATE(B1741, ""nl"", ""en"")"),"A time loop captured in image")</f>
        <v>A time loop captured in image</v>
      </c>
    </row>
    <row r="1742" ht="15.75" customHeight="1">
      <c r="A1742" s="3" t="s">
        <v>24</v>
      </c>
      <c r="B1742" s="3" t="s">
        <v>25</v>
      </c>
      <c r="D1742" s="3" t="str">
        <f>IFERROR(__xludf.DUMMYFUNCTION("GOOGLETRANSLATE(A1742, ""nl"", ""en"")"),"Cosmic and Abstract Patterns")</f>
        <v>Cosmic and Abstract Patterns</v>
      </c>
      <c r="E1742" s="3" t="str">
        <f>IFERROR(__xludf.DUMMYFUNCTION("GOOGLETRANSLATE(B1742, ""nl"", ""en"")"),"A meteor shower dissolving into each other")</f>
        <v>A meteor shower dissolving into each other</v>
      </c>
    </row>
    <row r="1743" ht="15.75" customHeight="1">
      <c r="A1743" s="3" t="s">
        <v>12</v>
      </c>
      <c r="B1743" s="3" t="s">
        <v>18</v>
      </c>
      <c r="D1743" s="3" t="str">
        <f>IFERROR(__xludf.DUMMYFUNCTION("GOOGLETRANSLATE(A1743, ""nl"", ""en"")"),"Nature and Elements")</f>
        <v>Nature and Elements</v>
      </c>
      <c r="E1743" s="3" t="str">
        <f>IFERROR(__xludf.DUMMYFUNCTION("GOOGLETRANSLATE(B1743, ""nl"", ""en"")"),"A tree with endless branches")</f>
        <v>A tree with endless branches</v>
      </c>
    </row>
    <row r="1744" ht="15.75" customHeight="1">
      <c r="A1744" s="3" t="s">
        <v>4</v>
      </c>
      <c r="B1744" s="3" t="s">
        <v>5</v>
      </c>
      <c r="D1744" s="3" t="str">
        <f>IFERROR(__xludf.DUMMYFUNCTION("GOOGLETRANSLATE(A1744, ""nl"", ""en"")"),"Architectural and Structural Associations")</f>
        <v>Architectural and Structural Associations</v>
      </c>
      <c r="E1744" s="3" t="str">
        <f>IFERROR(__xludf.DUMMYFUNCTION("GOOGLETRANSLATE(B1744, ""nl"", ""en"")"),"A cathedral shaped from mist")</f>
        <v>A cathedral shaped from mist</v>
      </c>
    </row>
    <row r="1745" ht="15.75" customHeight="1">
      <c r="A1745" s="3" t="s">
        <v>12</v>
      </c>
      <c r="B1745" s="3" t="s">
        <v>30</v>
      </c>
      <c r="D1745" s="3" t="str">
        <f>IFERROR(__xludf.DUMMYFUNCTION("GOOGLETRANSLATE(A1745, ""nl"", ""en"")"),"Nature and Elements")</f>
        <v>Nature and Elements</v>
      </c>
      <c r="E1745" s="3" t="str">
        <f>IFERROR(__xludf.DUMMYFUNCTION("GOOGLETRANSLATE(B1745, ""nl"", ""en"")"),"Waves breaking in fractal patterns")</f>
        <v>Waves breaking in fractal patterns</v>
      </c>
    </row>
    <row r="1746" ht="15.75" customHeight="1">
      <c r="A1746" s="3" t="s">
        <v>24</v>
      </c>
      <c r="B1746" s="3" t="s">
        <v>33</v>
      </c>
      <c r="D1746" s="3" t="str">
        <f>IFERROR(__xludf.DUMMYFUNCTION("GOOGLETRANSLATE(A1746, ""nl"", ""en"")"),"Cosmic and Abstract Patterns")</f>
        <v>Cosmic and Abstract Patterns</v>
      </c>
      <c r="E1746" s="3" t="str">
        <f>IFERROR(__xludf.DUMMYFUNCTION("GOOGLETRANSLATE(B1746, ""nl"", ""en"")"),"An eye that repeats itself in endless patterns")</f>
        <v>An eye that repeats itself in endless patterns</v>
      </c>
    </row>
    <row r="1747" ht="15.75" customHeight="1">
      <c r="A1747" s="3" t="s">
        <v>12</v>
      </c>
      <c r="B1747" s="3" t="s">
        <v>13</v>
      </c>
      <c r="D1747" s="3" t="str">
        <f>IFERROR(__xludf.DUMMYFUNCTION("GOOGLETRANSLATE(A1747, ""nl"", ""en"")"),"Nature and Elements")</f>
        <v>Nature and Elements</v>
      </c>
      <c r="E1747" s="3" t="str">
        <f>IFERROR(__xludf.DUMMYFUNCTION("GOOGLETRANSLATE(B1747, ""nl"", ""en"")"),"A lightning strike in slow motion")</f>
        <v>A lightning strike in slow motion</v>
      </c>
    </row>
    <row r="1748" ht="15.75" customHeight="1">
      <c r="A1748" s="3" t="s">
        <v>15</v>
      </c>
      <c r="B1748" s="3" t="s">
        <v>16</v>
      </c>
      <c r="D1748" s="3" t="str">
        <f>IFERROR(__xludf.DUMMYFUNCTION("GOOGLETRANSLATE(A1748, ""nl"", ""en"")"),"Animals and Organic Forms")</f>
        <v>Animals and Organic Forms</v>
      </c>
      <c r="E1748" s="3" t="str">
        <f>IFERROR(__xludf.DUMMYFUNCTION("GOOGLETRANSLATE(B1748, ""nl"", ""en"")"),"A butterfly in transformation")</f>
        <v>A butterfly in transformation</v>
      </c>
    </row>
    <row r="1749" ht="15.75" customHeight="1">
      <c r="A1749" s="3" t="s">
        <v>12</v>
      </c>
      <c r="B1749" s="3" t="s">
        <v>13</v>
      </c>
      <c r="D1749" s="3" t="str">
        <f>IFERROR(__xludf.DUMMYFUNCTION("GOOGLETRANSLATE(A1749, ""nl"", ""en"")"),"Nature and Elements")</f>
        <v>Nature and Elements</v>
      </c>
      <c r="E1749" s="3" t="str">
        <f>IFERROR(__xludf.DUMMYFUNCTION("GOOGLETRANSLATE(B1749, ""nl"", ""en"")"),"A lightning strike in slow motion")</f>
        <v>A lightning strike in slow motion</v>
      </c>
    </row>
    <row r="1750" ht="15.75" customHeight="1">
      <c r="A1750" s="3" t="s">
        <v>7</v>
      </c>
      <c r="B1750" s="3" t="s">
        <v>53</v>
      </c>
      <c r="D1750" s="3" t="str">
        <f>IFERROR(__xludf.DUMMYFUNCTION("GOOGLETRANSLATE(A1750, ""nl"", ""en"")"),"Human Figures and Physicality")</f>
        <v>Human Figures and Physicality</v>
      </c>
      <c r="E1750" s="3" t="str">
        <f>IFERROR(__xludf.DUMMYFUNCTION("GOOGLETRANSLATE(B1750, ""nl"", ""en"")"),"A face that both smiles and cries")</f>
        <v>A face that both smiles and cries</v>
      </c>
    </row>
    <row r="1751" ht="15.75" customHeight="1">
      <c r="A1751" s="3" t="s">
        <v>15</v>
      </c>
      <c r="B1751" s="3" t="s">
        <v>22</v>
      </c>
      <c r="D1751" s="3" t="str">
        <f>IFERROR(__xludf.DUMMYFUNCTION("GOOGLETRANSLATE(A1751, ""nl"", ""en"")"),"Animals and Organic Forms")</f>
        <v>Animals and Organic Forms</v>
      </c>
      <c r="E1751" s="3" t="str">
        <f>IFERROR(__xludf.DUMMYFUNCTION("GOOGLETRANSLATE(B1751, ""nl"", ""en"")"),"A bird taking off")</f>
        <v>A bird taking off</v>
      </c>
    </row>
    <row r="1752" ht="15.75" customHeight="1">
      <c r="A1752" s="3" t="s">
        <v>15</v>
      </c>
      <c r="B1752" s="3" t="s">
        <v>46</v>
      </c>
      <c r="D1752" s="3" t="str">
        <f>IFERROR(__xludf.DUMMYFUNCTION("GOOGLETRANSLATE(A1752, ""nl"", ""en"")"),"Animals and Organic Forms")</f>
        <v>Animals and Organic Forms</v>
      </c>
      <c r="E1752" s="3" t="str">
        <f>IFERROR(__xludf.DUMMYFUNCTION("GOOGLETRANSLATE(B1752, ""nl"", ""en"")"),"A flock of fish moving as one")</f>
        <v>A flock of fish moving as one</v>
      </c>
    </row>
    <row r="1753" ht="15.75" customHeight="1">
      <c r="A1753" s="3" t="s">
        <v>9</v>
      </c>
      <c r="B1753" s="3" t="s">
        <v>11</v>
      </c>
      <c r="D1753" s="3" t="str">
        <f>IFERROR(__xludf.DUMMYFUNCTION("GOOGLETRANSLATE(A1753, ""nl"", ""en"")"),"Psychological and Emotional Interpretations")</f>
        <v>Psychological and Emotional Interpretations</v>
      </c>
      <c r="E1753" s="3" t="str">
        <f>IFERROR(__xludf.DUMMYFUNCTION("GOOGLETRANSLATE(B1753, ""nl"", ""en"")"),"An emotion captured in abstraction")</f>
        <v>An emotion captured in abstraction</v>
      </c>
    </row>
    <row r="1754" ht="15.75" customHeight="1">
      <c r="A1754" s="3" t="s">
        <v>24</v>
      </c>
      <c r="B1754" s="3" t="s">
        <v>27</v>
      </c>
      <c r="D1754" s="3" t="str">
        <f>IFERROR(__xludf.DUMMYFUNCTION("GOOGLETRANSLATE(A1754, ""nl"", ""en"")"),"Cosmic and Abstract Patterns")</f>
        <v>Cosmic and Abstract Patterns</v>
      </c>
      <c r="E1754" s="3" t="str">
        <f>IFERROR(__xludf.DUMMYFUNCTION("GOOGLETRANSLATE(B1754, ""nl"", ""en"")"),"A pair of black holes in dance")</f>
        <v>A pair of black holes in dance</v>
      </c>
    </row>
    <row r="1755" ht="15.75" customHeight="1">
      <c r="A1755" s="3" t="s">
        <v>4</v>
      </c>
      <c r="B1755" s="3" t="s">
        <v>5</v>
      </c>
      <c r="D1755" s="3" t="str">
        <f>IFERROR(__xludf.DUMMYFUNCTION("GOOGLETRANSLATE(A1755, ""nl"", ""en"")"),"Architectural and Structural Associations")</f>
        <v>Architectural and Structural Associations</v>
      </c>
      <c r="E1755" s="3" t="str">
        <f>IFERROR(__xludf.DUMMYFUNCTION("GOOGLETRANSLATE(B1755, ""nl"", ""en"")"),"A cathedral shaped from mist")</f>
        <v>A cathedral shaped from mist</v>
      </c>
    </row>
    <row r="1756" ht="15.75" customHeight="1">
      <c r="A1756" s="3" t="s">
        <v>4</v>
      </c>
      <c r="B1756" s="3" t="s">
        <v>43</v>
      </c>
      <c r="D1756" s="3" t="str">
        <f>IFERROR(__xludf.DUMMYFUNCTION("GOOGLETRANSLATE(A1756, ""nl"", ""en"")"),"Architectural and Structural Associations")</f>
        <v>Architectural and Structural Associations</v>
      </c>
      <c r="E1756" s="3" t="str">
        <f>IFERROR(__xludf.DUMMYFUNCTION("GOOGLETRANSLATE(B1756, ""nl"", ""en"")"),"A network of tunnels and passages")</f>
        <v>A network of tunnels and passages</v>
      </c>
    </row>
    <row r="1757" ht="15.75" customHeight="1">
      <c r="A1757" s="3" t="s">
        <v>12</v>
      </c>
      <c r="B1757" s="3" t="s">
        <v>47</v>
      </c>
      <c r="D1757" s="3" t="str">
        <f>IFERROR(__xludf.DUMMYFUNCTION("GOOGLETRANSLATE(A1757, ""nl"", ""en"")"),"Nature and Elements")</f>
        <v>Nature and Elements</v>
      </c>
      <c r="E1757" s="3" t="str">
        <f>IFERROR(__xludf.DUMMYFUNCTION("GOOGLETRANSLATE(B1757, ""nl"", ""en"")"),"A desert landscape that slowly changes")</f>
        <v>A desert landscape that slowly changes</v>
      </c>
    </row>
    <row r="1758" ht="15.75" customHeight="1">
      <c r="A1758" s="3" t="s">
        <v>4</v>
      </c>
      <c r="B1758" s="3" t="s">
        <v>55</v>
      </c>
      <c r="D1758" s="3" t="str">
        <f>IFERROR(__xludf.DUMMYFUNCTION("GOOGLETRANSLATE(A1758, ""nl"", ""en"")"),"Architectural and Structural Associations")</f>
        <v>Architectural and Structural Associations</v>
      </c>
      <c r="E1758" s="3" t="str">
        <f>IFERROR(__xludf.DUMMYFUNCTION("GOOGLETRANSLATE(B1758, ""nl"", ""en"")"),"A prism that splits light into colors")</f>
        <v>A prism that splits light into colors</v>
      </c>
    </row>
    <row r="1759" ht="15.75" customHeight="1">
      <c r="A1759" s="3" t="s">
        <v>15</v>
      </c>
      <c r="B1759" s="3" t="s">
        <v>50</v>
      </c>
      <c r="D1759" s="3" t="str">
        <f>IFERROR(__xludf.DUMMYFUNCTION("GOOGLETRANSLATE(A1759, ""nl"", ""en"")"),"Animals and Organic Forms")</f>
        <v>Animals and Organic Forms</v>
      </c>
      <c r="E1759" s="3" t="str">
        <f>IFERROR(__xludf.DUMMYFUNCTION("GOOGLETRANSLATE(B1759, ""nl"", ""en"")"),"A squid with extended tentacles")</f>
        <v>A squid with extended tentacles</v>
      </c>
    </row>
    <row r="1760" ht="15.75" customHeight="1">
      <c r="A1760" s="3" t="s">
        <v>12</v>
      </c>
      <c r="B1760" s="3" t="s">
        <v>47</v>
      </c>
      <c r="D1760" s="3" t="str">
        <f>IFERROR(__xludf.DUMMYFUNCTION("GOOGLETRANSLATE(A1760, ""nl"", ""en"")"),"Nature and Elements")</f>
        <v>Nature and Elements</v>
      </c>
      <c r="E1760" s="3" t="str">
        <f>IFERROR(__xludf.DUMMYFUNCTION("GOOGLETRANSLATE(B1760, ""nl"", ""en"")"),"A desert landscape that slowly changes")</f>
        <v>A desert landscape that slowly changes</v>
      </c>
    </row>
    <row r="1761" ht="15.75" customHeight="1">
      <c r="A1761" s="3" t="s">
        <v>15</v>
      </c>
      <c r="B1761" s="3" t="s">
        <v>38</v>
      </c>
      <c r="D1761" s="3" t="str">
        <f>IFERROR(__xludf.DUMMYFUNCTION("GOOGLETRANSLATE(A1761, ""nl"", ""en"")"),"Animals and Organic Forms")</f>
        <v>Animals and Organic Forms</v>
      </c>
      <c r="E1761" s="3" t="str">
        <f>IFERROR(__xludf.DUMMYFUNCTION("GOOGLETRANSLATE(B1761, ""nl"", ""en"")"),"A lion with an open mouth")</f>
        <v>A lion with an open mouth</v>
      </c>
    </row>
    <row r="1762" ht="15.75" customHeight="1">
      <c r="A1762" s="3" t="s">
        <v>15</v>
      </c>
      <c r="B1762" s="3" t="s">
        <v>45</v>
      </c>
      <c r="D1762" s="3" t="str">
        <f>IFERROR(__xludf.DUMMYFUNCTION("GOOGLETRANSLATE(A1762, ""nl"", ""en"")"),"Animals and Organic Forms")</f>
        <v>Animals and Organic Forms</v>
      </c>
      <c r="E1762" s="3" t="str">
        <f>IFERROR(__xludf.DUMMYFUNCTION("GOOGLETRANSLATE(B1762, ""nl"", ""en"")"),"A snake biting its own tail")</f>
        <v>A snake biting its own tail</v>
      </c>
    </row>
    <row r="1763" ht="15.75" customHeight="1">
      <c r="A1763" s="3" t="s">
        <v>4</v>
      </c>
      <c r="B1763" s="3" t="s">
        <v>20</v>
      </c>
      <c r="D1763" s="3" t="str">
        <f>IFERROR(__xludf.DUMMYFUNCTION("GOOGLETRANSLATE(A1763, ""nl"", ""en"")"),"Architectural and Structural Associations")</f>
        <v>Architectural and Structural Associations</v>
      </c>
      <c r="E1763" s="3" t="str">
        <f>IFERROR(__xludf.DUMMYFUNCTION("GOOGLETRANSLATE(B1763, ""nl"", ""en"")"),"A tower that grows by itself")</f>
        <v>A tower that grows by itself</v>
      </c>
    </row>
    <row r="1764" ht="15.75" customHeight="1">
      <c r="A1764" s="3" t="s">
        <v>7</v>
      </c>
      <c r="B1764" s="3" t="s">
        <v>28</v>
      </c>
      <c r="D1764" s="3" t="str">
        <f>IFERROR(__xludf.DUMMYFUNCTION("GOOGLETRANSLATE(A1764, ""nl"", ""en"")"),"Human Figures and Physicality")</f>
        <v>Human Figures and Physicality</v>
      </c>
      <c r="E1764" s="3" t="str">
        <f>IFERROR(__xludf.DUMMYFUNCTION("GOOGLETRANSLATE(B1764, ""nl"", ""en"")"),"A dancing silhouette")</f>
        <v>A dancing silhouette</v>
      </c>
    </row>
    <row r="1765" ht="15.75" customHeight="1">
      <c r="A1765" s="3" t="s">
        <v>24</v>
      </c>
      <c r="B1765" s="3" t="s">
        <v>29</v>
      </c>
      <c r="D1765" s="3" t="str">
        <f>IFERROR(__xludf.DUMMYFUNCTION("GOOGLETRANSLATE(A1765, ""nl"", ""en"")"),"Cosmic and Abstract Patterns")</f>
        <v>Cosmic and Abstract Patterns</v>
      </c>
      <c r="E1765" s="3" t="str">
        <f>IFERROR(__xludf.DUMMYFUNCTION("GOOGLETRANSLATE(B1765, ""nl"", ""en"")"),"A galaxy unfolding")</f>
        <v>A galaxy unfolding</v>
      </c>
    </row>
    <row r="1766" ht="15.75" customHeight="1">
      <c r="A1766" s="3" t="s">
        <v>9</v>
      </c>
      <c r="B1766" s="3" t="s">
        <v>14</v>
      </c>
      <c r="D1766" s="3" t="str">
        <f>IFERROR(__xludf.DUMMYFUNCTION("GOOGLETRANSLATE(A1766, ""nl"", ""en"")"),"Psychological and Emotional Interpretations")</f>
        <v>Psychological and Emotional Interpretations</v>
      </c>
      <c r="E1766" s="3" t="str">
        <f>IFERROR(__xludf.DUMMYFUNCTION("GOOGLETRANSLATE(B1766, ""nl"", ""en"")"),"An unclear hug")</f>
        <v>An unclear hug</v>
      </c>
    </row>
    <row r="1767" ht="15.75" customHeight="1">
      <c r="A1767" s="3" t="s">
        <v>7</v>
      </c>
      <c r="B1767" s="3" t="s">
        <v>56</v>
      </c>
      <c r="D1767" s="3" t="str">
        <f>IFERROR(__xludf.DUMMYFUNCTION("GOOGLETRANSLATE(A1767, ""nl"", ""en"")"),"Human Figures and Physicality")</f>
        <v>Human Figures and Physicality</v>
      </c>
      <c r="E1767" s="3" t="str">
        <f>IFERROR(__xludf.DUMMYFUNCTION("GOOGLETRANSLATE(B1767, ""nl"", ""en"")"),"A shadow that seems to move")</f>
        <v>A shadow that seems to move</v>
      </c>
    </row>
    <row r="1768" ht="15.75" customHeight="1">
      <c r="A1768" s="3" t="s">
        <v>4</v>
      </c>
      <c r="B1768" s="3" t="s">
        <v>55</v>
      </c>
      <c r="D1768" s="3" t="str">
        <f>IFERROR(__xludf.DUMMYFUNCTION("GOOGLETRANSLATE(A1768, ""nl"", ""en"")"),"Architectural and Structural Associations")</f>
        <v>Architectural and Structural Associations</v>
      </c>
      <c r="E1768" s="3" t="str">
        <f>IFERROR(__xludf.DUMMYFUNCTION("GOOGLETRANSLATE(B1768, ""nl"", ""en"")"),"A prism that splits light into colors")</f>
        <v>A prism that splits light into colors</v>
      </c>
    </row>
    <row r="1769" ht="15.75" customHeight="1">
      <c r="A1769" s="3" t="s">
        <v>9</v>
      </c>
      <c r="B1769" s="3" t="s">
        <v>42</v>
      </c>
      <c r="D1769" s="3" t="str">
        <f>IFERROR(__xludf.DUMMYFUNCTION("GOOGLETRANSLATE(A1769, ""nl"", ""en"")"),"Psychological and Emotional Interpretations")</f>
        <v>Psychological and Emotional Interpretations</v>
      </c>
      <c r="E1769" s="3" t="str">
        <f>IFERROR(__xludf.DUMMYFUNCTION("GOOGLETRANSLATE(B1769, ""nl"", ""en"")"),"A mask that slowly disappears")</f>
        <v>A mask that slowly disappears</v>
      </c>
    </row>
    <row r="1770" ht="15.75" customHeight="1">
      <c r="A1770" s="3" t="s">
        <v>4</v>
      </c>
      <c r="B1770" s="3" t="s">
        <v>55</v>
      </c>
      <c r="D1770" s="3" t="str">
        <f>IFERROR(__xludf.DUMMYFUNCTION("GOOGLETRANSLATE(A1770, ""nl"", ""en"")"),"Architectural and Structural Associations")</f>
        <v>Architectural and Structural Associations</v>
      </c>
      <c r="E1770" s="3" t="str">
        <f>IFERROR(__xludf.DUMMYFUNCTION("GOOGLETRANSLATE(B1770, ""nl"", ""en"")"),"A prism that splits light into colors")</f>
        <v>A prism that splits light into colors</v>
      </c>
    </row>
    <row r="1771" ht="15.75" customHeight="1">
      <c r="A1771" s="3" t="s">
        <v>7</v>
      </c>
      <c r="B1771" s="3" t="s">
        <v>8</v>
      </c>
      <c r="D1771" s="3" t="str">
        <f>IFERROR(__xludf.DUMMYFUNCTION("GOOGLETRANSLATE(A1771, ""nl"", ""en"")"),"Human Figures and Physicality")</f>
        <v>Human Figures and Physicality</v>
      </c>
      <c r="E1771" s="3" t="str">
        <f>IFERROR(__xludf.DUMMYFUNCTION("GOOGLETRANSLATE(B1771, ""nl"", ""en"")"),"Two figures mirroring each other")</f>
        <v>Two figures mirroring each other</v>
      </c>
    </row>
    <row r="1772" ht="15.75" customHeight="1">
      <c r="A1772" s="3" t="s">
        <v>9</v>
      </c>
      <c r="B1772" s="3" t="s">
        <v>10</v>
      </c>
      <c r="D1772" s="3" t="str">
        <f>IFERROR(__xludf.DUMMYFUNCTION("GOOGLETRANSLATE(A1772, ""nl"", ""en"")"),"Psychological and Emotional Interpretations")</f>
        <v>Psychological and Emotional Interpretations</v>
      </c>
      <c r="E1772" s="3" t="str">
        <f>IFERROR(__xludf.DUMMYFUNCTION("GOOGLETRANSLATE(B1772, ""nl"", ""en"")"),"A face transforming in light")</f>
        <v>A face transforming in light</v>
      </c>
    </row>
    <row r="1773" ht="15.75" customHeight="1">
      <c r="A1773" s="3" t="s">
        <v>4</v>
      </c>
      <c r="B1773" s="3" t="s">
        <v>35</v>
      </c>
      <c r="D1773" s="3" t="str">
        <f>IFERROR(__xludf.DUMMYFUNCTION("GOOGLETRANSLATE(A1773, ""nl"", ""en"")"),"Architectural and Structural Associations")</f>
        <v>Architectural and Structural Associations</v>
      </c>
      <c r="E1773" s="3" t="str">
        <f>IFERROR(__xludf.DUMMYFUNCTION("GOOGLETRANSLATE(B1773, ""nl"", ""en"")"),"A floating building without a base")</f>
        <v>A floating building without a base</v>
      </c>
    </row>
    <row r="1774" ht="15.75" customHeight="1">
      <c r="A1774" s="3" t="s">
        <v>7</v>
      </c>
      <c r="B1774" s="3" t="s">
        <v>56</v>
      </c>
      <c r="D1774" s="3" t="str">
        <f>IFERROR(__xludf.DUMMYFUNCTION("GOOGLETRANSLATE(A1774, ""nl"", ""en"")"),"Human Figures and Physicality")</f>
        <v>Human Figures and Physicality</v>
      </c>
      <c r="E1774" s="3" t="str">
        <f>IFERROR(__xludf.DUMMYFUNCTION("GOOGLETRANSLATE(B1774, ""nl"", ""en"")"),"A shadow that seems to move")</f>
        <v>A shadow that seems to move</v>
      </c>
    </row>
    <row r="1775" ht="15.75" customHeight="1">
      <c r="A1775" s="3" t="s">
        <v>15</v>
      </c>
      <c r="B1775" s="3" t="s">
        <v>50</v>
      </c>
      <c r="D1775" s="3" t="str">
        <f>IFERROR(__xludf.DUMMYFUNCTION("GOOGLETRANSLATE(A1775, ""nl"", ""en"")"),"Animals and Organic Forms")</f>
        <v>Animals and Organic Forms</v>
      </c>
      <c r="E1775" s="3" t="str">
        <f>IFERROR(__xludf.DUMMYFUNCTION("GOOGLETRANSLATE(B1775, ""nl"", ""en"")"),"A squid with extended tentacles")</f>
        <v>A squid with extended tentacles</v>
      </c>
    </row>
    <row r="1776" ht="15.75" customHeight="1">
      <c r="A1776" s="3" t="s">
        <v>12</v>
      </c>
      <c r="B1776" s="3" t="s">
        <v>51</v>
      </c>
      <c r="D1776" s="3" t="str">
        <f>IFERROR(__xludf.DUMMYFUNCTION("GOOGLETRANSLATE(A1776, ""nl"", ""en"")"),"Nature and Elements")</f>
        <v>Nature and Elements</v>
      </c>
      <c r="E1776" s="3" t="str">
        <f>IFERROR(__xludf.DUMMYFUNCTION("GOOGLETRANSLATE(B1776, ""nl"", ""en"")"),"An evaporating puddle of water")</f>
        <v>An evaporating puddle of water</v>
      </c>
    </row>
    <row r="1777" ht="15.75" customHeight="1">
      <c r="A1777" s="3" t="s">
        <v>24</v>
      </c>
      <c r="B1777" s="3" t="s">
        <v>32</v>
      </c>
      <c r="D1777" s="3" t="str">
        <f>IFERROR(__xludf.DUMMYFUNCTION("GOOGLETRANSLATE(A1777, ""nl"", ""en"")"),"Cosmic and Abstract Patterns")</f>
        <v>Cosmic and Abstract Patterns</v>
      </c>
      <c r="E1777" s="3" t="str">
        <f>IFERROR(__xludf.DUMMYFUNCTION("GOOGLETRANSLATE(B1777, ""nl"", ""en"")"),"A time loop captured in image")</f>
        <v>A time loop captured in image</v>
      </c>
    </row>
    <row r="1778" ht="15.75" customHeight="1">
      <c r="A1778" s="3" t="s">
        <v>4</v>
      </c>
      <c r="B1778" s="3" t="s">
        <v>44</v>
      </c>
      <c r="D1778" s="3" t="str">
        <f>IFERROR(__xludf.DUMMYFUNCTION("GOOGLETRANSLATE(A1778, ""nl"", ""en"")"),"Architectural and Structural Associations")</f>
        <v>Architectural and Structural Associations</v>
      </c>
      <c r="E1778" s="3" t="str">
        <f>IFERROR(__xludf.DUMMYFUNCTION("GOOGLETRANSLATE(B1778, ""nl"", ""en"")"),"A structure that pulsates in waves")</f>
        <v>A structure that pulsates in waves</v>
      </c>
    </row>
    <row r="1779" ht="15.75" customHeight="1">
      <c r="A1779" s="3" t="s">
        <v>15</v>
      </c>
      <c r="B1779" s="3" t="s">
        <v>46</v>
      </c>
      <c r="D1779" s="3" t="str">
        <f>IFERROR(__xludf.DUMMYFUNCTION("GOOGLETRANSLATE(A1779, ""nl"", ""en"")"),"Animals and Organic Forms")</f>
        <v>Animals and Organic Forms</v>
      </c>
      <c r="E1779" s="3" t="str">
        <f>IFERROR(__xludf.DUMMYFUNCTION("GOOGLETRANSLATE(B1779, ""nl"", ""en"")"),"A flock of fish moving as one")</f>
        <v>A flock of fish moving as one</v>
      </c>
    </row>
    <row r="1780" ht="15.75" customHeight="1">
      <c r="A1780" s="3" t="s">
        <v>12</v>
      </c>
      <c r="B1780" s="3" t="s">
        <v>19</v>
      </c>
      <c r="D1780" s="3" t="str">
        <f>IFERROR(__xludf.DUMMYFUNCTION("GOOGLETRANSLATE(A1780, ""nl"", ""en"")"),"Nature and Elements")</f>
        <v>Nature and Elements</v>
      </c>
      <c r="E1780" s="3" t="str">
        <f>IFERROR(__xludf.DUMMYFUNCTION("GOOGLETRANSLATE(B1780, ""nl"", ""en"")"),"A mountain range that seems to breathe")</f>
        <v>A mountain range that seems to breathe</v>
      </c>
    </row>
    <row r="1781" ht="15.75" customHeight="1">
      <c r="A1781" s="3" t="s">
        <v>15</v>
      </c>
      <c r="B1781" s="3" t="s">
        <v>52</v>
      </c>
      <c r="D1781" s="3" t="str">
        <f>IFERROR(__xludf.DUMMYFUNCTION("GOOGLETRANSLATE(A1781, ""nl"", ""en"")"),"Animals and Organic Forms")</f>
        <v>Animals and Organic Forms</v>
      </c>
      <c r="E1781" s="3" t="str">
        <f>IFERROR(__xludf.DUMMYFUNCTION("GOOGLETRANSLATE(B1781, ""nl"", ""en"")"),"A mask made of leaves")</f>
        <v>A mask made of leaves</v>
      </c>
    </row>
    <row r="1782" ht="15.75" customHeight="1">
      <c r="A1782" s="3" t="s">
        <v>24</v>
      </c>
      <c r="B1782" s="3" t="s">
        <v>27</v>
      </c>
      <c r="D1782" s="3" t="str">
        <f>IFERROR(__xludf.DUMMYFUNCTION("GOOGLETRANSLATE(A1782, ""nl"", ""en"")"),"Cosmic and Abstract Patterns")</f>
        <v>Cosmic and Abstract Patterns</v>
      </c>
      <c r="E1782" s="3" t="str">
        <f>IFERROR(__xludf.DUMMYFUNCTION("GOOGLETRANSLATE(B1782, ""nl"", ""en"")"),"A pair of black holes in dance")</f>
        <v>A pair of black holes in dance</v>
      </c>
    </row>
    <row r="1783" ht="15.75" customHeight="1">
      <c r="A1783" s="3" t="s">
        <v>7</v>
      </c>
      <c r="B1783" s="3" t="s">
        <v>28</v>
      </c>
      <c r="D1783" s="3" t="str">
        <f>IFERROR(__xludf.DUMMYFUNCTION("GOOGLETRANSLATE(A1783, ""nl"", ""en"")"),"Human Figures and Physicality")</f>
        <v>Human Figures and Physicality</v>
      </c>
      <c r="E1783" s="3" t="str">
        <f>IFERROR(__xludf.DUMMYFUNCTION("GOOGLETRANSLATE(B1783, ""nl"", ""en"")"),"A dancing silhouette")</f>
        <v>A dancing silhouette</v>
      </c>
    </row>
    <row r="1784" ht="15.75" customHeight="1">
      <c r="A1784" s="3" t="s">
        <v>24</v>
      </c>
      <c r="B1784" s="3" t="s">
        <v>48</v>
      </c>
      <c r="D1784" s="3" t="str">
        <f>IFERROR(__xludf.DUMMYFUNCTION("GOOGLETRANSLATE(A1784, ""nl"", ""en"")"),"Cosmic and Abstract Patterns")</f>
        <v>Cosmic and Abstract Patterns</v>
      </c>
      <c r="E1784" s="3" t="str">
        <f>IFERROR(__xludf.DUMMYFUNCTION("GOOGLETRANSLATE(B1784, ""nl"", ""en"")"),"A fractal that repeats itself")</f>
        <v>A fractal that repeats itself</v>
      </c>
    </row>
    <row r="1785" ht="15.75" customHeight="1">
      <c r="A1785" s="3" t="s">
        <v>15</v>
      </c>
      <c r="B1785" s="3" t="s">
        <v>16</v>
      </c>
      <c r="D1785" s="3" t="str">
        <f>IFERROR(__xludf.DUMMYFUNCTION("GOOGLETRANSLATE(A1785, ""nl"", ""en"")"),"Animals and Organic Forms")</f>
        <v>Animals and Organic Forms</v>
      </c>
      <c r="E1785" s="3" t="str">
        <f>IFERROR(__xludf.DUMMYFUNCTION("GOOGLETRANSLATE(B1785, ""nl"", ""en"")"),"A butterfly in transformation")</f>
        <v>A butterfly in transformation</v>
      </c>
    </row>
    <row r="1786" ht="15.75" customHeight="1">
      <c r="A1786" s="3" t="s">
        <v>15</v>
      </c>
      <c r="B1786" s="3" t="s">
        <v>45</v>
      </c>
      <c r="D1786" s="3" t="str">
        <f>IFERROR(__xludf.DUMMYFUNCTION("GOOGLETRANSLATE(A1786, ""nl"", ""en"")"),"Animals and Organic Forms")</f>
        <v>Animals and Organic Forms</v>
      </c>
      <c r="E1786" s="3" t="str">
        <f>IFERROR(__xludf.DUMMYFUNCTION("GOOGLETRANSLATE(B1786, ""nl"", ""en"")"),"A snake biting its own tail")</f>
        <v>A snake biting its own tail</v>
      </c>
    </row>
    <row r="1787" ht="15.75" customHeight="1">
      <c r="A1787" s="3" t="s">
        <v>9</v>
      </c>
      <c r="B1787" s="3" t="s">
        <v>37</v>
      </c>
      <c r="D1787" s="3" t="str">
        <f>IFERROR(__xludf.DUMMYFUNCTION("GOOGLETRANSLATE(A1787, ""nl"", ""en"")"),"Psychological and Emotional Interpretations")</f>
        <v>Psychological and Emotional Interpretations</v>
      </c>
      <c r="E1787" s="3" t="str">
        <f>IFERROR(__xludf.DUMMYFUNCTION("GOOGLETRANSLATE(B1787, ""nl"", ""en"")"),"A figure looking through itself")</f>
        <v>A figure looking through itself</v>
      </c>
    </row>
    <row r="1788" ht="15.75" customHeight="1">
      <c r="A1788" s="3" t="s">
        <v>7</v>
      </c>
      <c r="B1788" s="3" t="s">
        <v>53</v>
      </c>
      <c r="D1788" s="3" t="str">
        <f>IFERROR(__xludf.DUMMYFUNCTION("GOOGLETRANSLATE(A1788, ""nl"", ""en"")"),"Human Figures and Physicality")</f>
        <v>Human Figures and Physicality</v>
      </c>
      <c r="E1788" s="3" t="str">
        <f>IFERROR(__xludf.DUMMYFUNCTION("GOOGLETRANSLATE(B1788, ""nl"", ""en"")"),"A face that both smiles and cries")</f>
        <v>A face that both smiles and cries</v>
      </c>
    </row>
    <row r="1789" ht="15.75" customHeight="1">
      <c r="A1789" s="3" t="s">
        <v>24</v>
      </c>
      <c r="B1789" s="3" t="s">
        <v>31</v>
      </c>
      <c r="D1789" s="3" t="str">
        <f>IFERROR(__xludf.DUMMYFUNCTION("GOOGLETRANSLATE(A1789, ""nl"", ""en"")"),"Cosmic and Abstract Patterns")</f>
        <v>Cosmic and Abstract Patterns</v>
      </c>
      <c r="E1789" s="3" t="str">
        <f>IFERROR(__xludf.DUMMYFUNCTION("GOOGLETRANSLATE(B1789, ""nl"", ""en"")"),"A planet with unusual rings")</f>
        <v>A planet with unusual rings</v>
      </c>
    </row>
    <row r="1790" ht="15.75" customHeight="1">
      <c r="A1790" s="3" t="s">
        <v>24</v>
      </c>
      <c r="B1790" s="3" t="s">
        <v>32</v>
      </c>
      <c r="D1790" s="3" t="str">
        <f>IFERROR(__xludf.DUMMYFUNCTION("GOOGLETRANSLATE(A1790, ""nl"", ""en"")"),"Cosmic and Abstract Patterns")</f>
        <v>Cosmic and Abstract Patterns</v>
      </c>
      <c r="E1790" s="3" t="str">
        <f>IFERROR(__xludf.DUMMYFUNCTION("GOOGLETRANSLATE(B1790, ""nl"", ""en"")"),"A time loop captured in image")</f>
        <v>A time loop captured in image</v>
      </c>
    </row>
    <row r="1791" ht="15.75" customHeight="1">
      <c r="A1791" s="3" t="s">
        <v>12</v>
      </c>
      <c r="B1791" s="3" t="s">
        <v>36</v>
      </c>
      <c r="D1791" s="3" t="str">
        <f>IFERROR(__xludf.DUMMYFUNCTION("GOOGLETRANSLATE(A1791, ""nl"", ""en"")"),"Nature and Elements")</f>
        <v>Nature and Elements</v>
      </c>
      <c r="E1791" s="3" t="str">
        <f>IFERROR(__xludf.DUMMYFUNCTION("GOOGLETRANSLATE(B1791, ""nl"", ""en"")"),"A river delta from a bird's-eye view")</f>
        <v>A river delta from a bird's-eye view</v>
      </c>
    </row>
    <row r="1792" ht="15.75" customHeight="1">
      <c r="A1792" s="3" t="s">
        <v>12</v>
      </c>
      <c r="B1792" s="3" t="s">
        <v>13</v>
      </c>
      <c r="D1792" s="3" t="str">
        <f>IFERROR(__xludf.DUMMYFUNCTION("GOOGLETRANSLATE(A1792, ""nl"", ""en"")"),"Nature and Elements")</f>
        <v>Nature and Elements</v>
      </c>
      <c r="E1792" s="3" t="str">
        <f>IFERROR(__xludf.DUMMYFUNCTION("GOOGLETRANSLATE(B1792, ""nl"", ""en"")"),"A lightning strike in slow motion")</f>
        <v>A lightning strike in slow motion</v>
      </c>
    </row>
    <row r="1793" ht="15.75" customHeight="1">
      <c r="A1793" s="3" t="s">
        <v>24</v>
      </c>
      <c r="B1793" s="3" t="s">
        <v>27</v>
      </c>
      <c r="D1793" s="3" t="str">
        <f>IFERROR(__xludf.DUMMYFUNCTION("GOOGLETRANSLATE(A1793, ""nl"", ""en"")"),"Cosmic and Abstract Patterns")</f>
        <v>Cosmic and Abstract Patterns</v>
      </c>
      <c r="E1793" s="3" t="str">
        <f>IFERROR(__xludf.DUMMYFUNCTION("GOOGLETRANSLATE(B1793, ""nl"", ""en"")"),"A pair of black holes in dance")</f>
        <v>A pair of black holes in dance</v>
      </c>
    </row>
    <row r="1794" ht="15.75" customHeight="1">
      <c r="A1794" s="3" t="s">
        <v>9</v>
      </c>
      <c r="B1794" s="3" t="s">
        <v>57</v>
      </c>
      <c r="D1794" s="3" t="str">
        <f>IFERROR(__xludf.DUMMYFUNCTION("GOOGLETRANSLATE(A1794, ""nl"", ""en"")"),"Psychological and Emotional Interpretations")</f>
        <v>Psychological and Emotional Interpretations</v>
      </c>
      <c r="E1794" s="3" t="str">
        <f>IFERROR(__xludf.DUMMYFUNCTION("GOOGLETRANSLATE(B1794, ""nl"", ""en"")"),"An explosion of colours and feelings")</f>
        <v>An explosion of colours and feelings</v>
      </c>
    </row>
    <row r="1795" ht="15.75" customHeight="1">
      <c r="A1795" s="3" t="s">
        <v>4</v>
      </c>
      <c r="B1795" s="3" t="s">
        <v>55</v>
      </c>
      <c r="D1795" s="3" t="str">
        <f>IFERROR(__xludf.DUMMYFUNCTION("GOOGLETRANSLATE(A1795, ""nl"", ""en"")"),"Architectural and Structural Associations")</f>
        <v>Architectural and Structural Associations</v>
      </c>
      <c r="E1795" s="3" t="str">
        <f>IFERROR(__xludf.DUMMYFUNCTION("GOOGLETRANSLATE(B1795, ""nl"", ""en"")"),"A prism that splits light into colors")</f>
        <v>A prism that splits light into colors</v>
      </c>
    </row>
    <row r="1796" ht="15.75" customHeight="1">
      <c r="A1796" s="3" t="s">
        <v>24</v>
      </c>
      <c r="B1796" s="3" t="s">
        <v>27</v>
      </c>
      <c r="D1796" s="3" t="str">
        <f>IFERROR(__xludf.DUMMYFUNCTION("GOOGLETRANSLATE(A1796, ""nl"", ""en"")"),"Cosmic and Abstract Patterns")</f>
        <v>Cosmic and Abstract Patterns</v>
      </c>
      <c r="E1796" s="3" t="str">
        <f>IFERROR(__xludf.DUMMYFUNCTION("GOOGLETRANSLATE(B1796, ""nl"", ""en"")"),"A pair of black holes in dance")</f>
        <v>A pair of black holes in dance</v>
      </c>
    </row>
    <row r="1797" ht="15.75" customHeight="1">
      <c r="A1797" s="3" t="s">
        <v>9</v>
      </c>
      <c r="B1797" s="3" t="s">
        <v>11</v>
      </c>
      <c r="D1797" s="3" t="str">
        <f>IFERROR(__xludf.DUMMYFUNCTION("GOOGLETRANSLATE(A1797, ""nl"", ""en"")"),"Psychological and Emotional Interpretations")</f>
        <v>Psychological and Emotional Interpretations</v>
      </c>
      <c r="E1797" s="3" t="str">
        <f>IFERROR(__xludf.DUMMYFUNCTION("GOOGLETRANSLATE(B1797, ""nl"", ""en"")"),"An emotion captured in abstraction")</f>
        <v>An emotion captured in abstraction</v>
      </c>
    </row>
    <row r="1798" ht="15.75" customHeight="1">
      <c r="A1798" s="3" t="s">
        <v>12</v>
      </c>
      <c r="B1798" s="3" t="s">
        <v>19</v>
      </c>
      <c r="D1798" s="3" t="str">
        <f>IFERROR(__xludf.DUMMYFUNCTION("GOOGLETRANSLATE(A1798, ""nl"", ""en"")"),"Nature and Elements")</f>
        <v>Nature and Elements</v>
      </c>
      <c r="E1798" s="3" t="str">
        <f>IFERROR(__xludf.DUMMYFUNCTION("GOOGLETRANSLATE(B1798, ""nl"", ""en"")"),"A mountain range that seems to breathe")</f>
        <v>A mountain range that seems to breathe</v>
      </c>
    </row>
    <row r="1799" ht="15.75" customHeight="1">
      <c r="A1799" s="3" t="s">
        <v>9</v>
      </c>
      <c r="B1799" s="3" t="s">
        <v>42</v>
      </c>
      <c r="D1799" s="3" t="str">
        <f>IFERROR(__xludf.DUMMYFUNCTION("GOOGLETRANSLATE(A1799, ""nl"", ""en"")"),"Psychological and Emotional Interpretations")</f>
        <v>Psychological and Emotional Interpretations</v>
      </c>
      <c r="E1799" s="3" t="str">
        <f>IFERROR(__xludf.DUMMYFUNCTION("GOOGLETRANSLATE(B1799, ""nl"", ""en"")"),"A mask that slowly disappears")</f>
        <v>A mask that slowly disappears</v>
      </c>
    </row>
    <row r="1800" ht="15.75" customHeight="1">
      <c r="A1800" s="3" t="s">
        <v>15</v>
      </c>
      <c r="B1800" s="3" t="s">
        <v>50</v>
      </c>
      <c r="D1800" s="3" t="str">
        <f>IFERROR(__xludf.DUMMYFUNCTION("GOOGLETRANSLATE(A1800, ""nl"", ""en"")"),"Animals and Organic Forms")</f>
        <v>Animals and Organic Forms</v>
      </c>
      <c r="E1800" s="3" t="str">
        <f>IFERROR(__xludf.DUMMYFUNCTION("GOOGLETRANSLATE(B1800, ""nl"", ""en"")"),"A squid with extended tentacles")</f>
        <v>A squid with extended tentacles</v>
      </c>
    </row>
    <row r="1801" ht="15.75" customHeight="1">
      <c r="A1801" s="3" t="s">
        <v>15</v>
      </c>
      <c r="B1801" s="3" t="s">
        <v>45</v>
      </c>
      <c r="D1801" s="3" t="str">
        <f>IFERROR(__xludf.DUMMYFUNCTION("GOOGLETRANSLATE(A1801, ""nl"", ""en"")"),"Animals and Organic Forms")</f>
        <v>Animals and Organic Forms</v>
      </c>
      <c r="E1801" s="3" t="str">
        <f>IFERROR(__xludf.DUMMYFUNCTION("GOOGLETRANSLATE(B1801, ""nl"", ""en"")"),"A snake biting its own tail")</f>
        <v>A snake biting its own tail</v>
      </c>
    </row>
    <row r="1802" ht="15.75" customHeight="1">
      <c r="A1802" s="3" t="s">
        <v>9</v>
      </c>
      <c r="B1802" s="3" t="s">
        <v>14</v>
      </c>
      <c r="D1802" s="3" t="str">
        <f>IFERROR(__xludf.DUMMYFUNCTION("GOOGLETRANSLATE(A1802, ""nl"", ""en"")"),"Psychological and Emotional Interpretations")</f>
        <v>Psychological and Emotional Interpretations</v>
      </c>
      <c r="E1802" s="3" t="str">
        <f>IFERROR(__xludf.DUMMYFUNCTION("GOOGLETRANSLATE(B1802, ""nl"", ""en"")"),"An unclear hug")</f>
        <v>An unclear hug</v>
      </c>
    </row>
    <row r="1803" ht="15.75" customHeight="1">
      <c r="A1803" s="3" t="s">
        <v>9</v>
      </c>
      <c r="B1803" s="3" t="s">
        <v>14</v>
      </c>
      <c r="D1803" s="3" t="str">
        <f>IFERROR(__xludf.DUMMYFUNCTION("GOOGLETRANSLATE(A1803, ""nl"", ""en"")"),"Psychological and Emotional Interpretations")</f>
        <v>Psychological and Emotional Interpretations</v>
      </c>
      <c r="E1803" s="3" t="str">
        <f>IFERROR(__xludf.DUMMYFUNCTION("GOOGLETRANSLATE(B1803, ""nl"", ""en"")"),"An unclear hug")</f>
        <v>An unclear hug</v>
      </c>
    </row>
    <row r="1804" ht="15.75" customHeight="1">
      <c r="A1804" s="3" t="s">
        <v>15</v>
      </c>
      <c r="B1804" s="3" t="s">
        <v>45</v>
      </c>
      <c r="D1804" s="3" t="str">
        <f>IFERROR(__xludf.DUMMYFUNCTION("GOOGLETRANSLATE(A1804, ""nl"", ""en"")"),"Animals and Organic Forms")</f>
        <v>Animals and Organic Forms</v>
      </c>
      <c r="E1804" s="3" t="str">
        <f>IFERROR(__xludf.DUMMYFUNCTION("GOOGLETRANSLATE(B1804, ""nl"", ""en"")"),"A snake biting its own tail")</f>
        <v>A snake biting its own tail</v>
      </c>
    </row>
    <row r="1805" ht="15.75" customHeight="1">
      <c r="A1805" s="3" t="s">
        <v>4</v>
      </c>
      <c r="B1805" s="3" t="s">
        <v>44</v>
      </c>
      <c r="D1805" s="3" t="str">
        <f>IFERROR(__xludf.DUMMYFUNCTION("GOOGLETRANSLATE(A1805, ""nl"", ""en"")"),"Architectural and Structural Associations")</f>
        <v>Architectural and Structural Associations</v>
      </c>
      <c r="E1805" s="3" t="str">
        <f>IFERROR(__xludf.DUMMYFUNCTION("GOOGLETRANSLATE(B1805, ""nl"", ""en"")"),"A structure that pulsates in waves")</f>
        <v>A structure that pulsates in waves</v>
      </c>
    </row>
    <row r="1806" ht="15.75" customHeight="1">
      <c r="A1806" s="3" t="s">
        <v>12</v>
      </c>
      <c r="B1806" s="3" t="s">
        <v>18</v>
      </c>
      <c r="D1806" s="3" t="str">
        <f>IFERROR(__xludf.DUMMYFUNCTION("GOOGLETRANSLATE(A1806, ""nl"", ""en"")"),"Nature and Elements")</f>
        <v>Nature and Elements</v>
      </c>
      <c r="E1806" s="3" t="str">
        <f>IFERROR(__xludf.DUMMYFUNCTION("GOOGLETRANSLATE(B1806, ""nl"", ""en"")"),"A tree with endless branches")</f>
        <v>A tree with endless branches</v>
      </c>
    </row>
    <row r="1807" ht="15.75" customHeight="1">
      <c r="A1807" s="3" t="s">
        <v>9</v>
      </c>
      <c r="B1807" s="3" t="s">
        <v>49</v>
      </c>
      <c r="D1807" s="3" t="str">
        <f>IFERROR(__xludf.DUMMYFUNCTION("GOOGLETRANSLATE(A1807, ""nl"", ""en"")"),"Psychological and Emotional Interpretations")</f>
        <v>Psychological and Emotional Interpretations</v>
      </c>
      <c r="E1807" s="3" t="str">
        <f>IFERROR(__xludf.DUMMYFUNCTION("GOOGLETRANSLATE(B1807, ""nl"", ""en"")"),"A spiral that turns inward")</f>
        <v>A spiral that turns inward</v>
      </c>
    </row>
    <row r="1808" ht="15.75" customHeight="1">
      <c r="A1808" s="3" t="s">
        <v>4</v>
      </c>
      <c r="B1808" s="3" t="s">
        <v>44</v>
      </c>
      <c r="D1808" s="3" t="str">
        <f>IFERROR(__xludf.DUMMYFUNCTION("GOOGLETRANSLATE(A1808, ""nl"", ""en"")"),"Architectural and Structural Associations")</f>
        <v>Architectural and Structural Associations</v>
      </c>
      <c r="E1808" s="3" t="str">
        <f>IFERROR(__xludf.DUMMYFUNCTION("GOOGLETRANSLATE(B1808, ""nl"", ""en"")"),"A structure that pulsates in waves")</f>
        <v>A structure that pulsates in waves</v>
      </c>
    </row>
    <row r="1809" ht="15.75" customHeight="1">
      <c r="A1809" s="3" t="s">
        <v>4</v>
      </c>
      <c r="B1809" s="3" t="s">
        <v>6</v>
      </c>
      <c r="D1809" s="3" t="str">
        <f>IFERROR(__xludf.DUMMYFUNCTION("GOOGLETRANSLATE(A1809, ""nl"", ""en"")"),"Architectural and Structural Associations")</f>
        <v>Architectural and Structural Associations</v>
      </c>
      <c r="E1809" s="3" t="str">
        <f>IFERROR(__xludf.DUMMYFUNCTION("GOOGLETRANSLATE(B1809, ""nl"", ""en"")"),"An endless labyrinth")</f>
        <v>An endless labyrinth</v>
      </c>
    </row>
    <row r="1810" ht="15.75" customHeight="1">
      <c r="A1810" s="3" t="s">
        <v>15</v>
      </c>
      <c r="B1810" s="3" t="s">
        <v>38</v>
      </c>
      <c r="D1810" s="3" t="str">
        <f>IFERROR(__xludf.DUMMYFUNCTION("GOOGLETRANSLATE(A1810, ""nl"", ""en"")"),"Animals and Organic Forms")</f>
        <v>Animals and Organic Forms</v>
      </c>
      <c r="E1810" s="3" t="str">
        <f>IFERROR(__xludf.DUMMYFUNCTION("GOOGLETRANSLATE(B1810, ""nl"", ""en"")"),"A lion with an open mouth")</f>
        <v>A lion with an open mouth</v>
      </c>
    </row>
    <row r="1811" ht="15.75" customHeight="1">
      <c r="A1811" s="3" t="s">
        <v>15</v>
      </c>
      <c r="B1811" s="3" t="s">
        <v>45</v>
      </c>
      <c r="D1811" s="3" t="str">
        <f>IFERROR(__xludf.DUMMYFUNCTION("GOOGLETRANSLATE(A1811, ""nl"", ""en"")"),"Animals and Organic Forms")</f>
        <v>Animals and Organic Forms</v>
      </c>
      <c r="E1811" s="3" t="str">
        <f>IFERROR(__xludf.DUMMYFUNCTION("GOOGLETRANSLATE(B1811, ""nl"", ""en"")"),"A snake biting its own tail")</f>
        <v>A snake biting its own tail</v>
      </c>
    </row>
    <row r="1812" ht="15.75" customHeight="1">
      <c r="A1812" s="3" t="s">
        <v>24</v>
      </c>
      <c r="B1812" s="3" t="s">
        <v>33</v>
      </c>
      <c r="D1812" s="3" t="str">
        <f>IFERROR(__xludf.DUMMYFUNCTION("GOOGLETRANSLATE(A1812, ""nl"", ""en"")"),"Cosmic and Abstract Patterns")</f>
        <v>Cosmic and Abstract Patterns</v>
      </c>
      <c r="E1812" s="3" t="str">
        <f>IFERROR(__xludf.DUMMYFUNCTION("GOOGLETRANSLATE(B1812, ""nl"", ""en"")"),"An eye that repeats itself in endless patterns")</f>
        <v>An eye that repeats itself in endless patterns</v>
      </c>
    </row>
    <row r="1813" ht="15.75" customHeight="1">
      <c r="A1813" s="3" t="s">
        <v>12</v>
      </c>
      <c r="B1813" s="3" t="s">
        <v>30</v>
      </c>
      <c r="D1813" s="3" t="str">
        <f>IFERROR(__xludf.DUMMYFUNCTION("GOOGLETRANSLATE(A1813, ""nl"", ""en"")"),"Nature and Elements")</f>
        <v>Nature and Elements</v>
      </c>
      <c r="E1813" s="3" t="str">
        <f>IFERROR(__xludf.DUMMYFUNCTION("GOOGLETRANSLATE(B1813, ""nl"", ""en"")"),"Waves breaking in fractal patterns")</f>
        <v>Waves breaking in fractal patterns</v>
      </c>
    </row>
    <row r="1814" ht="15.75" customHeight="1">
      <c r="A1814" s="3" t="s">
        <v>7</v>
      </c>
      <c r="B1814" s="3" t="s">
        <v>28</v>
      </c>
      <c r="D1814" s="3" t="str">
        <f>IFERROR(__xludf.DUMMYFUNCTION("GOOGLETRANSLATE(A1814, ""nl"", ""en"")"),"Human Figures and Physicality")</f>
        <v>Human Figures and Physicality</v>
      </c>
      <c r="E1814" s="3" t="str">
        <f>IFERROR(__xludf.DUMMYFUNCTION("GOOGLETRANSLATE(B1814, ""nl"", ""en"")"),"A dancing silhouette")</f>
        <v>A dancing silhouette</v>
      </c>
    </row>
    <row r="1815" ht="15.75" customHeight="1">
      <c r="A1815" s="3" t="s">
        <v>24</v>
      </c>
      <c r="B1815" s="3" t="s">
        <v>31</v>
      </c>
      <c r="D1815" s="3" t="str">
        <f>IFERROR(__xludf.DUMMYFUNCTION("GOOGLETRANSLATE(A1815, ""nl"", ""en"")"),"Cosmic and Abstract Patterns")</f>
        <v>Cosmic and Abstract Patterns</v>
      </c>
      <c r="E1815" s="3" t="str">
        <f>IFERROR(__xludf.DUMMYFUNCTION("GOOGLETRANSLATE(B1815, ""nl"", ""en"")"),"A planet with unusual rings")</f>
        <v>A planet with unusual rings</v>
      </c>
    </row>
    <row r="1816" ht="15.75" customHeight="1">
      <c r="A1816" s="3" t="s">
        <v>4</v>
      </c>
      <c r="B1816" s="3" t="s">
        <v>44</v>
      </c>
      <c r="D1816" s="3" t="str">
        <f>IFERROR(__xludf.DUMMYFUNCTION("GOOGLETRANSLATE(A1816, ""nl"", ""en"")"),"Architectural and Structural Associations")</f>
        <v>Architectural and Structural Associations</v>
      </c>
      <c r="E1816" s="3" t="str">
        <f>IFERROR(__xludf.DUMMYFUNCTION("GOOGLETRANSLATE(B1816, ""nl"", ""en"")"),"A structure that pulsates in waves")</f>
        <v>A structure that pulsates in waves</v>
      </c>
    </row>
    <row r="1817" ht="15.75" customHeight="1">
      <c r="A1817" s="3" t="s">
        <v>12</v>
      </c>
      <c r="B1817" s="3" t="s">
        <v>51</v>
      </c>
      <c r="D1817" s="3" t="str">
        <f>IFERROR(__xludf.DUMMYFUNCTION("GOOGLETRANSLATE(A1817, ""nl"", ""en"")"),"Nature and Elements")</f>
        <v>Nature and Elements</v>
      </c>
      <c r="E1817" s="3" t="str">
        <f>IFERROR(__xludf.DUMMYFUNCTION("GOOGLETRANSLATE(B1817, ""nl"", ""en"")"),"An evaporating puddle of water")</f>
        <v>An evaporating puddle of water</v>
      </c>
    </row>
    <row r="1818" ht="15.75" customHeight="1">
      <c r="A1818" s="3" t="s">
        <v>12</v>
      </c>
      <c r="B1818" s="3" t="s">
        <v>51</v>
      </c>
      <c r="D1818" s="3" t="str">
        <f>IFERROR(__xludf.DUMMYFUNCTION("GOOGLETRANSLATE(A1818, ""nl"", ""en"")"),"Nature and Elements")</f>
        <v>Nature and Elements</v>
      </c>
      <c r="E1818" s="3" t="str">
        <f>IFERROR(__xludf.DUMMYFUNCTION("GOOGLETRANSLATE(B1818, ""nl"", ""en"")"),"An evaporating puddle of water")</f>
        <v>An evaporating puddle of water</v>
      </c>
    </row>
    <row r="1819" ht="15.75" customHeight="1">
      <c r="A1819" s="3" t="s">
        <v>4</v>
      </c>
      <c r="B1819" s="3" t="s">
        <v>20</v>
      </c>
      <c r="D1819" s="3" t="str">
        <f>IFERROR(__xludf.DUMMYFUNCTION("GOOGLETRANSLATE(A1819, ""nl"", ""en"")"),"Architectural and Structural Associations")</f>
        <v>Architectural and Structural Associations</v>
      </c>
      <c r="E1819" s="3" t="str">
        <f>IFERROR(__xludf.DUMMYFUNCTION("GOOGLETRANSLATE(B1819, ""nl"", ""en"")"),"A tower that grows by itself")</f>
        <v>A tower that grows by itself</v>
      </c>
    </row>
    <row r="1820" ht="15.75" customHeight="1">
      <c r="A1820" s="3" t="s">
        <v>4</v>
      </c>
      <c r="B1820" s="3" t="s">
        <v>5</v>
      </c>
      <c r="D1820" s="3" t="str">
        <f>IFERROR(__xludf.DUMMYFUNCTION("GOOGLETRANSLATE(A1820, ""nl"", ""en"")"),"Architectural and Structural Associations")</f>
        <v>Architectural and Structural Associations</v>
      </c>
      <c r="E1820" s="3" t="str">
        <f>IFERROR(__xludf.DUMMYFUNCTION("GOOGLETRANSLATE(B1820, ""nl"", ""en"")"),"A cathedral shaped from mist")</f>
        <v>A cathedral shaped from mist</v>
      </c>
    </row>
    <row r="1821" ht="15.75" customHeight="1">
      <c r="A1821" s="3" t="s">
        <v>12</v>
      </c>
      <c r="B1821" s="3" t="s">
        <v>18</v>
      </c>
      <c r="D1821" s="3" t="str">
        <f>IFERROR(__xludf.DUMMYFUNCTION("GOOGLETRANSLATE(A1821, ""nl"", ""en"")"),"Nature and Elements")</f>
        <v>Nature and Elements</v>
      </c>
      <c r="E1821" s="3" t="str">
        <f>IFERROR(__xludf.DUMMYFUNCTION("GOOGLETRANSLATE(B1821, ""nl"", ""en"")"),"A tree with endless branches")</f>
        <v>A tree with endless branches</v>
      </c>
    </row>
    <row r="1822" ht="15.75" customHeight="1">
      <c r="A1822" s="3" t="s">
        <v>24</v>
      </c>
      <c r="B1822" s="3" t="s">
        <v>25</v>
      </c>
      <c r="D1822" s="3" t="str">
        <f>IFERROR(__xludf.DUMMYFUNCTION("GOOGLETRANSLATE(A1822, ""nl"", ""en"")"),"Cosmic and Abstract Patterns")</f>
        <v>Cosmic and Abstract Patterns</v>
      </c>
      <c r="E1822" s="3" t="str">
        <f>IFERROR(__xludf.DUMMYFUNCTION("GOOGLETRANSLATE(B1822, ""nl"", ""en"")"),"A meteor shower dissolving into each other")</f>
        <v>A meteor shower dissolving into each other</v>
      </c>
    </row>
    <row r="1823" ht="15.75" customHeight="1">
      <c r="A1823" s="3" t="s">
        <v>7</v>
      </c>
      <c r="B1823" s="3" t="s">
        <v>28</v>
      </c>
      <c r="D1823" s="3" t="str">
        <f>IFERROR(__xludf.DUMMYFUNCTION("GOOGLETRANSLATE(A1823, ""nl"", ""en"")"),"Human Figures and Physicality")</f>
        <v>Human Figures and Physicality</v>
      </c>
      <c r="E1823" s="3" t="str">
        <f>IFERROR(__xludf.DUMMYFUNCTION("GOOGLETRANSLATE(B1823, ""nl"", ""en"")"),"A dancing silhouette")</f>
        <v>A dancing silhouette</v>
      </c>
    </row>
    <row r="1824" ht="15.75" customHeight="1">
      <c r="A1824" s="3" t="s">
        <v>12</v>
      </c>
      <c r="B1824" s="3" t="s">
        <v>47</v>
      </c>
      <c r="D1824" s="3" t="str">
        <f>IFERROR(__xludf.DUMMYFUNCTION("GOOGLETRANSLATE(A1824, ""nl"", ""en"")"),"Nature and Elements")</f>
        <v>Nature and Elements</v>
      </c>
      <c r="E1824" s="3" t="str">
        <f>IFERROR(__xludf.DUMMYFUNCTION("GOOGLETRANSLATE(B1824, ""nl"", ""en"")"),"A desert landscape that slowly changes")</f>
        <v>A desert landscape that slowly changes</v>
      </c>
    </row>
    <row r="1825" ht="15.75" customHeight="1">
      <c r="A1825" s="3" t="s">
        <v>4</v>
      </c>
      <c r="B1825" s="3" t="s">
        <v>43</v>
      </c>
      <c r="D1825" s="3" t="str">
        <f>IFERROR(__xludf.DUMMYFUNCTION("GOOGLETRANSLATE(A1825, ""nl"", ""en"")"),"Architectural and Structural Associations")</f>
        <v>Architectural and Structural Associations</v>
      </c>
      <c r="E1825" s="3" t="str">
        <f>IFERROR(__xludf.DUMMYFUNCTION("GOOGLETRANSLATE(B1825, ""nl"", ""en"")"),"A network of tunnels and passages")</f>
        <v>A network of tunnels and passages</v>
      </c>
    </row>
    <row r="1826" ht="15.75" customHeight="1">
      <c r="A1826" s="3" t="s">
        <v>9</v>
      </c>
      <c r="B1826" s="3" t="s">
        <v>37</v>
      </c>
      <c r="D1826" s="3" t="str">
        <f>IFERROR(__xludf.DUMMYFUNCTION("GOOGLETRANSLATE(A1826, ""nl"", ""en"")"),"Psychological and Emotional Interpretations")</f>
        <v>Psychological and Emotional Interpretations</v>
      </c>
      <c r="E1826" s="3" t="str">
        <f>IFERROR(__xludf.DUMMYFUNCTION("GOOGLETRANSLATE(B1826, ""nl"", ""en"")"),"A figure looking through itself")</f>
        <v>A figure looking through itself</v>
      </c>
    </row>
    <row r="1827" ht="15.75" customHeight="1">
      <c r="A1827" s="3" t="s">
        <v>4</v>
      </c>
      <c r="B1827" s="3" t="s">
        <v>44</v>
      </c>
      <c r="D1827" s="3" t="str">
        <f>IFERROR(__xludf.DUMMYFUNCTION("GOOGLETRANSLATE(A1827, ""nl"", ""en"")"),"Architectural and Structural Associations")</f>
        <v>Architectural and Structural Associations</v>
      </c>
      <c r="E1827" s="3" t="str">
        <f>IFERROR(__xludf.DUMMYFUNCTION("GOOGLETRANSLATE(B1827, ""nl"", ""en"")"),"A structure that pulsates in waves")</f>
        <v>A structure that pulsates in waves</v>
      </c>
    </row>
    <row r="1828" ht="15.75" customHeight="1">
      <c r="A1828" s="3" t="s">
        <v>24</v>
      </c>
      <c r="B1828" s="3" t="s">
        <v>32</v>
      </c>
      <c r="D1828" s="3" t="str">
        <f>IFERROR(__xludf.DUMMYFUNCTION("GOOGLETRANSLATE(A1828, ""nl"", ""en"")"),"Cosmic and Abstract Patterns")</f>
        <v>Cosmic and Abstract Patterns</v>
      </c>
      <c r="E1828" s="3" t="str">
        <f>IFERROR(__xludf.DUMMYFUNCTION("GOOGLETRANSLATE(B1828, ""nl"", ""en"")"),"A time loop captured in image")</f>
        <v>A time loop captured in image</v>
      </c>
    </row>
    <row r="1829" ht="15.75" customHeight="1">
      <c r="A1829" s="3" t="s">
        <v>24</v>
      </c>
      <c r="B1829" s="3" t="s">
        <v>54</v>
      </c>
      <c r="D1829" s="3" t="str">
        <f>IFERROR(__xludf.DUMMYFUNCTION("GOOGLETRANSLATE(A1829, ""nl"", ""en"")"),"Cosmic and Abstract Patterns")</f>
        <v>Cosmic and Abstract Patterns</v>
      </c>
      <c r="E1829" s="3" t="str">
        <f>IFERROR(__xludf.DUMMYFUNCTION("GOOGLETRANSLATE(B1829, ""nl"", ""en"")"),"A quantum particle in superposition")</f>
        <v>A quantum particle in superposition</v>
      </c>
    </row>
    <row r="1830" ht="15.75" customHeight="1">
      <c r="A1830" s="3" t="s">
        <v>4</v>
      </c>
      <c r="B1830" s="3" t="s">
        <v>6</v>
      </c>
      <c r="D1830" s="3" t="str">
        <f>IFERROR(__xludf.DUMMYFUNCTION("GOOGLETRANSLATE(A1830, ""nl"", ""en"")"),"Architectural and Structural Associations")</f>
        <v>Architectural and Structural Associations</v>
      </c>
      <c r="E1830" s="3" t="str">
        <f>IFERROR(__xludf.DUMMYFUNCTION("GOOGLETRANSLATE(B1830, ""nl"", ""en"")"),"An endless labyrinth")</f>
        <v>An endless labyrinth</v>
      </c>
    </row>
    <row r="1831" ht="15.75" customHeight="1">
      <c r="A1831" s="3" t="s">
        <v>12</v>
      </c>
      <c r="B1831" s="3" t="s">
        <v>47</v>
      </c>
      <c r="D1831" s="3" t="str">
        <f>IFERROR(__xludf.DUMMYFUNCTION("GOOGLETRANSLATE(A1831, ""nl"", ""en"")"),"Nature and Elements")</f>
        <v>Nature and Elements</v>
      </c>
      <c r="E1831" s="3" t="str">
        <f>IFERROR(__xludf.DUMMYFUNCTION("GOOGLETRANSLATE(B1831, ""nl"", ""en"")"),"A desert landscape that slowly changes")</f>
        <v>A desert landscape that slowly changes</v>
      </c>
    </row>
    <row r="1832" ht="15.75" customHeight="1">
      <c r="A1832" s="3" t="s">
        <v>4</v>
      </c>
      <c r="B1832" s="3" t="s">
        <v>21</v>
      </c>
      <c r="D1832" s="3" t="str">
        <f>IFERROR(__xludf.DUMMYFUNCTION("GOOGLETRANSLATE(A1832, ""nl"", ""en"")"),"Architectural and Structural Associations")</f>
        <v>Architectural and Structural Associations</v>
      </c>
      <c r="E1832" s="3" t="str">
        <f>IFERROR(__xludf.DUMMYFUNCTION("GOOGLETRANSLATE(B1832, ""nl"", ""en"")"),"A bridge that leads nowhere")</f>
        <v>A bridge that leads nowhere</v>
      </c>
    </row>
    <row r="1833" ht="15.75" customHeight="1">
      <c r="A1833" s="3" t="s">
        <v>24</v>
      </c>
      <c r="B1833" s="3" t="s">
        <v>31</v>
      </c>
      <c r="D1833" s="3" t="str">
        <f>IFERROR(__xludf.DUMMYFUNCTION("GOOGLETRANSLATE(A1833, ""nl"", ""en"")"),"Cosmic and Abstract Patterns")</f>
        <v>Cosmic and Abstract Patterns</v>
      </c>
      <c r="E1833" s="3" t="str">
        <f>IFERROR(__xludf.DUMMYFUNCTION("GOOGLETRANSLATE(B1833, ""nl"", ""en"")"),"A planet with unusual rings")</f>
        <v>A planet with unusual rings</v>
      </c>
    </row>
    <row r="1834" ht="15.75" customHeight="1">
      <c r="A1834" s="3" t="s">
        <v>24</v>
      </c>
      <c r="B1834" s="3" t="s">
        <v>25</v>
      </c>
      <c r="D1834" s="3" t="str">
        <f>IFERROR(__xludf.DUMMYFUNCTION("GOOGLETRANSLATE(A1834, ""nl"", ""en"")"),"Cosmic and Abstract Patterns")</f>
        <v>Cosmic and Abstract Patterns</v>
      </c>
      <c r="E1834" s="3" t="str">
        <f>IFERROR(__xludf.DUMMYFUNCTION("GOOGLETRANSLATE(B1834, ""nl"", ""en"")"),"A meteor shower dissolving into each other")</f>
        <v>A meteor shower dissolving into each other</v>
      </c>
    </row>
    <row r="1835" ht="15.75" customHeight="1">
      <c r="A1835" s="3" t="s">
        <v>4</v>
      </c>
      <c r="B1835" s="3" t="s">
        <v>5</v>
      </c>
      <c r="D1835" s="3" t="str">
        <f>IFERROR(__xludf.DUMMYFUNCTION("GOOGLETRANSLATE(A1835, ""nl"", ""en"")"),"Architectural and Structural Associations")</f>
        <v>Architectural and Structural Associations</v>
      </c>
      <c r="E1835" s="3" t="str">
        <f>IFERROR(__xludf.DUMMYFUNCTION("GOOGLETRANSLATE(B1835, ""nl"", ""en"")"),"A cathedral shaped from mist")</f>
        <v>A cathedral shaped from mist</v>
      </c>
    </row>
    <row r="1836" ht="15.75" customHeight="1">
      <c r="A1836" s="3" t="s">
        <v>9</v>
      </c>
      <c r="B1836" s="3" t="s">
        <v>10</v>
      </c>
      <c r="D1836" s="3" t="str">
        <f>IFERROR(__xludf.DUMMYFUNCTION("GOOGLETRANSLATE(A1836, ""nl"", ""en"")"),"Psychological and Emotional Interpretations")</f>
        <v>Psychological and Emotional Interpretations</v>
      </c>
      <c r="E1836" s="3" t="str">
        <f>IFERROR(__xludf.DUMMYFUNCTION("GOOGLETRANSLATE(B1836, ""nl"", ""en"")"),"A face transforming in light")</f>
        <v>A face transforming in light</v>
      </c>
    </row>
    <row r="1837" ht="15.75" customHeight="1">
      <c r="A1837" s="3" t="s">
        <v>7</v>
      </c>
      <c r="B1837" s="3" t="s">
        <v>28</v>
      </c>
      <c r="D1837" s="3" t="str">
        <f>IFERROR(__xludf.DUMMYFUNCTION("GOOGLETRANSLATE(A1837, ""nl"", ""en"")"),"Human Figures and Physicality")</f>
        <v>Human Figures and Physicality</v>
      </c>
      <c r="E1837" s="3" t="str">
        <f>IFERROR(__xludf.DUMMYFUNCTION("GOOGLETRANSLATE(B1837, ""nl"", ""en"")"),"A dancing silhouette")</f>
        <v>A dancing silhouette</v>
      </c>
    </row>
    <row r="1838" ht="15.75" customHeight="1">
      <c r="A1838" s="3" t="s">
        <v>12</v>
      </c>
      <c r="B1838" s="3" t="s">
        <v>13</v>
      </c>
      <c r="D1838" s="3" t="str">
        <f>IFERROR(__xludf.DUMMYFUNCTION("GOOGLETRANSLATE(A1838, ""nl"", ""en"")"),"Nature and Elements")</f>
        <v>Nature and Elements</v>
      </c>
      <c r="E1838" s="3" t="str">
        <f>IFERROR(__xludf.DUMMYFUNCTION("GOOGLETRANSLATE(B1838, ""nl"", ""en"")"),"A lightning strike in slow motion")</f>
        <v>A lightning strike in slow motion</v>
      </c>
    </row>
    <row r="1839" ht="15.75" customHeight="1">
      <c r="A1839" s="3" t="s">
        <v>12</v>
      </c>
      <c r="B1839" s="3" t="s">
        <v>19</v>
      </c>
      <c r="D1839" s="3" t="str">
        <f>IFERROR(__xludf.DUMMYFUNCTION("GOOGLETRANSLATE(A1839, ""nl"", ""en"")"),"Nature and Elements")</f>
        <v>Nature and Elements</v>
      </c>
      <c r="E1839" s="3" t="str">
        <f>IFERROR(__xludf.DUMMYFUNCTION("GOOGLETRANSLATE(B1839, ""nl"", ""en"")"),"A mountain range that seems to breathe")</f>
        <v>A mountain range that seems to breathe</v>
      </c>
    </row>
    <row r="1840" ht="15.75" customHeight="1">
      <c r="A1840" s="3" t="s">
        <v>12</v>
      </c>
      <c r="B1840" s="3" t="s">
        <v>51</v>
      </c>
      <c r="D1840" s="3" t="str">
        <f>IFERROR(__xludf.DUMMYFUNCTION("GOOGLETRANSLATE(A1840, ""nl"", ""en"")"),"Nature and Elements")</f>
        <v>Nature and Elements</v>
      </c>
      <c r="E1840" s="3" t="str">
        <f>IFERROR(__xludf.DUMMYFUNCTION("GOOGLETRANSLATE(B1840, ""nl"", ""en"")"),"An evaporating puddle of water")</f>
        <v>An evaporating puddle of water</v>
      </c>
    </row>
    <row r="1841" ht="15.75" customHeight="1">
      <c r="A1841" s="3" t="s">
        <v>24</v>
      </c>
      <c r="B1841" s="3" t="s">
        <v>25</v>
      </c>
      <c r="D1841" s="3" t="str">
        <f>IFERROR(__xludf.DUMMYFUNCTION("GOOGLETRANSLATE(A1841, ""nl"", ""en"")"),"Cosmic and Abstract Patterns")</f>
        <v>Cosmic and Abstract Patterns</v>
      </c>
      <c r="E1841" s="3" t="str">
        <f>IFERROR(__xludf.DUMMYFUNCTION("GOOGLETRANSLATE(B1841, ""nl"", ""en"")"),"A meteor shower dissolving into each other")</f>
        <v>A meteor shower dissolving into each other</v>
      </c>
    </row>
    <row r="1842" ht="15.75" customHeight="1">
      <c r="A1842" s="3" t="s">
        <v>7</v>
      </c>
      <c r="B1842" s="3" t="s">
        <v>8</v>
      </c>
      <c r="D1842" s="3" t="str">
        <f>IFERROR(__xludf.DUMMYFUNCTION("GOOGLETRANSLATE(A1842, ""nl"", ""en"")"),"Human Figures and Physicality")</f>
        <v>Human Figures and Physicality</v>
      </c>
      <c r="E1842" s="3" t="str">
        <f>IFERROR(__xludf.DUMMYFUNCTION("GOOGLETRANSLATE(B1842, ""nl"", ""en"")"),"Two figures mirroring each other")</f>
        <v>Two figures mirroring each other</v>
      </c>
    </row>
    <row r="1843" ht="15.75" customHeight="1">
      <c r="A1843" s="3" t="s">
        <v>9</v>
      </c>
      <c r="B1843" s="3" t="s">
        <v>17</v>
      </c>
      <c r="D1843" s="3" t="str">
        <f>IFERROR(__xludf.DUMMYFUNCTION("GOOGLETRANSLATE(A1843, ""nl"", ""en"")"),"Psychological and Emotional Interpretations")</f>
        <v>Psychological and Emotional Interpretations</v>
      </c>
      <c r="E1843" s="3" t="str">
        <f>IFERROR(__xludf.DUMMYFUNCTION("GOOGLETRANSLATE(B1843, ""nl"", ""en"")"),"A figure that seems to melt")</f>
        <v>A figure that seems to melt</v>
      </c>
    </row>
    <row r="1844" ht="15.75" customHeight="1">
      <c r="A1844" s="3" t="s">
        <v>12</v>
      </c>
      <c r="B1844" s="3" t="s">
        <v>47</v>
      </c>
      <c r="D1844" s="3" t="str">
        <f>IFERROR(__xludf.DUMMYFUNCTION("GOOGLETRANSLATE(A1844, ""nl"", ""en"")"),"Nature and Elements")</f>
        <v>Nature and Elements</v>
      </c>
      <c r="E1844" s="3" t="str">
        <f>IFERROR(__xludf.DUMMYFUNCTION("GOOGLETRANSLATE(B1844, ""nl"", ""en"")"),"A desert landscape that slowly changes")</f>
        <v>A desert landscape that slowly changes</v>
      </c>
    </row>
    <row r="1845" ht="15.75" customHeight="1">
      <c r="A1845" s="3" t="s">
        <v>7</v>
      </c>
      <c r="B1845" s="3" t="s">
        <v>8</v>
      </c>
      <c r="D1845" s="3" t="str">
        <f>IFERROR(__xludf.DUMMYFUNCTION("GOOGLETRANSLATE(A1845, ""nl"", ""en"")"),"Human Figures and Physicality")</f>
        <v>Human Figures and Physicality</v>
      </c>
      <c r="E1845" s="3" t="str">
        <f>IFERROR(__xludf.DUMMYFUNCTION("GOOGLETRANSLATE(B1845, ""nl"", ""en"")"),"Two figures mirroring each other")</f>
        <v>Two figures mirroring each other</v>
      </c>
    </row>
    <row r="1846" ht="15.75" customHeight="1">
      <c r="A1846" s="3" t="s">
        <v>15</v>
      </c>
      <c r="B1846" s="3" t="s">
        <v>22</v>
      </c>
      <c r="D1846" s="3" t="str">
        <f>IFERROR(__xludf.DUMMYFUNCTION("GOOGLETRANSLATE(A1846, ""nl"", ""en"")"),"Animals and Organic Forms")</f>
        <v>Animals and Organic Forms</v>
      </c>
      <c r="E1846" s="3" t="str">
        <f>IFERROR(__xludf.DUMMYFUNCTION("GOOGLETRANSLATE(B1846, ""nl"", ""en"")"),"A bird taking off")</f>
        <v>A bird taking off</v>
      </c>
    </row>
    <row r="1847" ht="15.75" customHeight="1">
      <c r="A1847" s="3" t="s">
        <v>9</v>
      </c>
      <c r="B1847" s="3" t="s">
        <v>37</v>
      </c>
      <c r="D1847" s="3" t="str">
        <f>IFERROR(__xludf.DUMMYFUNCTION("GOOGLETRANSLATE(A1847, ""nl"", ""en"")"),"Psychological and Emotional Interpretations")</f>
        <v>Psychological and Emotional Interpretations</v>
      </c>
      <c r="E1847" s="3" t="str">
        <f>IFERROR(__xludf.DUMMYFUNCTION("GOOGLETRANSLATE(B1847, ""nl"", ""en"")"),"A figure looking through itself")</f>
        <v>A figure looking through itself</v>
      </c>
    </row>
    <row r="1848" ht="15.75" customHeight="1">
      <c r="A1848" s="3" t="s">
        <v>4</v>
      </c>
      <c r="B1848" s="3" t="s">
        <v>55</v>
      </c>
      <c r="D1848" s="3" t="str">
        <f>IFERROR(__xludf.DUMMYFUNCTION("GOOGLETRANSLATE(A1848, ""nl"", ""en"")"),"Architectural and Structural Associations")</f>
        <v>Architectural and Structural Associations</v>
      </c>
      <c r="E1848" s="3" t="str">
        <f>IFERROR(__xludf.DUMMYFUNCTION("GOOGLETRANSLATE(B1848, ""nl"", ""en"")"),"A prism that splits light into colors")</f>
        <v>A prism that splits light into colors</v>
      </c>
    </row>
    <row r="1849" ht="15.75" customHeight="1">
      <c r="A1849" s="3" t="s">
        <v>15</v>
      </c>
      <c r="B1849" s="3" t="s">
        <v>26</v>
      </c>
      <c r="D1849" s="3" t="str">
        <f>IFERROR(__xludf.DUMMYFUNCTION("GOOGLETRANSLATE(A1849, ""nl"", ""en"")"),"Animals and Organic Forms")</f>
        <v>Animals and Organic Forms</v>
      </c>
      <c r="E1849" s="3" t="str">
        <f>IFERROR(__xludf.DUMMYFUNCTION("GOOGLETRANSLATE(B1849, ""nl"", ""en"")"),"A frog preparing to jump")</f>
        <v>A frog preparing to jump</v>
      </c>
    </row>
    <row r="1850" ht="15.75" customHeight="1">
      <c r="A1850" s="3" t="s">
        <v>12</v>
      </c>
      <c r="B1850" s="3" t="s">
        <v>30</v>
      </c>
      <c r="D1850" s="3" t="str">
        <f>IFERROR(__xludf.DUMMYFUNCTION("GOOGLETRANSLATE(A1850, ""nl"", ""en"")"),"Nature and Elements")</f>
        <v>Nature and Elements</v>
      </c>
      <c r="E1850" s="3" t="str">
        <f>IFERROR(__xludf.DUMMYFUNCTION("GOOGLETRANSLATE(B1850, ""nl"", ""en"")"),"Waves breaking in fractal patterns")</f>
        <v>Waves breaking in fractal patterns</v>
      </c>
    </row>
    <row r="1851" ht="15.75" customHeight="1">
      <c r="A1851" s="3" t="s">
        <v>9</v>
      </c>
      <c r="B1851" s="3" t="s">
        <v>49</v>
      </c>
      <c r="D1851" s="3" t="str">
        <f>IFERROR(__xludf.DUMMYFUNCTION("GOOGLETRANSLATE(A1851, ""nl"", ""en"")"),"Psychological and Emotional Interpretations")</f>
        <v>Psychological and Emotional Interpretations</v>
      </c>
      <c r="E1851" s="3" t="str">
        <f>IFERROR(__xludf.DUMMYFUNCTION("GOOGLETRANSLATE(B1851, ""nl"", ""en"")"),"A spiral that turns inward")</f>
        <v>A spiral that turns inward</v>
      </c>
    </row>
    <row r="1852" ht="15.75" customHeight="1">
      <c r="A1852" s="3" t="s">
        <v>15</v>
      </c>
      <c r="B1852" s="3" t="s">
        <v>16</v>
      </c>
      <c r="D1852" s="3" t="str">
        <f>IFERROR(__xludf.DUMMYFUNCTION("GOOGLETRANSLATE(A1852, ""nl"", ""en"")"),"Animals and Organic Forms")</f>
        <v>Animals and Organic Forms</v>
      </c>
      <c r="E1852" s="3" t="str">
        <f>IFERROR(__xludf.DUMMYFUNCTION("GOOGLETRANSLATE(B1852, ""nl"", ""en"")"),"A butterfly in transformation")</f>
        <v>A butterfly in transformation</v>
      </c>
    </row>
    <row r="1853" ht="15.75" customHeight="1">
      <c r="A1853" s="3" t="s">
        <v>12</v>
      </c>
      <c r="B1853" s="3" t="s">
        <v>36</v>
      </c>
      <c r="D1853" s="3" t="str">
        <f>IFERROR(__xludf.DUMMYFUNCTION("GOOGLETRANSLATE(A1853, ""nl"", ""en"")"),"Nature and Elements")</f>
        <v>Nature and Elements</v>
      </c>
      <c r="E1853" s="3" t="str">
        <f>IFERROR(__xludf.DUMMYFUNCTION("GOOGLETRANSLATE(B1853, ""nl"", ""en"")"),"A river delta from a bird's-eye view")</f>
        <v>A river delta from a bird's-eye view</v>
      </c>
    </row>
    <row r="1854" ht="15.75" customHeight="1">
      <c r="A1854" s="3" t="s">
        <v>7</v>
      </c>
      <c r="B1854" s="3" t="s">
        <v>34</v>
      </c>
      <c r="D1854" s="3" t="str">
        <f>IFERROR(__xludf.DUMMYFUNCTION("GOOGLETRANSLATE(A1854, ""nl"", ""en"")"),"Human Figures and Physicality")</f>
        <v>Human Figures and Physicality</v>
      </c>
      <c r="E1854" s="3" t="str">
        <f>IFERROR(__xludf.DUMMYFUNCTION("GOOGLETRANSLATE(B1854, ""nl"", ""en"")"),"Hands almost touching")</f>
        <v>Hands almost touching</v>
      </c>
    </row>
    <row r="1855" ht="15.75" customHeight="1">
      <c r="A1855" s="3" t="s">
        <v>12</v>
      </c>
      <c r="B1855" s="3" t="s">
        <v>47</v>
      </c>
      <c r="D1855" s="3" t="str">
        <f>IFERROR(__xludf.DUMMYFUNCTION("GOOGLETRANSLATE(A1855, ""nl"", ""en"")"),"Nature and Elements")</f>
        <v>Nature and Elements</v>
      </c>
      <c r="E1855" s="3" t="str">
        <f>IFERROR(__xludf.DUMMYFUNCTION("GOOGLETRANSLATE(B1855, ""nl"", ""en"")"),"A desert landscape that slowly changes")</f>
        <v>A desert landscape that slowly changes</v>
      </c>
    </row>
    <row r="1856" ht="15.75" customHeight="1">
      <c r="A1856" s="3" t="s">
        <v>4</v>
      </c>
      <c r="B1856" s="3" t="s">
        <v>35</v>
      </c>
      <c r="D1856" s="3" t="str">
        <f>IFERROR(__xludf.DUMMYFUNCTION("GOOGLETRANSLATE(A1856, ""nl"", ""en"")"),"Architectural and Structural Associations")</f>
        <v>Architectural and Structural Associations</v>
      </c>
      <c r="E1856" s="3" t="str">
        <f>IFERROR(__xludf.DUMMYFUNCTION("GOOGLETRANSLATE(B1856, ""nl"", ""en"")"),"A floating building without a base")</f>
        <v>A floating building without a base</v>
      </c>
    </row>
    <row r="1857" ht="15.75" customHeight="1">
      <c r="A1857" s="3" t="s">
        <v>4</v>
      </c>
      <c r="B1857" s="3" t="s">
        <v>21</v>
      </c>
      <c r="D1857" s="3" t="str">
        <f>IFERROR(__xludf.DUMMYFUNCTION("GOOGLETRANSLATE(A1857, ""nl"", ""en"")"),"Architectural and Structural Associations")</f>
        <v>Architectural and Structural Associations</v>
      </c>
      <c r="E1857" s="3" t="str">
        <f>IFERROR(__xludf.DUMMYFUNCTION("GOOGLETRANSLATE(B1857, ""nl"", ""en"")"),"A bridge that leads nowhere")</f>
        <v>A bridge that leads nowhere</v>
      </c>
    </row>
    <row r="1858" ht="15.75" customHeight="1">
      <c r="A1858" s="3" t="s">
        <v>12</v>
      </c>
      <c r="B1858" s="3" t="s">
        <v>51</v>
      </c>
      <c r="D1858" s="3" t="str">
        <f>IFERROR(__xludf.DUMMYFUNCTION("GOOGLETRANSLATE(A1858, ""nl"", ""en"")"),"Nature and Elements")</f>
        <v>Nature and Elements</v>
      </c>
      <c r="E1858" s="3" t="str">
        <f>IFERROR(__xludf.DUMMYFUNCTION("GOOGLETRANSLATE(B1858, ""nl"", ""en"")"),"An evaporating puddle of water")</f>
        <v>An evaporating puddle of water</v>
      </c>
    </row>
    <row r="1859" ht="15.75" customHeight="1">
      <c r="A1859" s="3" t="s">
        <v>24</v>
      </c>
      <c r="B1859" s="3" t="s">
        <v>27</v>
      </c>
      <c r="D1859" s="3" t="str">
        <f>IFERROR(__xludf.DUMMYFUNCTION("GOOGLETRANSLATE(A1859, ""nl"", ""en"")"),"Cosmic and Abstract Patterns")</f>
        <v>Cosmic and Abstract Patterns</v>
      </c>
      <c r="E1859" s="3" t="str">
        <f>IFERROR(__xludf.DUMMYFUNCTION("GOOGLETRANSLATE(B1859, ""nl"", ""en"")"),"A pair of black holes in dance")</f>
        <v>A pair of black holes in dance</v>
      </c>
    </row>
    <row r="1860" ht="15.75" customHeight="1">
      <c r="A1860" s="3" t="s">
        <v>24</v>
      </c>
      <c r="B1860" s="3" t="s">
        <v>48</v>
      </c>
      <c r="D1860" s="3" t="str">
        <f>IFERROR(__xludf.DUMMYFUNCTION("GOOGLETRANSLATE(A1860, ""nl"", ""en"")"),"Cosmic and Abstract Patterns")</f>
        <v>Cosmic and Abstract Patterns</v>
      </c>
      <c r="E1860" s="3" t="str">
        <f>IFERROR(__xludf.DUMMYFUNCTION("GOOGLETRANSLATE(B1860, ""nl"", ""en"")"),"A fractal that repeats itself")</f>
        <v>A fractal that repeats itself</v>
      </c>
    </row>
    <row r="1861" ht="15.75" customHeight="1">
      <c r="A1861" s="3" t="s">
        <v>24</v>
      </c>
      <c r="B1861" s="3" t="s">
        <v>54</v>
      </c>
      <c r="D1861" s="3" t="str">
        <f>IFERROR(__xludf.DUMMYFUNCTION("GOOGLETRANSLATE(A1861, ""nl"", ""en"")"),"Cosmic and Abstract Patterns")</f>
        <v>Cosmic and Abstract Patterns</v>
      </c>
      <c r="E1861" s="3" t="str">
        <f>IFERROR(__xludf.DUMMYFUNCTION("GOOGLETRANSLATE(B1861, ""nl"", ""en"")"),"A quantum particle in superposition")</f>
        <v>A quantum particle in superposition</v>
      </c>
    </row>
    <row r="1862" ht="15.75" customHeight="1">
      <c r="A1862" s="3" t="s">
        <v>24</v>
      </c>
      <c r="B1862" s="3" t="s">
        <v>32</v>
      </c>
      <c r="D1862" s="3" t="str">
        <f>IFERROR(__xludf.DUMMYFUNCTION("GOOGLETRANSLATE(A1862, ""nl"", ""en"")"),"Cosmic and Abstract Patterns")</f>
        <v>Cosmic and Abstract Patterns</v>
      </c>
      <c r="E1862" s="3" t="str">
        <f>IFERROR(__xludf.DUMMYFUNCTION("GOOGLETRANSLATE(B1862, ""nl"", ""en"")"),"A time loop captured in image")</f>
        <v>A time loop captured in image</v>
      </c>
    </row>
    <row r="1863" ht="15.75" customHeight="1">
      <c r="A1863" s="3" t="s">
        <v>12</v>
      </c>
      <c r="B1863" s="3" t="s">
        <v>18</v>
      </c>
      <c r="D1863" s="3" t="str">
        <f>IFERROR(__xludf.DUMMYFUNCTION("GOOGLETRANSLATE(A1863, ""nl"", ""en"")"),"Nature and Elements")</f>
        <v>Nature and Elements</v>
      </c>
      <c r="E1863" s="3" t="str">
        <f>IFERROR(__xludf.DUMMYFUNCTION("GOOGLETRANSLATE(B1863, ""nl"", ""en"")"),"A tree with endless branches")</f>
        <v>A tree with endless branches</v>
      </c>
    </row>
    <row r="1864" ht="15.75" customHeight="1">
      <c r="A1864" s="3" t="s">
        <v>12</v>
      </c>
      <c r="B1864" s="3" t="s">
        <v>51</v>
      </c>
      <c r="D1864" s="3" t="str">
        <f>IFERROR(__xludf.DUMMYFUNCTION("GOOGLETRANSLATE(A1864, ""nl"", ""en"")"),"Nature and Elements")</f>
        <v>Nature and Elements</v>
      </c>
      <c r="E1864" s="3" t="str">
        <f>IFERROR(__xludf.DUMMYFUNCTION("GOOGLETRANSLATE(B1864, ""nl"", ""en"")"),"An evaporating puddle of water")</f>
        <v>An evaporating puddle of water</v>
      </c>
    </row>
    <row r="1865" ht="15.75" customHeight="1">
      <c r="A1865" s="3" t="s">
        <v>24</v>
      </c>
      <c r="B1865" s="3" t="s">
        <v>31</v>
      </c>
      <c r="D1865" s="3" t="str">
        <f>IFERROR(__xludf.DUMMYFUNCTION("GOOGLETRANSLATE(A1865, ""nl"", ""en"")"),"Cosmic and Abstract Patterns")</f>
        <v>Cosmic and Abstract Patterns</v>
      </c>
      <c r="E1865" s="3" t="str">
        <f>IFERROR(__xludf.DUMMYFUNCTION("GOOGLETRANSLATE(B1865, ""nl"", ""en"")"),"A planet with unusual rings")</f>
        <v>A planet with unusual rings</v>
      </c>
    </row>
    <row r="1866" ht="15.75" customHeight="1">
      <c r="A1866" s="3" t="s">
        <v>7</v>
      </c>
      <c r="B1866" s="3" t="s">
        <v>41</v>
      </c>
      <c r="D1866" s="3" t="str">
        <f>IFERROR(__xludf.DUMMYFUNCTION("GOOGLETRANSLATE(A1866, ""nl"", ""en"")"),"Human Figures and Physicality")</f>
        <v>Human Figures and Physicality</v>
      </c>
      <c r="E1866" s="3" t="str">
        <f>IFERROR(__xludf.DUMMYFUNCTION("GOOGLETRANSLATE(B1866, ""nl"", ""en"")"),"A face that fades into abstraction")</f>
        <v>A face that fades into abstraction</v>
      </c>
    </row>
    <row r="1867" ht="15.75" customHeight="1">
      <c r="A1867" s="3" t="s">
        <v>15</v>
      </c>
      <c r="B1867" s="3" t="s">
        <v>45</v>
      </c>
      <c r="D1867" s="3" t="str">
        <f>IFERROR(__xludf.DUMMYFUNCTION("GOOGLETRANSLATE(A1867, ""nl"", ""en"")"),"Animals and Organic Forms")</f>
        <v>Animals and Organic Forms</v>
      </c>
      <c r="E1867" s="3" t="str">
        <f>IFERROR(__xludf.DUMMYFUNCTION("GOOGLETRANSLATE(B1867, ""nl"", ""en"")"),"A snake biting its own tail")</f>
        <v>A snake biting its own tail</v>
      </c>
    </row>
    <row r="1868" ht="15.75" customHeight="1">
      <c r="A1868" s="3" t="s">
        <v>15</v>
      </c>
      <c r="B1868" s="3" t="s">
        <v>16</v>
      </c>
      <c r="D1868" s="3" t="str">
        <f>IFERROR(__xludf.DUMMYFUNCTION("GOOGLETRANSLATE(A1868, ""nl"", ""en"")"),"Animals and Organic Forms")</f>
        <v>Animals and Organic Forms</v>
      </c>
      <c r="E1868" s="3" t="str">
        <f>IFERROR(__xludf.DUMMYFUNCTION("GOOGLETRANSLATE(B1868, ""nl"", ""en"")"),"A butterfly in transformation")</f>
        <v>A butterfly in transformation</v>
      </c>
    </row>
    <row r="1869" ht="15.75" customHeight="1">
      <c r="A1869" s="3" t="s">
        <v>24</v>
      </c>
      <c r="B1869" s="3" t="s">
        <v>54</v>
      </c>
      <c r="D1869" s="3" t="str">
        <f>IFERROR(__xludf.DUMMYFUNCTION("GOOGLETRANSLATE(A1869, ""nl"", ""en"")"),"Cosmic and Abstract Patterns")</f>
        <v>Cosmic and Abstract Patterns</v>
      </c>
      <c r="E1869" s="3" t="str">
        <f>IFERROR(__xludf.DUMMYFUNCTION("GOOGLETRANSLATE(B1869, ""nl"", ""en"")"),"A quantum particle in superposition")</f>
        <v>A quantum particle in superposition</v>
      </c>
    </row>
    <row r="1870" ht="15.75" customHeight="1">
      <c r="A1870" s="3" t="s">
        <v>7</v>
      </c>
      <c r="B1870" s="3" t="s">
        <v>34</v>
      </c>
      <c r="D1870" s="3" t="str">
        <f>IFERROR(__xludf.DUMMYFUNCTION("GOOGLETRANSLATE(A1870, ""nl"", ""en"")"),"Human Figures and Physicality")</f>
        <v>Human Figures and Physicality</v>
      </c>
      <c r="E1870" s="3" t="str">
        <f>IFERROR(__xludf.DUMMYFUNCTION("GOOGLETRANSLATE(B1870, ""nl"", ""en"")"),"Hands almost touching")</f>
        <v>Hands almost touching</v>
      </c>
    </row>
    <row r="1871" ht="15.75" customHeight="1">
      <c r="A1871" s="3" t="s">
        <v>7</v>
      </c>
      <c r="B1871" s="3" t="s">
        <v>40</v>
      </c>
      <c r="D1871" s="3" t="str">
        <f>IFERROR(__xludf.DUMMYFUNCTION("GOOGLETRANSLATE(A1871, ""nl"", ""en"")"),"Human Figures and Physicality")</f>
        <v>Human Figures and Physicality</v>
      </c>
      <c r="E1871" s="3" t="str">
        <f>IFERROR(__xludf.DUMMYFUNCTION("GOOGLETRANSLATE(B1871, ""nl"", ""en"")"),"A figure who is withdrawn into himself")</f>
        <v>A figure who is withdrawn into himself</v>
      </c>
    </row>
    <row r="1872" ht="15.75" customHeight="1">
      <c r="A1872" s="3" t="s">
        <v>4</v>
      </c>
      <c r="B1872" s="3" t="s">
        <v>43</v>
      </c>
      <c r="D1872" s="3" t="str">
        <f>IFERROR(__xludf.DUMMYFUNCTION("GOOGLETRANSLATE(A1872, ""nl"", ""en"")"),"Architectural and Structural Associations")</f>
        <v>Architectural and Structural Associations</v>
      </c>
      <c r="E1872" s="3" t="str">
        <f>IFERROR(__xludf.DUMMYFUNCTION("GOOGLETRANSLATE(B1872, ""nl"", ""en"")"),"A network of tunnels and passages")</f>
        <v>A network of tunnels and passages</v>
      </c>
    </row>
    <row r="1873" ht="15.75" customHeight="1">
      <c r="A1873" s="3" t="s">
        <v>24</v>
      </c>
      <c r="B1873" s="3" t="s">
        <v>48</v>
      </c>
      <c r="D1873" s="3" t="str">
        <f>IFERROR(__xludf.DUMMYFUNCTION("GOOGLETRANSLATE(A1873, ""nl"", ""en"")"),"Cosmic and Abstract Patterns")</f>
        <v>Cosmic and Abstract Patterns</v>
      </c>
      <c r="E1873" s="3" t="str">
        <f>IFERROR(__xludf.DUMMYFUNCTION("GOOGLETRANSLATE(B1873, ""nl"", ""en"")"),"A fractal that repeats itself")</f>
        <v>A fractal that repeats itself</v>
      </c>
    </row>
    <row r="1874" ht="15.75" customHeight="1">
      <c r="A1874" s="3" t="s">
        <v>15</v>
      </c>
      <c r="B1874" s="3" t="s">
        <v>50</v>
      </c>
      <c r="D1874" s="3" t="str">
        <f>IFERROR(__xludf.DUMMYFUNCTION("GOOGLETRANSLATE(A1874, ""nl"", ""en"")"),"Animals and Organic Forms")</f>
        <v>Animals and Organic Forms</v>
      </c>
      <c r="E1874" s="3" t="str">
        <f>IFERROR(__xludf.DUMMYFUNCTION("GOOGLETRANSLATE(B1874, ""nl"", ""en"")"),"A squid with extended tentacles")</f>
        <v>A squid with extended tentacles</v>
      </c>
    </row>
    <row r="1875" ht="15.75" customHeight="1">
      <c r="A1875" s="3" t="s">
        <v>7</v>
      </c>
      <c r="B1875" s="3" t="s">
        <v>56</v>
      </c>
      <c r="D1875" s="3" t="str">
        <f>IFERROR(__xludf.DUMMYFUNCTION("GOOGLETRANSLATE(A1875, ""nl"", ""en"")"),"Human Figures and Physicality")</f>
        <v>Human Figures and Physicality</v>
      </c>
      <c r="E1875" s="3" t="str">
        <f>IFERROR(__xludf.DUMMYFUNCTION("GOOGLETRANSLATE(B1875, ""nl"", ""en"")"),"A shadow that seems to move")</f>
        <v>A shadow that seems to move</v>
      </c>
    </row>
    <row r="1876" ht="15.75" customHeight="1">
      <c r="A1876" s="3" t="s">
        <v>12</v>
      </c>
      <c r="B1876" s="3" t="s">
        <v>23</v>
      </c>
      <c r="D1876" s="3" t="str">
        <f>IFERROR(__xludf.DUMMYFUNCTION("GOOGLETRANSLATE(A1876, ""nl"", ""en"")"),"Nature and Elements")</f>
        <v>Nature and Elements</v>
      </c>
      <c r="E1876" s="3" t="str">
        <f>IFERROR(__xludf.DUMMYFUNCTION("GOOGLETRANSLATE(B1876, ""nl"", ""en"")"),"A storm cloud splitting in two")</f>
        <v>A storm cloud splitting in two</v>
      </c>
    </row>
    <row r="1877" ht="15.75" customHeight="1">
      <c r="A1877" s="3" t="s">
        <v>9</v>
      </c>
      <c r="B1877" s="3" t="s">
        <v>42</v>
      </c>
      <c r="D1877" s="3" t="str">
        <f>IFERROR(__xludf.DUMMYFUNCTION("GOOGLETRANSLATE(A1877, ""nl"", ""en"")"),"Psychological and Emotional Interpretations")</f>
        <v>Psychological and Emotional Interpretations</v>
      </c>
      <c r="E1877" s="3" t="str">
        <f>IFERROR(__xludf.DUMMYFUNCTION("GOOGLETRANSLATE(B1877, ""nl"", ""en"")"),"A mask that slowly disappears")</f>
        <v>A mask that slowly disappears</v>
      </c>
    </row>
    <row r="1878" ht="15.75" customHeight="1">
      <c r="A1878" s="3" t="s">
        <v>9</v>
      </c>
      <c r="B1878" s="3" t="s">
        <v>11</v>
      </c>
      <c r="D1878" s="3" t="str">
        <f>IFERROR(__xludf.DUMMYFUNCTION("GOOGLETRANSLATE(A1878, ""nl"", ""en"")"),"Psychological and Emotional Interpretations")</f>
        <v>Psychological and Emotional Interpretations</v>
      </c>
      <c r="E1878" s="3" t="str">
        <f>IFERROR(__xludf.DUMMYFUNCTION("GOOGLETRANSLATE(B1878, ""nl"", ""en"")"),"An emotion captured in abstraction")</f>
        <v>An emotion captured in abstraction</v>
      </c>
    </row>
    <row r="1879" ht="15.75" customHeight="1">
      <c r="A1879" s="3" t="s">
        <v>24</v>
      </c>
      <c r="B1879" s="3" t="s">
        <v>33</v>
      </c>
      <c r="D1879" s="3" t="str">
        <f>IFERROR(__xludf.DUMMYFUNCTION("GOOGLETRANSLATE(A1879, ""nl"", ""en"")"),"Cosmic and Abstract Patterns")</f>
        <v>Cosmic and Abstract Patterns</v>
      </c>
      <c r="E1879" s="3" t="str">
        <f>IFERROR(__xludf.DUMMYFUNCTION("GOOGLETRANSLATE(B1879, ""nl"", ""en"")"),"An eye that repeats itself in endless patterns")</f>
        <v>An eye that repeats itself in endless patterns</v>
      </c>
    </row>
    <row r="1880" ht="15.75" customHeight="1">
      <c r="A1880" s="3" t="s">
        <v>15</v>
      </c>
      <c r="B1880" s="3" t="s">
        <v>52</v>
      </c>
      <c r="D1880" s="3" t="str">
        <f>IFERROR(__xludf.DUMMYFUNCTION("GOOGLETRANSLATE(A1880, ""nl"", ""en"")"),"Animals and Organic Forms")</f>
        <v>Animals and Organic Forms</v>
      </c>
      <c r="E1880" s="3" t="str">
        <f>IFERROR(__xludf.DUMMYFUNCTION("GOOGLETRANSLATE(B1880, ""nl"", ""en"")"),"A mask made of leaves")</f>
        <v>A mask made of leaves</v>
      </c>
    </row>
    <row r="1881" ht="15.75" customHeight="1">
      <c r="A1881" s="3" t="s">
        <v>9</v>
      </c>
      <c r="B1881" s="3" t="s">
        <v>37</v>
      </c>
      <c r="D1881" s="3" t="str">
        <f>IFERROR(__xludf.DUMMYFUNCTION("GOOGLETRANSLATE(A1881, ""nl"", ""en"")"),"Psychological and Emotional Interpretations")</f>
        <v>Psychological and Emotional Interpretations</v>
      </c>
      <c r="E1881" s="3" t="str">
        <f>IFERROR(__xludf.DUMMYFUNCTION("GOOGLETRANSLATE(B1881, ""nl"", ""en"")"),"A figure looking through itself")</f>
        <v>A figure looking through itself</v>
      </c>
    </row>
    <row r="1882" ht="15.75" customHeight="1">
      <c r="A1882" s="3" t="s">
        <v>24</v>
      </c>
      <c r="B1882" s="3" t="s">
        <v>27</v>
      </c>
      <c r="D1882" s="3" t="str">
        <f>IFERROR(__xludf.DUMMYFUNCTION("GOOGLETRANSLATE(A1882, ""nl"", ""en"")"),"Cosmic and Abstract Patterns")</f>
        <v>Cosmic and Abstract Patterns</v>
      </c>
      <c r="E1882" s="3" t="str">
        <f>IFERROR(__xludf.DUMMYFUNCTION("GOOGLETRANSLATE(B1882, ""nl"", ""en"")"),"A pair of black holes in dance")</f>
        <v>A pair of black holes in dance</v>
      </c>
    </row>
    <row r="1883" ht="15.75" customHeight="1">
      <c r="A1883" s="3" t="s">
        <v>24</v>
      </c>
      <c r="B1883" s="3" t="s">
        <v>48</v>
      </c>
      <c r="D1883" s="3" t="str">
        <f>IFERROR(__xludf.DUMMYFUNCTION("GOOGLETRANSLATE(A1883, ""nl"", ""en"")"),"Cosmic and Abstract Patterns")</f>
        <v>Cosmic and Abstract Patterns</v>
      </c>
      <c r="E1883" s="3" t="str">
        <f>IFERROR(__xludf.DUMMYFUNCTION("GOOGLETRANSLATE(B1883, ""nl"", ""en"")"),"A fractal that repeats itself")</f>
        <v>A fractal that repeats itself</v>
      </c>
    </row>
    <row r="1884" ht="15.75" customHeight="1">
      <c r="A1884" s="3" t="s">
        <v>24</v>
      </c>
      <c r="B1884" s="3" t="s">
        <v>54</v>
      </c>
      <c r="D1884" s="3" t="str">
        <f>IFERROR(__xludf.DUMMYFUNCTION("GOOGLETRANSLATE(A1884, ""nl"", ""en"")"),"Cosmic and Abstract Patterns")</f>
        <v>Cosmic and Abstract Patterns</v>
      </c>
      <c r="E1884" s="3" t="str">
        <f>IFERROR(__xludf.DUMMYFUNCTION("GOOGLETRANSLATE(B1884, ""nl"", ""en"")"),"A quantum particle in superposition")</f>
        <v>A quantum particle in superposition</v>
      </c>
    </row>
    <row r="1885" ht="15.75" customHeight="1">
      <c r="A1885" s="3" t="s">
        <v>9</v>
      </c>
      <c r="B1885" s="3" t="s">
        <v>42</v>
      </c>
      <c r="D1885" s="3" t="str">
        <f>IFERROR(__xludf.DUMMYFUNCTION("GOOGLETRANSLATE(A1885, ""nl"", ""en"")"),"Psychological and Emotional Interpretations")</f>
        <v>Psychological and Emotional Interpretations</v>
      </c>
      <c r="E1885" s="3" t="str">
        <f>IFERROR(__xludf.DUMMYFUNCTION("GOOGLETRANSLATE(B1885, ""nl"", ""en"")"),"A mask that slowly disappears")</f>
        <v>A mask that slowly disappears</v>
      </c>
    </row>
    <row r="1886" ht="15.75" customHeight="1">
      <c r="A1886" s="3" t="s">
        <v>9</v>
      </c>
      <c r="B1886" s="3" t="s">
        <v>42</v>
      </c>
      <c r="D1886" s="3" t="str">
        <f>IFERROR(__xludf.DUMMYFUNCTION("GOOGLETRANSLATE(A1886, ""nl"", ""en"")"),"Psychological and Emotional Interpretations")</f>
        <v>Psychological and Emotional Interpretations</v>
      </c>
      <c r="E1886" s="3" t="str">
        <f>IFERROR(__xludf.DUMMYFUNCTION("GOOGLETRANSLATE(B1886, ""nl"", ""en"")"),"A mask that slowly disappears")</f>
        <v>A mask that slowly disappears</v>
      </c>
    </row>
    <row r="1887" ht="15.75" customHeight="1">
      <c r="A1887" s="3" t="s">
        <v>15</v>
      </c>
      <c r="B1887" s="3" t="s">
        <v>52</v>
      </c>
      <c r="D1887" s="3" t="str">
        <f>IFERROR(__xludf.DUMMYFUNCTION("GOOGLETRANSLATE(A1887, ""nl"", ""en"")"),"Animals and Organic Forms")</f>
        <v>Animals and Organic Forms</v>
      </c>
      <c r="E1887" s="3" t="str">
        <f>IFERROR(__xludf.DUMMYFUNCTION("GOOGLETRANSLATE(B1887, ""nl"", ""en"")"),"A mask made of leaves")</f>
        <v>A mask made of leaves</v>
      </c>
    </row>
    <row r="1888" ht="15.75" customHeight="1">
      <c r="A1888" s="3" t="s">
        <v>24</v>
      </c>
      <c r="B1888" s="3" t="s">
        <v>31</v>
      </c>
      <c r="D1888" s="3" t="str">
        <f>IFERROR(__xludf.DUMMYFUNCTION("GOOGLETRANSLATE(A1888, ""nl"", ""en"")"),"Cosmic and Abstract Patterns")</f>
        <v>Cosmic and Abstract Patterns</v>
      </c>
      <c r="E1888" s="3" t="str">
        <f>IFERROR(__xludf.DUMMYFUNCTION("GOOGLETRANSLATE(B1888, ""nl"", ""en"")"),"A planet with unusual rings")</f>
        <v>A planet with unusual rings</v>
      </c>
    </row>
    <row r="1889" ht="15.75" customHeight="1">
      <c r="A1889" s="3" t="s">
        <v>7</v>
      </c>
      <c r="B1889" s="3" t="s">
        <v>8</v>
      </c>
      <c r="D1889" s="3" t="str">
        <f>IFERROR(__xludf.DUMMYFUNCTION("GOOGLETRANSLATE(A1889, ""nl"", ""en"")"),"Human Figures and Physicality")</f>
        <v>Human Figures and Physicality</v>
      </c>
      <c r="E1889" s="3" t="str">
        <f>IFERROR(__xludf.DUMMYFUNCTION("GOOGLETRANSLATE(B1889, ""nl"", ""en"")"),"Two figures mirroring each other")</f>
        <v>Two figures mirroring each other</v>
      </c>
    </row>
    <row r="1890" ht="15.75" customHeight="1">
      <c r="A1890" s="3" t="s">
        <v>4</v>
      </c>
      <c r="B1890" s="3" t="s">
        <v>21</v>
      </c>
      <c r="D1890" s="3" t="str">
        <f>IFERROR(__xludf.DUMMYFUNCTION("GOOGLETRANSLATE(A1890, ""nl"", ""en"")"),"Architectural and Structural Associations")</f>
        <v>Architectural and Structural Associations</v>
      </c>
      <c r="E1890" s="3" t="str">
        <f>IFERROR(__xludf.DUMMYFUNCTION("GOOGLETRANSLATE(B1890, ""nl"", ""en"")"),"A bridge that leads nowhere")</f>
        <v>A bridge that leads nowhere</v>
      </c>
    </row>
    <row r="1891" ht="15.75" customHeight="1">
      <c r="A1891" s="3" t="s">
        <v>7</v>
      </c>
      <c r="B1891" s="3" t="s">
        <v>39</v>
      </c>
      <c r="D1891" s="3" t="str">
        <f>IFERROR(__xludf.DUMMYFUNCTION("GOOGLETRANSLATE(A1891, ""nl"", ""en"")"),"Human Figures and Physicality")</f>
        <v>Human Figures and Physicality</v>
      </c>
      <c r="E1891" s="3" t="str">
        <f>IFERROR(__xludf.DUMMYFUNCTION("GOOGLETRANSLATE(B1891, ""nl"", ""en"")"),"A torso without a head")</f>
        <v>A torso without a head</v>
      </c>
    </row>
    <row r="1892" ht="15.75" customHeight="1">
      <c r="A1892" s="3" t="s">
        <v>4</v>
      </c>
      <c r="B1892" s="3" t="s">
        <v>35</v>
      </c>
      <c r="D1892" s="3" t="str">
        <f>IFERROR(__xludf.DUMMYFUNCTION("GOOGLETRANSLATE(A1892, ""nl"", ""en"")"),"Architectural and Structural Associations")</f>
        <v>Architectural and Structural Associations</v>
      </c>
      <c r="E1892" s="3" t="str">
        <f>IFERROR(__xludf.DUMMYFUNCTION("GOOGLETRANSLATE(B1892, ""nl"", ""en"")"),"A floating building without a base")</f>
        <v>A floating building without a base</v>
      </c>
    </row>
    <row r="1893" ht="15.75" customHeight="1">
      <c r="A1893" s="3" t="s">
        <v>15</v>
      </c>
      <c r="B1893" s="3" t="s">
        <v>50</v>
      </c>
      <c r="D1893" s="3" t="str">
        <f>IFERROR(__xludf.DUMMYFUNCTION("GOOGLETRANSLATE(A1893, ""nl"", ""en"")"),"Animals and Organic Forms")</f>
        <v>Animals and Organic Forms</v>
      </c>
      <c r="E1893" s="3" t="str">
        <f>IFERROR(__xludf.DUMMYFUNCTION("GOOGLETRANSLATE(B1893, ""nl"", ""en"")"),"A squid with extended tentacles")</f>
        <v>A squid with extended tentacles</v>
      </c>
    </row>
    <row r="1894" ht="15.75" customHeight="1">
      <c r="A1894" s="3" t="s">
        <v>15</v>
      </c>
      <c r="B1894" s="3" t="s">
        <v>46</v>
      </c>
      <c r="D1894" s="3" t="str">
        <f>IFERROR(__xludf.DUMMYFUNCTION("GOOGLETRANSLATE(A1894, ""nl"", ""en"")"),"Animals and Organic Forms")</f>
        <v>Animals and Organic Forms</v>
      </c>
      <c r="E1894" s="3" t="str">
        <f>IFERROR(__xludf.DUMMYFUNCTION("GOOGLETRANSLATE(B1894, ""nl"", ""en"")"),"A flock of fish moving as one")</f>
        <v>A flock of fish moving as one</v>
      </c>
    </row>
    <row r="1895" ht="15.75" customHeight="1">
      <c r="A1895" s="3" t="s">
        <v>12</v>
      </c>
      <c r="B1895" s="3" t="s">
        <v>23</v>
      </c>
      <c r="D1895" s="3" t="str">
        <f>IFERROR(__xludf.DUMMYFUNCTION("GOOGLETRANSLATE(A1895, ""nl"", ""en"")"),"Nature and Elements")</f>
        <v>Nature and Elements</v>
      </c>
      <c r="E1895" s="3" t="str">
        <f>IFERROR(__xludf.DUMMYFUNCTION("GOOGLETRANSLATE(B1895, ""nl"", ""en"")"),"A storm cloud splitting in two")</f>
        <v>A storm cloud splitting in two</v>
      </c>
    </row>
    <row r="1896" ht="15.75" customHeight="1">
      <c r="A1896" s="3" t="s">
        <v>24</v>
      </c>
      <c r="B1896" s="3" t="s">
        <v>32</v>
      </c>
      <c r="D1896" s="3" t="str">
        <f>IFERROR(__xludf.DUMMYFUNCTION("GOOGLETRANSLATE(A1896, ""nl"", ""en"")"),"Cosmic and Abstract Patterns")</f>
        <v>Cosmic and Abstract Patterns</v>
      </c>
      <c r="E1896" s="3" t="str">
        <f>IFERROR(__xludf.DUMMYFUNCTION("GOOGLETRANSLATE(B1896, ""nl"", ""en"")"),"A time loop captured in image")</f>
        <v>A time loop captured in image</v>
      </c>
    </row>
    <row r="1897" ht="15.75" customHeight="1">
      <c r="A1897" s="3" t="s">
        <v>12</v>
      </c>
      <c r="B1897" s="3" t="s">
        <v>18</v>
      </c>
      <c r="D1897" s="3" t="str">
        <f>IFERROR(__xludf.DUMMYFUNCTION("GOOGLETRANSLATE(A1897, ""nl"", ""en"")"),"Nature and Elements")</f>
        <v>Nature and Elements</v>
      </c>
      <c r="E1897" s="3" t="str">
        <f>IFERROR(__xludf.DUMMYFUNCTION("GOOGLETRANSLATE(B1897, ""nl"", ""en"")"),"A tree with endless branches")</f>
        <v>A tree with endless branches</v>
      </c>
    </row>
    <row r="1898" ht="15.75" customHeight="1">
      <c r="A1898" s="3" t="s">
        <v>7</v>
      </c>
      <c r="B1898" s="3" t="s">
        <v>53</v>
      </c>
      <c r="D1898" s="3" t="str">
        <f>IFERROR(__xludf.DUMMYFUNCTION("GOOGLETRANSLATE(A1898, ""nl"", ""en"")"),"Human Figures and Physicality")</f>
        <v>Human Figures and Physicality</v>
      </c>
      <c r="E1898" s="3" t="str">
        <f>IFERROR(__xludf.DUMMYFUNCTION("GOOGLETRANSLATE(B1898, ""nl"", ""en"")"),"A face that both smiles and cries")</f>
        <v>A face that both smiles and cries</v>
      </c>
    </row>
    <row r="1899" ht="15.75" customHeight="1">
      <c r="A1899" s="3" t="s">
        <v>4</v>
      </c>
      <c r="B1899" s="3" t="s">
        <v>20</v>
      </c>
      <c r="D1899" s="3" t="str">
        <f>IFERROR(__xludf.DUMMYFUNCTION("GOOGLETRANSLATE(A1899, ""nl"", ""en"")"),"Architectural and Structural Associations")</f>
        <v>Architectural and Structural Associations</v>
      </c>
      <c r="E1899" s="3" t="str">
        <f>IFERROR(__xludf.DUMMYFUNCTION("GOOGLETRANSLATE(B1899, ""nl"", ""en"")"),"A tower that grows by itself")</f>
        <v>A tower that grows by itself</v>
      </c>
    </row>
    <row r="1900" ht="15.75" customHeight="1">
      <c r="A1900" s="3" t="s">
        <v>24</v>
      </c>
      <c r="B1900" s="3" t="s">
        <v>27</v>
      </c>
      <c r="D1900" s="3" t="str">
        <f>IFERROR(__xludf.DUMMYFUNCTION("GOOGLETRANSLATE(A1900, ""nl"", ""en"")"),"Cosmic and Abstract Patterns")</f>
        <v>Cosmic and Abstract Patterns</v>
      </c>
      <c r="E1900" s="3" t="str">
        <f>IFERROR(__xludf.DUMMYFUNCTION("GOOGLETRANSLATE(B1900, ""nl"", ""en"")"),"A pair of black holes in dance")</f>
        <v>A pair of black holes in dance</v>
      </c>
    </row>
    <row r="1901" ht="15.75" customHeight="1">
      <c r="A1901" s="3" t="s">
        <v>15</v>
      </c>
      <c r="B1901" s="3" t="s">
        <v>52</v>
      </c>
      <c r="D1901" s="3" t="str">
        <f>IFERROR(__xludf.DUMMYFUNCTION("GOOGLETRANSLATE(A1901, ""nl"", ""en"")"),"Animals and Organic Forms")</f>
        <v>Animals and Organic Forms</v>
      </c>
      <c r="E1901" s="3" t="str">
        <f>IFERROR(__xludf.DUMMYFUNCTION("GOOGLETRANSLATE(B1901, ""nl"", ""en"")"),"A mask made of leaves")</f>
        <v>A mask made of leaves</v>
      </c>
    </row>
    <row r="1902" ht="15.75" customHeight="1">
      <c r="A1902" s="3" t="s">
        <v>24</v>
      </c>
      <c r="B1902" s="3" t="s">
        <v>33</v>
      </c>
      <c r="D1902" s="3" t="str">
        <f>IFERROR(__xludf.DUMMYFUNCTION("GOOGLETRANSLATE(A1902, ""nl"", ""en"")"),"Cosmic and Abstract Patterns")</f>
        <v>Cosmic and Abstract Patterns</v>
      </c>
      <c r="E1902" s="3" t="str">
        <f>IFERROR(__xludf.DUMMYFUNCTION("GOOGLETRANSLATE(B1902, ""nl"", ""en"")"),"An eye that repeats itself in endless patterns")</f>
        <v>An eye that repeats itself in endless patterns</v>
      </c>
    </row>
    <row r="1903" ht="15.75" customHeight="1">
      <c r="A1903" s="3" t="s">
        <v>9</v>
      </c>
      <c r="B1903" s="3" t="s">
        <v>57</v>
      </c>
      <c r="D1903" s="3" t="str">
        <f>IFERROR(__xludf.DUMMYFUNCTION("GOOGLETRANSLATE(A1903, ""nl"", ""en"")"),"Psychological and Emotional Interpretations")</f>
        <v>Psychological and Emotional Interpretations</v>
      </c>
      <c r="E1903" s="3" t="str">
        <f>IFERROR(__xludf.DUMMYFUNCTION("GOOGLETRANSLATE(B1903, ""nl"", ""en"")"),"An explosion of colours and feelings")</f>
        <v>An explosion of colours and feelings</v>
      </c>
    </row>
    <row r="1904" ht="15.75" customHeight="1">
      <c r="A1904" s="3" t="s">
        <v>24</v>
      </c>
      <c r="B1904" s="3" t="s">
        <v>32</v>
      </c>
      <c r="D1904" s="3" t="str">
        <f>IFERROR(__xludf.DUMMYFUNCTION("GOOGLETRANSLATE(A1904, ""nl"", ""en"")"),"Cosmic and Abstract Patterns")</f>
        <v>Cosmic and Abstract Patterns</v>
      </c>
      <c r="E1904" s="3" t="str">
        <f>IFERROR(__xludf.DUMMYFUNCTION("GOOGLETRANSLATE(B1904, ""nl"", ""en"")"),"A time loop captured in image")</f>
        <v>A time loop captured in image</v>
      </c>
    </row>
    <row r="1905" ht="15.75" customHeight="1">
      <c r="A1905" s="3" t="s">
        <v>9</v>
      </c>
      <c r="B1905" s="3" t="s">
        <v>17</v>
      </c>
      <c r="D1905" s="3" t="str">
        <f>IFERROR(__xludf.DUMMYFUNCTION("GOOGLETRANSLATE(A1905, ""nl"", ""en"")"),"Psychological and Emotional Interpretations")</f>
        <v>Psychological and Emotional Interpretations</v>
      </c>
      <c r="E1905" s="3" t="str">
        <f>IFERROR(__xludf.DUMMYFUNCTION("GOOGLETRANSLATE(B1905, ""nl"", ""en"")"),"A figure that seems to melt")</f>
        <v>A figure that seems to melt</v>
      </c>
    </row>
    <row r="1906" ht="15.75" customHeight="1">
      <c r="A1906" s="3" t="s">
        <v>7</v>
      </c>
      <c r="B1906" s="3" t="s">
        <v>39</v>
      </c>
      <c r="D1906" s="3" t="str">
        <f>IFERROR(__xludf.DUMMYFUNCTION("GOOGLETRANSLATE(A1906, ""nl"", ""en"")"),"Human Figures and Physicality")</f>
        <v>Human Figures and Physicality</v>
      </c>
      <c r="E1906" s="3" t="str">
        <f>IFERROR(__xludf.DUMMYFUNCTION("GOOGLETRANSLATE(B1906, ""nl"", ""en"")"),"A torso without a head")</f>
        <v>A torso without a head</v>
      </c>
    </row>
    <row r="1907" ht="15.75" customHeight="1">
      <c r="A1907" s="3" t="s">
        <v>7</v>
      </c>
      <c r="B1907" s="3" t="s">
        <v>39</v>
      </c>
      <c r="D1907" s="3" t="str">
        <f>IFERROR(__xludf.DUMMYFUNCTION("GOOGLETRANSLATE(A1907, ""nl"", ""en"")"),"Human Figures and Physicality")</f>
        <v>Human Figures and Physicality</v>
      </c>
      <c r="E1907" s="3" t="str">
        <f>IFERROR(__xludf.DUMMYFUNCTION("GOOGLETRANSLATE(B1907, ""nl"", ""en"")"),"A torso without a head")</f>
        <v>A torso without a head</v>
      </c>
    </row>
    <row r="1908" ht="15.75" customHeight="1">
      <c r="A1908" s="3" t="s">
        <v>24</v>
      </c>
      <c r="B1908" s="3" t="s">
        <v>54</v>
      </c>
      <c r="D1908" s="3" t="str">
        <f>IFERROR(__xludf.DUMMYFUNCTION("GOOGLETRANSLATE(A1908, ""nl"", ""en"")"),"Cosmic and Abstract Patterns")</f>
        <v>Cosmic and Abstract Patterns</v>
      </c>
      <c r="E1908" s="3" t="str">
        <f>IFERROR(__xludf.DUMMYFUNCTION("GOOGLETRANSLATE(B1908, ""nl"", ""en"")"),"A quantum particle in superposition")</f>
        <v>A quantum particle in superposition</v>
      </c>
    </row>
    <row r="1909" ht="15.75" customHeight="1">
      <c r="A1909" s="3" t="s">
        <v>4</v>
      </c>
      <c r="B1909" s="3" t="s">
        <v>21</v>
      </c>
      <c r="D1909" s="3" t="str">
        <f>IFERROR(__xludf.DUMMYFUNCTION("GOOGLETRANSLATE(A1909, ""nl"", ""en"")"),"Architectural and Structural Associations")</f>
        <v>Architectural and Structural Associations</v>
      </c>
      <c r="E1909" s="3" t="str">
        <f>IFERROR(__xludf.DUMMYFUNCTION("GOOGLETRANSLATE(B1909, ""nl"", ""en"")"),"A bridge that leads nowhere")</f>
        <v>A bridge that leads nowhere</v>
      </c>
    </row>
    <row r="1910" ht="15.75" customHeight="1">
      <c r="A1910" s="3" t="s">
        <v>4</v>
      </c>
      <c r="B1910" s="3" t="s">
        <v>6</v>
      </c>
      <c r="D1910" s="3" t="str">
        <f>IFERROR(__xludf.DUMMYFUNCTION("GOOGLETRANSLATE(A1910, ""nl"", ""en"")"),"Architectural and Structural Associations")</f>
        <v>Architectural and Structural Associations</v>
      </c>
      <c r="E1910" s="3" t="str">
        <f>IFERROR(__xludf.DUMMYFUNCTION("GOOGLETRANSLATE(B1910, ""nl"", ""en"")"),"An endless labyrinth")</f>
        <v>An endless labyrinth</v>
      </c>
    </row>
    <row r="1911" ht="15.75" customHeight="1">
      <c r="A1911" s="3" t="s">
        <v>12</v>
      </c>
      <c r="B1911" s="3" t="s">
        <v>23</v>
      </c>
      <c r="D1911" s="3" t="str">
        <f>IFERROR(__xludf.DUMMYFUNCTION("GOOGLETRANSLATE(A1911, ""nl"", ""en"")"),"Nature and Elements")</f>
        <v>Nature and Elements</v>
      </c>
      <c r="E1911" s="3" t="str">
        <f>IFERROR(__xludf.DUMMYFUNCTION("GOOGLETRANSLATE(B1911, ""nl"", ""en"")"),"A storm cloud splitting in two")</f>
        <v>A storm cloud splitting in two</v>
      </c>
    </row>
    <row r="1912" ht="15.75" customHeight="1">
      <c r="A1912" s="3" t="s">
        <v>4</v>
      </c>
      <c r="B1912" s="3" t="s">
        <v>44</v>
      </c>
      <c r="D1912" s="3" t="str">
        <f>IFERROR(__xludf.DUMMYFUNCTION("GOOGLETRANSLATE(A1912, ""nl"", ""en"")"),"Architectural and Structural Associations")</f>
        <v>Architectural and Structural Associations</v>
      </c>
      <c r="E1912" s="3" t="str">
        <f>IFERROR(__xludf.DUMMYFUNCTION("GOOGLETRANSLATE(B1912, ""nl"", ""en"")"),"A structure that pulsates in waves")</f>
        <v>A structure that pulsates in waves</v>
      </c>
    </row>
    <row r="1913" ht="15.75" customHeight="1">
      <c r="A1913" s="3" t="s">
        <v>12</v>
      </c>
      <c r="B1913" s="3" t="s">
        <v>18</v>
      </c>
      <c r="D1913" s="3" t="str">
        <f>IFERROR(__xludf.DUMMYFUNCTION("GOOGLETRANSLATE(A1913, ""nl"", ""en"")"),"Nature and Elements")</f>
        <v>Nature and Elements</v>
      </c>
      <c r="E1913" s="3" t="str">
        <f>IFERROR(__xludf.DUMMYFUNCTION("GOOGLETRANSLATE(B1913, ""nl"", ""en"")"),"A tree with endless branches")</f>
        <v>A tree with endless branches</v>
      </c>
    </row>
    <row r="1914" ht="15.75" customHeight="1">
      <c r="A1914" s="3" t="s">
        <v>24</v>
      </c>
      <c r="B1914" s="3" t="s">
        <v>29</v>
      </c>
      <c r="D1914" s="3" t="str">
        <f>IFERROR(__xludf.DUMMYFUNCTION("GOOGLETRANSLATE(A1914, ""nl"", ""en"")"),"Cosmic and Abstract Patterns")</f>
        <v>Cosmic and Abstract Patterns</v>
      </c>
      <c r="E1914" s="3" t="str">
        <f>IFERROR(__xludf.DUMMYFUNCTION("GOOGLETRANSLATE(B1914, ""nl"", ""en"")"),"A galaxy unfolding")</f>
        <v>A galaxy unfolding</v>
      </c>
    </row>
    <row r="1915" ht="15.75" customHeight="1">
      <c r="A1915" s="3" t="s">
        <v>4</v>
      </c>
      <c r="B1915" s="3" t="s">
        <v>35</v>
      </c>
      <c r="D1915" s="3" t="str">
        <f>IFERROR(__xludf.DUMMYFUNCTION("GOOGLETRANSLATE(A1915, ""nl"", ""en"")"),"Architectural and Structural Associations")</f>
        <v>Architectural and Structural Associations</v>
      </c>
      <c r="E1915" s="3" t="str">
        <f>IFERROR(__xludf.DUMMYFUNCTION("GOOGLETRANSLATE(B1915, ""nl"", ""en"")"),"A floating building without a base")</f>
        <v>A floating building without a base</v>
      </c>
    </row>
    <row r="1916" ht="15.75" customHeight="1">
      <c r="A1916" s="3" t="s">
        <v>4</v>
      </c>
      <c r="B1916" s="3" t="s">
        <v>44</v>
      </c>
      <c r="D1916" s="3" t="str">
        <f>IFERROR(__xludf.DUMMYFUNCTION("GOOGLETRANSLATE(A1916, ""nl"", ""en"")"),"Architectural and Structural Associations")</f>
        <v>Architectural and Structural Associations</v>
      </c>
      <c r="E1916" s="3" t="str">
        <f>IFERROR(__xludf.DUMMYFUNCTION("GOOGLETRANSLATE(B1916, ""nl"", ""en"")"),"A structure that pulsates in waves")</f>
        <v>A structure that pulsates in waves</v>
      </c>
    </row>
    <row r="1917" ht="15.75" customHeight="1">
      <c r="A1917" s="3" t="s">
        <v>7</v>
      </c>
      <c r="B1917" s="3" t="s">
        <v>41</v>
      </c>
      <c r="D1917" s="3" t="str">
        <f>IFERROR(__xludf.DUMMYFUNCTION("GOOGLETRANSLATE(A1917, ""nl"", ""en"")"),"Human Figures and Physicality")</f>
        <v>Human Figures and Physicality</v>
      </c>
      <c r="E1917" s="3" t="str">
        <f>IFERROR(__xludf.DUMMYFUNCTION("GOOGLETRANSLATE(B1917, ""nl"", ""en"")"),"A face that fades into abstraction")</f>
        <v>A face that fades into abstraction</v>
      </c>
    </row>
    <row r="1918" ht="15.75" customHeight="1">
      <c r="A1918" s="3" t="s">
        <v>4</v>
      </c>
      <c r="B1918" s="3" t="s">
        <v>5</v>
      </c>
      <c r="D1918" s="3" t="str">
        <f>IFERROR(__xludf.DUMMYFUNCTION("GOOGLETRANSLATE(A1918, ""nl"", ""en"")"),"Architectural and Structural Associations")</f>
        <v>Architectural and Structural Associations</v>
      </c>
      <c r="E1918" s="3" t="str">
        <f>IFERROR(__xludf.DUMMYFUNCTION("GOOGLETRANSLATE(B1918, ""nl"", ""en"")"),"A cathedral shaped from mist")</f>
        <v>A cathedral shaped from mist</v>
      </c>
    </row>
    <row r="1919" ht="15.75" customHeight="1">
      <c r="A1919" s="3" t="s">
        <v>24</v>
      </c>
      <c r="B1919" s="3" t="s">
        <v>32</v>
      </c>
      <c r="D1919" s="3" t="str">
        <f>IFERROR(__xludf.DUMMYFUNCTION("GOOGLETRANSLATE(A1919, ""nl"", ""en"")"),"Cosmic and Abstract Patterns")</f>
        <v>Cosmic and Abstract Patterns</v>
      </c>
      <c r="E1919" s="3" t="str">
        <f>IFERROR(__xludf.DUMMYFUNCTION("GOOGLETRANSLATE(B1919, ""nl"", ""en"")"),"A time loop captured in image")</f>
        <v>A time loop captured in image</v>
      </c>
    </row>
    <row r="1920" ht="15.75" customHeight="1">
      <c r="A1920" s="3" t="s">
        <v>9</v>
      </c>
      <c r="B1920" s="3" t="s">
        <v>49</v>
      </c>
      <c r="D1920" s="3" t="str">
        <f>IFERROR(__xludf.DUMMYFUNCTION("GOOGLETRANSLATE(A1920, ""nl"", ""en"")"),"Psychological and Emotional Interpretations")</f>
        <v>Psychological and Emotional Interpretations</v>
      </c>
      <c r="E1920" s="3" t="str">
        <f>IFERROR(__xludf.DUMMYFUNCTION("GOOGLETRANSLATE(B1920, ""nl"", ""en"")"),"A spiral that turns inward")</f>
        <v>A spiral that turns inward</v>
      </c>
    </row>
    <row r="1921" ht="15.75" customHeight="1">
      <c r="A1921" s="3" t="s">
        <v>24</v>
      </c>
      <c r="B1921" s="3" t="s">
        <v>29</v>
      </c>
      <c r="D1921" s="3" t="str">
        <f>IFERROR(__xludf.DUMMYFUNCTION("GOOGLETRANSLATE(A1921, ""nl"", ""en"")"),"Cosmic and Abstract Patterns")</f>
        <v>Cosmic and Abstract Patterns</v>
      </c>
      <c r="E1921" s="3" t="str">
        <f>IFERROR(__xludf.DUMMYFUNCTION("GOOGLETRANSLATE(B1921, ""nl"", ""en"")"),"A galaxy unfolding")</f>
        <v>A galaxy unfolding</v>
      </c>
    </row>
    <row r="1922" ht="15.75" customHeight="1">
      <c r="A1922" s="3" t="s">
        <v>7</v>
      </c>
      <c r="B1922" s="3" t="s">
        <v>56</v>
      </c>
      <c r="D1922" s="3" t="str">
        <f>IFERROR(__xludf.DUMMYFUNCTION("GOOGLETRANSLATE(A1922, ""nl"", ""en"")"),"Human Figures and Physicality")</f>
        <v>Human Figures and Physicality</v>
      </c>
      <c r="E1922" s="3" t="str">
        <f>IFERROR(__xludf.DUMMYFUNCTION("GOOGLETRANSLATE(B1922, ""nl"", ""en"")"),"A shadow that seems to move")</f>
        <v>A shadow that seems to move</v>
      </c>
    </row>
    <row r="1923" ht="15.75" customHeight="1">
      <c r="A1923" s="3" t="s">
        <v>12</v>
      </c>
      <c r="B1923" s="3" t="s">
        <v>23</v>
      </c>
      <c r="D1923" s="3" t="str">
        <f>IFERROR(__xludf.DUMMYFUNCTION("GOOGLETRANSLATE(A1923, ""nl"", ""en"")"),"Nature and Elements")</f>
        <v>Nature and Elements</v>
      </c>
      <c r="E1923" s="3" t="str">
        <f>IFERROR(__xludf.DUMMYFUNCTION("GOOGLETRANSLATE(B1923, ""nl"", ""en"")"),"A storm cloud splitting in two")</f>
        <v>A storm cloud splitting in two</v>
      </c>
    </row>
    <row r="1924" ht="15.75" customHeight="1">
      <c r="A1924" s="3" t="s">
        <v>4</v>
      </c>
      <c r="B1924" s="3" t="s">
        <v>35</v>
      </c>
      <c r="D1924" s="3" t="str">
        <f>IFERROR(__xludf.DUMMYFUNCTION("GOOGLETRANSLATE(A1924, ""nl"", ""en"")"),"Architectural and Structural Associations")</f>
        <v>Architectural and Structural Associations</v>
      </c>
      <c r="E1924" s="3" t="str">
        <f>IFERROR(__xludf.DUMMYFUNCTION("GOOGLETRANSLATE(B1924, ""nl"", ""en"")"),"A floating building without a base")</f>
        <v>A floating building without a base</v>
      </c>
    </row>
    <row r="1925" ht="15.75" customHeight="1">
      <c r="A1925" s="3" t="s">
        <v>7</v>
      </c>
      <c r="B1925" s="3" t="s">
        <v>53</v>
      </c>
      <c r="D1925" s="3" t="str">
        <f>IFERROR(__xludf.DUMMYFUNCTION("GOOGLETRANSLATE(A1925, ""nl"", ""en"")"),"Human Figures and Physicality")</f>
        <v>Human Figures and Physicality</v>
      </c>
      <c r="E1925" s="3" t="str">
        <f>IFERROR(__xludf.DUMMYFUNCTION("GOOGLETRANSLATE(B1925, ""nl"", ""en"")"),"A face that both smiles and cries")</f>
        <v>A face that both smiles and cries</v>
      </c>
    </row>
    <row r="1926" ht="15.75" customHeight="1">
      <c r="A1926" s="3" t="s">
        <v>7</v>
      </c>
      <c r="B1926" s="3" t="s">
        <v>40</v>
      </c>
      <c r="D1926" s="3" t="str">
        <f>IFERROR(__xludf.DUMMYFUNCTION("GOOGLETRANSLATE(A1926, ""nl"", ""en"")"),"Human Figures and Physicality")</f>
        <v>Human Figures and Physicality</v>
      </c>
      <c r="E1926" s="3" t="str">
        <f>IFERROR(__xludf.DUMMYFUNCTION("GOOGLETRANSLATE(B1926, ""nl"", ""en"")"),"A figure who is withdrawn into himself")</f>
        <v>A figure who is withdrawn into himself</v>
      </c>
    </row>
    <row r="1927" ht="15.75" customHeight="1">
      <c r="A1927" s="3" t="s">
        <v>15</v>
      </c>
      <c r="B1927" s="3" t="s">
        <v>16</v>
      </c>
      <c r="D1927" s="3" t="str">
        <f>IFERROR(__xludf.DUMMYFUNCTION("GOOGLETRANSLATE(A1927, ""nl"", ""en"")"),"Animals and Organic Forms")</f>
        <v>Animals and Organic Forms</v>
      </c>
      <c r="E1927" s="3" t="str">
        <f>IFERROR(__xludf.DUMMYFUNCTION("GOOGLETRANSLATE(B1927, ""nl"", ""en"")"),"A butterfly in transformation")</f>
        <v>A butterfly in transformation</v>
      </c>
    </row>
    <row r="1928" ht="15.75" customHeight="1">
      <c r="A1928" s="3" t="s">
        <v>12</v>
      </c>
      <c r="B1928" s="3" t="s">
        <v>19</v>
      </c>
      <c r="D1928" s="3" t="str">
        <f>IFERROR(__xludf.DUMMYFUNCTION("GOOGLETRANSLATE(A1928, ""nl"", ""en"")"),"Nature and Elements")</f>
        <v>Nature and Elements</v>
      </c>
      <c r="E1928" s="3" t="str">
        <f>IFERROR(__xludf.DUMMYFUNCTION("GOOGLETRANSLATE(B1928, ""nl"", ""en"")"),"A mountain range that seems to breathe")</f>
        <v>A mountain range that seems to breathe</v>
      </c>
    </row>
    <row r="1929" ht="15.75" customHeight="1">
      <c r="A1929" s="3" t="s">
        <v>9</v>
      </c>
      <c r="B1929" s="3" t="s">
        <v>14</v>
      </c>
      <c r="D1929" s="3" t="str">
        <f>IFERROR(__xludf.DUMMYFUNCTION("GOOGLETRANSLATE(A1929, ""nl"", ""en"")"),"Psychological and Emotional Interpretations")</f>
        <v>Psychological and Emotional Interpretations</v>
      </c>
      <c r="E1929" s="3" t="str">
        <f>IFERROR(__xludf.DUMMYFUNCTION("GOOGLETRANSLATE(B1929, ""nl"", ""en"")"),"An unclear hug")</f>
        <v>An unclear hug</v>
      </c>
    </row>
    <row r="1930" ht="15.75" customHeight="1">
      <c r="A1930" s="3" t="s">
        <v>4</v>
      </c>
      <c r="B1930" s="3" t="s">
        <v>43</v>
      </c>
      <c r="D1930" s="3" t="str">
        <f>IFERROR(__xludf.DUMMYFUNCTION("GOOGLETRANSLATE(A1930, ""nl"", ""en"")"),"Architectural and Structural Associations")</f>
        <v>Architectural and Structural Associations</v>
      </c>
      <c r="E1930" s="3" t="str">
        <f>IFERROR(__xludf.DUMMYFUNCTION("GOOGLETRANSLATE(B1930, ""nl"", ""en"")"),"A network of tunnels and passages")</f>
        <v>A network of tunnels and passages</v>
      </c>
    </row>
    <row r="1931" ht="15.75" customHeight="1">
      <c r="A1931" s="3" t="s">
        <v>12</v>
      </c>
      <c r="B1931" s="3" t="s">
        <v>13</v>
      </c>
      <c r="D1931" s="3" t="str">
        <f>IFERROR(__xludf.DUMMYFUNCTION("GOOGLETRANSLATE(A1931, ""nl"", ""en"")"),"Nature and Elements")</f>
        <v>Nature and Elements</v>
      </c>
      <c r="E1931" s="3" t="str">
        <f>IFERROR(__xludf.DUMMYFUNCTION("GOOGLETRANSLATE(B1931, ""nl"", ""en"")"),"A lightning strike in slow motion")</f>
        <v>A lightning strike in slow motion</v>
      </c>
    </row>
    <row r="1932" ht="15.75" customHeight="1">
      <c r="A1932" s="3" t="s">
        <v>4</v>
      </c>
      <c r="B1932" s="3" t="s">
        <v>55</v>
      </c>
      <c r="D1932" s="3" t="str">
        <f>IFERROR(__xludf.DUMMYFUNCTION("GOOGLETRANSLATE(A1932, ""nl"", ""en"")"),"Architectural and Structural Associations")</f>
        <v>Architectural and Structural Associations</v>
      </c>
      <c r="E1932" s="3" t="str">
        <f>IFERROR(__xludf.DUMMYFUNCTION("GOOGLETRANSLATE(B1932, ""nl"", ""en"")"),"A prism that splits light into colors")</f>
        <v>A prism that splits light into colors</v>
      </c>
    </row>
    <row r="1933" ht="15.75" customHeight="1">
      <c r="A1933" s="3" t="s">
        <v>12</v>
      </c>
      <c r="B1933" s="3" t="s">
        <v>19</v>
      </c>
      <c r="D1933" s="3" t="str">
        <f>IFERROR(__xludf.DUMMYFUNCTION("GOOGLETRANSLATE(A1933, ""nl"", ""en"")"),"Nature and Elements")</f>
        <v>Nature and Elements</v>
      </c>
      <c r="E1933" s="3" t="str">
        <f>IFERROR(__xludf.DUMMYFUNCTION("GOOGLETRANSLATE(B1933, ""nl"", ""en"")"),"A mountain range that seems to breathe")</f>
        <v>A mountain range that seems to breathe</v>
      </c>
    </row>
    <row r="1934" ht="15.75" customHeight="1">
      <c r="A1934" s="3" t="s">
        <v>7</v>
      </c>
      <c r="B1934" s="3" t="s">
        <v>41</v>
      </c>
      <c r="D1934" s="3" t="str">
        <f>IFERROR(__xludf.DUMMYFUNCTION("GOOGLETRANSLATE(A1934, ""nl"", ""en"")"),"Human Figures and Physicality")</f>
        <v>Human Figures and Physicality</v>
      </c>
      <c r="E1934" s="3" t="str">
        <f>IFERROR(__xludf.DUMMYFUNCTION("GOOGLETRANSLATE(B1934, ""nl"", ""en"")"),"A face that fades into abstraction")</f>
        <v>A face that fades into abstraction</v>
      </c>
    </row>
    <row r="1935" ht="15.75" customHeight="1">
      <c r="A1935" s="3" t="s">
        <v>15</v>
      </c>
      <c r="B1935" s="3" t="s">
        <v>50</v>
      </c>
      <c r="D1935" s="3" t="str">
        <f>IFERROR(__xludf.DUMMYFUNCTION("GOOGLETRANSLATE(A1935, ""nl"", ""en"")"),"Animals and Organic Forms")</f>
        <v>Animals and Organic Forms</v>
      </c>
      <c r="E1935" s="3" t="str">
        <f>IFERROR(__xludf.DUMMYFUNCTION("GOOGLETRANSLATE(B1935, ""nl"", ""en"")"),"A squid with extended tentacles")</f>
        <v>A squid with extended tentacles</v>
      </c>
    </row>
    <row r="1936" ht="15.75" customHeight="1">
      <c r="A1936" s="3" t="s">
        <v>15</v>
      </c>
      <c r="B1936" s="3" t="s">
        <v>52</v>
      </c>
      <c r="D1936" s="3" t="str">
        <f>IFERROR(__xludf.DUMMYFUNCTION("GOOGLETRANSLATE(A1936, ""nl"", ""en"")"),"Animals and Organic Forms")</f>
        <v>Animals and Organic Forms</v>
      </c>
      <c r="E1936" s="3" t="str">
        <f>IFERROR(__xludf.DUMMYFUNCTION("GOOGLETRANSLATE(B1936, ""nl"", ""en"")"),"A mask made of leaves")</f>
        <v>A mask made of leaves</v>
      </c>
    </row>
    <row r="1937" ht="15.75" customHeight="1">
      <c r="A1937" s="3" t="s">
        <v>12</v>
      </c>
      <c r="B1937" s="3" t="s">
        <v>18</v>
      </c>
      <c r="D1937" s="3" t="str">
        <f>IFERROR(__xludf.DUMMYFUNCTION("GOOGLETRANSLATE(A1937, ""nl"", ""en"")"),"Nature and Elements")</f>
        <v>Nature and Elements</v>
      </c>
      <c r="E1937" s="3" t="str">
        <f>IFERROR(__xludf.DUMMYFUNCTION("GOOGLETRANSLATE(B1937, ""nl"", ""en"")"),"A tree with endless branches")</f>
        <v>A tree with endless branches</v>
      </c>
    </row>
    <row r="1938" ht="15.75" customHeight="1">
      <c r="A1938" s="3" t="s">
        <v>4</v>
      </c>
      <c r="B1938" s="3" t="s">
        <v>55</v>
      </c>
      <c r="D1938" s="3" t="str">
        <f>IFERROR(__xludf.DUMMYFUNCTION("GOOGLETRANSLATE(A1938, ""nl"", ""en"")"),"Architectural and Structural Associations")</f>
        <v>Architectural and Structural Associations</v>
      </c>
      <c r="E1938" s="3" t="str">
        <f>IFERROR(__xludf.DUMMYFUNCTION("GOOGLETRANSLATE(B1938, ""nl"", ""en"")"),"A prism that splits light into colors")</f>
        <v>A prism that splits light into colors</v>
      </c>
    </row>
    <row r="1939" ht="15.75" customHeight="1">
      <c r="A1939" s="3" t="s">
        <v>7</v>
      </c>
      <c r="B1939" s="3" t="s">
        <v>41</v>
      </c>
      <c r="D1939" s="3" t="str">
        <f>IFERROR(__xludf.DUMMYFUNCTION("GOOGLETRANSLATE(A1939, ""nl"", ""en"")"),"Human Figures and Physicality")</f>
        <v>Human Figures and Physicality</v>
      </c>
      <c r="E1939" s="3" t="str">
        <f>IFERROR(__xludf.DUMMYFUNCTION("GOOGLETRANSLATE(B1939, ""nl"", ""en"")"),"A face that fades into abstraction")</f>
        <v>A face that fades into abstraction</v>
      </c>
    </row>
    <row r="1940" ht="15.75" customHeight="1">
      <c r="A1940" s="3" t="s">
        <v>24</v>
      </c>
      <c r="B1940" s="3" t="s">
        <v>27</v>
      </c>
      <c r="D1940" s="3" t="str">
        <f>IFERROR(__xludf.DUMMYFUNCTION("GOOGLETRANSLATE(A1940, ""nl"", ""en"")"),"Cosmic and Abstract Patterns")</f>
        <v>Cosmic and Abstract Patterns</v>
      </c>
      <c r="E1940" s="3" t="str">
        <f>IFERROR(__xludf.DUMMYFUNCTION("GOOGLETRANSLATE(B1940, ""nl"", ""en"")"),"A pair of black holes in dance")</f>
        <v>A pair of black holes in dance</v>
      </c>
    </row>
    <row r="1941" ht="15.75" customHeight="1">
      <c r="A1941" s="3" t="s">
        <v>7</v>
      </c>
      <c r="B1941" s="3" t="s">
        <v>8</v>
      </c>
      <c r="D1941" s="3" t="str">
        <f>IFERROR(__xludf.DUMMYFUNCTION("GOOGLETRANSLATE(A1941, ""nl"", ""en"")"),"Human Figures and Physicality")</f>
        <v>Human Figures and Physicality</v>
      </c>
      <c r="E1941" s="3" t="str">
        <f>IFERROR(__xludf.DUMMYFUNCTION("GOOGLETRANSLATE(B1941, ""nl"", ""en"")"),"Two figures mirroring each other")</f>
        <v>Two figures mirroring each other</v>
      </c>
    </row>
    <row r="1942" ht="15.75" customHeight="1">
      <c r="A1942" s="3" t="s">
        <v>15</v>
      </c>
      <c r="B1942" s="3" t="s">
        <v>38</v>
      </c>
      <c r="D1942" s="3" t="str">
        <f>IFERROR(__xludf.DUMMYFUNCTION("GOOGLETRANSLATE(A1942, ""nl"", ""en"")"),"Animals and Organic Forms")</f>
        <v>Animals and Organic Forms</v>
      </c>
      <c r="E1942" s="3" t="str">
        <f>IFERROR(__xludf.DUMMYFUNCTION("GOOGLETRANSLATE(B1942, ""nl"", ""en"")"),"A lion with an open mouth")</f>
        <v>A lion with an open mouth</v>
      </c>
    </row>
    <row r="1943" ht="15.75" customHeight="1">
      <c r="A1943" s="3" t="s">
        <v>24</v>
      </c>
      <c r="B1943" s="3" t="s">
        <v>31</v>
      </c>
      <c r="D1943" s="3" t="str">
        <f>IFERROR(__xludf.DUMMYFUNCTION("GOOGLETRANSLATE(A1943, ""nl"", ""en"")"),"Cosmic and Abstract Patterns")</f>
        <v>Cosmic and Abstract Patterns</v>
      </c>
      <c r="E1943" s="3" t="str">
        <f>IFERROR(__xludf.DUMMYFUNCTION("GOOGLETRANSLATE(B1943, ""nl"", ""en"")"),"A planet with unusual rings")</f>
        <v>A planet with unusual rings</v>
      </c>
    </row>
    <row r="1944" ht="15.75" customHeight="1">
      <c r="A1944" s="3" t="s">
        <v>9</v>
      </c>
      <c r="B1944" s="3" t="s">
        <v>42</v>
      </c>
      <c r="D1944" s="3" t="str">
        <f>IFERROR(__xludf.DUMMYFUNCTION("GOOGLETRANSLATE(A1944, ""nl"", ""en"")"),"Psychological and Emotional Interpretations")</f>
        <v>Psychological and Emotional Interpretations</v>
      </c>
      <c r="E1944" s="3" t="str">
        <f>IFERROR(__xludf.DUMMYFUNCTION("GOOGLETRANSLATE(B1944, ""nl"", ""en"")"),"A mask that slowly disappears")</f>
        <v>A mask that slowly disappears</v>
      </c>
    </row>
    <row r="1945" ht="15.75" customHeight="1">
      <c r="A1945" s="3" t="s">
        <v>15</v>
      </c>
      <c r="B1945" s="3" t="s">
        <v>46</v>
      </c>
      <c r="D1945" s="3" t="str">
        <f>IFERROR(__xludf.DUMMYFUNCTION("GOOGLETRANSLATE(A1945, ""nl"", ""en"")"),"Animals and Organic Forms")</f>
        <v>Animals and Organic Forms</v>
      </c>
      <c r="E1945" s="3" t="str">
        <f>IFERROR(__xludf.DUMMYFUNCTION("GOOGLETRANSLATE(B1945, ""nl"", ""en"")"),"A flock of fish moving as one")</f>
        <v>A flock of fish moving as one</v>
      </c>
    </row>
    <row r="1946" ht="15.75" customHeight="1">
      <c r="A1946" s="3" t="s">
        <v>12</v>
      </c>
      <c r="B1946" s="3" t="s">
        <v>19</v>
      </c>
      <c r="D1946" s="3" t="str">
        <f>IFERROR(__xludf.DUMMYFUNCTION("GOOGLETRANSLATE(A1946, ""nl"", ""en"")"),"Nature and Elements")</f>
        <v>Nature and Elements</v>
      </c>
      <c r="E1946" s="3" t="str">
        <f>IFERROR(__xludf.DUMMYFUNCTION("GOOGLETRANSLATE(B1946, ""nl"", ""en"")"),"A mountain range that seems to breathe")</f>
        <v>A mountain range that seems to breathe</v>
      </c>
    </row>
    <row r="1947" ht="15.75" customHeight="1">
      <c r="A1947" s="3" t="s">
        <v>15</v>
      </c>
      <c r="B1947" s="3" t="s">
        <v>22</v>
      </c>
      <c r="D1947" s="3" t="str">
        <f>IFERROR(__xludf.DUMMYFUNCTION("GOOGLETRANSLATE(A1947, ""nl"", ""en"")"),"Animals and Organic Forms")</f>
        <v>Animals and Organic Forms</v>
      </c>
      <c r="E1947" s="3" t="str">
        <f>IFERROR(__xludf.DUMMYFUNCTION("GOOGLETRANSLATE(B1947, ""nl"", ""en"")"),"A bird taking off")</f>
        <v>A bird taking off</v>
      </c>
    </row>
    <row r="1948" ht="15.75" customHeight="1">
      <c r="A1948" s="3" t="s">
        <v>9</v>
      </c>
      <c r="B1948" s="3" t="s">
        <v>11</v>
      </c>
      <c r="D1948" s="3" t="str">
        <f>IFERROR(__xludf.DUMMYFUNCTION("GOOGLETRANSLATE(A1948, ""nl"", ""en"")"),"Psychological and Emotional Interpretations")</f>
        <v>Psychological and Emotional Interpretations</v>
      </c>
      <c r="E1948" s="3" t="str">
        <f>IFERROR(__xludf.DUMMYFUNCTION("GOOGLETRANSLATE(B1948, ""nl"", ""en"")"),"An emotion captured in abstraction")</f>
        <v>An emotion captured in abstraction</v>
      </c>
    </row>
    <row r="1949" ht="15.75" customHeight="1">
      <c r="A1949" s="3" t="s">
        <v>12</v>
      </c>
      <c r="B1949" s="3" t="s">
        <v>51</v>
      </c>
      <c r="D1949" s="3" t="str">
        <f>IFERROR(__xludf.DUMMYFUNCTION("GOOGLETRANSLATE(A1949, ""nl"", ""en"")"),"Nature and Elements")</f>
        <v>Nature and Elements</v>
      </c>
      <c r="E1949" s="3" t="str">
        <f>IFERROR(__xludf.DUMMYFUNCTION("GOOGLETRANSLATE(B1949, ""nl"", ""en"")"),"An evaporating puddle of water")</f>
        <v>An evaporating puddle of water</v>
      </c>
    </row>
    <row r="1950" ht="15.75" customHeight="1">
      <c r="A1950" s="3" t="s">
        <v>15</v>
      </c>
      <c r="B1950" s="3" t="s">
        <v>26</v>
      </c>
      <c r="D1950" s="3" t="str">
        <f>IFERROR(__xludf.DUMMYFUNCTION("GOOGLETRANSLATE(A1950, ""nl"", ""en"")"),"Animals and Organic Forms")</f>
        <v>Animals and Organic Forms</v>
      </c>
      <c r="E1950" s="3" t="str">
        <f>IFERROR(__xludf.DUMMYFUNCTION("GOOGLETRANSLATE(B1950, ""nl"", ""en"")"),"A frog preparing to jump")</f>
        <v>A frog preparing to jump</v>
      </c>
    </row>
    <row r="1951" ht="15.75" customHeight="1">
      <c r="A1951" s="3" t="s">
        <v>7</v>
      </c>
      <c r="B1951" s="3" t="s">
        <v>56</v>
      </c>
      <c r="D1951" s="3" t="str">
        <f>IFERROR(__xludf.DUMMYFUNCTION("GOOGLETRANSLATE(A1951, ""nl"", ""en"")"),"Human Figures and Physicality")</f>
        <v>Human Figures and Physicality</v>
      </c>
      <c r="E1951" s="3" t="str">
        <f>IFERROR(__xludf.DUMMYFUNCTION("GOOGLETRANSLATE(B1951, ""nl"", ""en"")"),"A shadow that seems to move")</f>
        <v>A shadow that seems to move</v>
      </c>
    </row>
    <row r="1952" ht="15.75" customHeight="1">
      <c r="A1952" s="3" t="s">
        <v>9</v>
      </c>
      <c r="B1952" s="3" t="s">
        <v>11</v>
      </c>
      <c r="D1952" s="3" t="str">
        <f>IFERROR(__xludf.DUMMYFUNCTION("GOOGLETRANSLATE(A1952, ""nl"", ""en"")"),"Psychological and Emotional Interpretations")</f>
        <v>Psychological and Emotional Interpretations</v>
      </c>
      <c r="E1952" s="3" t="str">
        <f>IFERROR(__xludf.DUMMYFUNCTION("GOOGLETRANSLATE(B1952, ""nl"", ""en"")"),"An emotion captured in abstraction")</f>
        <v>An emotion captured in abstraction</v>
      </c>
    </row>
    <row r="1953" ht="15.75" customHeight="1">
      <c r="A1953" s="3" t="s">
        <v>15</v>
      </c>
      <c r="B1953" s="3" t="s">
        <v>46</v>
      </c>
      <c r="D1953" s="3" t="str">
        <f>IFERROR(__xludf.DUMMYFUNCTION("GOOGLETRANSLATE(A1953, ""nl"", ""en"")"),"Animals and Organic Forms")</f>
        <v>Animals and Organic Forms</v>
      </c>
      <c r="E1953" s="3" t="str">
        <f>IFERROR(__xludf.DUMMYFUNCTION("GOOGLETRANSLATE(B1953, ""nl"", ""en"")"),"A flock of fish moving as one")</f>
        <v>A flock of fish moving as one</v>
      </c>
    </row>
    <row r="1954" ht="15.75" customHeight="1">
      <c r="A1954" s="3" t="s">
        <v>7</v>
      </c>
      <c r="B1954" s="3" t="s">
        <v>28</v>
      </c>
      <c r="D1954" s="3" t="str">
        <f>IFERROR(__xludf.DUMMYFUNCTION("GOOGLETRANSLATE(A1954, ""nl"", ""en"")"),"Human Figures and Physicality")</f>
        <v>Human Figures and Physicality</v>
      </c>
      <c r="E1954" s="3" t="str">
        <f>IFERROR(__xludf.DUMMYFUNCTION("GOOGLETRANSLATE(B1954, ""nl"", ""en"")"),"A dancing silhouette")</f>
        <v>A dancing silhouette</v>
      </c>
    </row>
    <row r="1955" ht="15.75" customHeight="1">
      <c r="A1955" s="3" t="s">
        <v>7</v>
      </c>
      <c r="B1955" s="3" t="s">
        <v>56</v>
      </c>
      <c r="D1955" s="3" t="str">
        <f>IFERROR(__xludf.DUMMYFUNCTION("GOOGLETRANSLATE(A1955, ""nl"", ""en"")"),"Human Figures and Physicality")</f>
        <v>Human Figures and Physicality</v>
      </c>
      <c r="E1955" s="3" t="str">
        <f>IFERROR(__xludf.DUMMYFUNCTION("GOOGLETRANSLATE(B1955, ""nl"", ""en"")"),"A shadow that seems to move")</f>
        <v>A shadow that seems to move</v>
      </c>
    </row>
    <row r="1956" ht="15.75" customHeight="1">
      <c r="A1956" s="3" t="s">
        <v>7</v>
      </c>
      <c r="B1956" s="3" t="s">
        <v>53</v>
      </c>
      <c r="D1956" s="3" t="str">
        <f>IFERROR(__xludf.DUMMYFUNCTION("GOOGLETRANSLATE(A1956, ""nl"", ""en"")"),"Human Figures and Physicality")</f>
        <v>Human Figures and Physicality</v>
      </c>
      <c r="E1956" s="3" t="str">
        <f>IFERROR(__xludf.DUMMYFUNCTION("GOOGLETRANSLATE(B1956, ""nl"", ""en"")"),"A face that both smiles and cries")</f>
        <v>A face that both smiles and cries</v>
      </c>
    </row>
    <row r="1957" ht="15.75" customHeight="1">
      <c r="A1957" s="3" t="s">
        <v>7</v>
      </c>
      <c r="B1957" s="3" t="s">
        <v>53</v>
      </c>
      <c r="D1957" s="3" t="str">
        <f>IFERROR(__xludf.DUMMYFUNCTION("GOOGLETRANSLATE(A1957, ""nl"", ""en"")"),"Human Figures and Physicality")</f>
        <v>Human Figures and Physicality</v>
      </c>
      <c r="E1957" s="3" t="str">
        <f>IFERROR(__xludf.DUMMYFUNCTION("GOOGLETRANSLATE(B1957, ""nl"", ""en"")"),"A face that both smiles and cries")</f>
        <v>A face that both smiles and cries</v>
      </c>
    </row>
    <row r="1958" ht="15.75" customHeight="1">
      <c r="A1958" s="3" t="s">
        <v>4</v>
      </c>
      <c r="B1958" s="3" t="s">
        <v>20</v>
      </c>
      <c r="D1958" s="3" t="str">
        <f>IFERROR(__xludf.DUMMYFUNCTION("GOOGLETRANSLATE(A1958, ""nl"", ""en"")"),"Architectural and Structural Associations")</f>
        <v>Architectural and Structural Associations</v>
      </c>
      <c r="E1958" s="3" t="str">
        <f>IFERROR(__xludf.DUMMYFUNCTION("GOOGLETRANSLATE(B1958, ""nl"", ""en"")"),"A tower that grows by itself")</f>
        <v>A tower that grows by itself</v>
      </c>
    </row>
    <row r="1959" ht="15.75" customHeight="1">
      <c r="A1959" s="3" t="s">
        <v>4</v>
      </c>
      <c r="B1959" s="3" t="s">
        <v>44</v>
      </c>
      <c r="D1959" s="3" t="str">
        <f>IFERROR(__xludf.DUMMYFUNCTION("GOOGLETRANSLATE(A1959, ""nl"", ""en"")"),"Architectural and Structural Associations")</f>
        <v>Architectural and Structural Associations</v>
      </c>
      <c r="E1959" s="3" t="str">
        <f>IFERROR(__xludf.DUMMYFUNCTION("GOOGLETRANSLATE(B1959, ""nl"", ""en"")"),"A structure that pulsates in waves")</f>
        <v>A structure that pulsates in waves</v>
      </c>
    </row>
    <row r="1960" ht="15.75" customHeight="1">
      <c r="A1960" s="3" t="s">
        <v>12</v>
      </c>
      <c r="B1960" s="3" t="s">
        <v>23</v>
      </c>
      <c r="D1960" s="3" t="str">
        <f>IFERROR(__xludf.DUMMYFUNCTION("GOOGLETRANSLATE(A1960, ""nl"", ""en"")"),"Nature and Elements")</f>
        <v>Nature and Elements</v>
      </c>
      <c r="E1960" s="3" t="str">
        <f>IFERROR(__xludf.DUMMYFUNCTION("GOOGLETRANSLATE(B1960, ""nl"", ""en"")"),"A storm cloud splitting in two")</f>
        <v>A storm cloud splitting in two</v>
      </c>
    </row>
    <row r="1961" ht="15.75" customHeight="1">
      <c r="A1961" s="3" t="s">
        <v>4</v>
      </c>
      <c r="B1961" s="3" t="s">
        <v>5</v>
      </c>
      <c r="D1961" s="3" t="str">
        <f>IFERROR(__xludf.DUMMYFUNCTION("GOOGLETRANSLATE(A1961, ""nl"", ""en"")"),"Architectural and Structural Associations")</f>
        <v>Architectural and Structural Associations</v>
      </c>
      <c r="E1961" s="3" t="str">
        <f>IFERROR(__xludf.DUMMYFUNCTION("GOOGLETRANSLATE(B1961, ""nl"", ""en"")"),"A cathedral shaped from mist")</f>
        <v>A cathedral shaped from mist</v>
      </c>
    </row>
    <row r="1962" ht="15.75" customHeight="1">
      <c r="A1962" s="3" t="s">
        <v>15</v>
      </c>
      <c r="B1962" s="3" t="s">
        <v>38</v>
      </c>
      <c r="D1962" s="3" t="str">
        <f>IFERROR(__xludf.DUMMYFUNCTION("GOOGLETRANSLATE(A1962, ""nl"", ""en"")"),"Animals and Organic Forms")</f>
        <v>Animals and Organic Forms</v>
      </c>
      <c r="E1962" s="3" t="str">
        <f>IFERROR(__xludf.DUMMYFUNCTION("GOOGLETRANSLATE(B1962, ""nl"", ""en"")"),"A lion with an open mouth")</f>
        <v>A lion with an open mouth</v>
      </c>
    </row>
    <row r="1963" ht="15.75" customHeight="1">
      <c r="A1963" s="3" t="s">
        <v>15</v>
      </c>
      <c r="B1963" s="3" t="s">
        <v>52</v>
      </c>
      <c r="D1963" s="3" t="str">
        <f>IFERROR(__xludf.DUMMYFUNCTION("GOOGLETRANSLATE(A1963, ""nl"", ""en"")"),"Animals and Organic Forms")</f>
        <v>Animals and Organic Forms</v>
      </c>
      <c r="E1963" s="3" t="str">
        <f>IFERROR(__xludf.DUMMYFUNCTION("GOOGLETRANSLATE(B1963, ""nl"", ""en"")"),"A mask made of leaves")</f>
        <v>A mask made of leaves</v>
      </c>
    </row>
    <row r="1964" ht="15.75" customHeight="1">
      <c r="A1964" s="3" t="s">
        <v>15</v>
      </c>
      <c r="B1964" s="3" t="s">
        <v>45</v>
      </c>
      <c r="D1964" s="3" t="str">
        <f>IFERROR(__xludf.DUMMYFUNCTION("GOOGLETRANSLATE(A1964, ""nl"", ""en"")"),"Animals and Organic Forms")</f>
        <v>Animals and Organic Forms</v>
      </c>
      <c r="E1964" s="3" t="str">
        <f>IFERROR(__xludf.DUMMYFUNCTION("GOOGLETRANSLATE(B1964, ""nl"", ""en"")"),"A snake biting its own tail")</f>
        <v>A snake biting its own tail</v>
      </c>
    </row>
    <row r="1965" ht="15.75" customHeight="1">
      <c r="A1965" s="3" t="s">
        <v>7</v>
      </c>
      <c r="B1965" s="3" t="s">
        <v>8</v>
      </c>
      <c r="D1965" s="3" t="str">
        <f>IFERROR(__xludf.DUMMYFUNCTION("GOOGLETRANSLATE(A1965, ""nl"", ""en"")"),"Human Figures and Physicality")</f>
        <v>Human Figures and Physicality</v>
      </c>
      <c r="E1965" s="3" t="str">
        <f>IFERROR(__xludf.DUMMYFUNCTION("GOOGLETRANSLATE(B1965, ""nl"", ""en"")"),"Two figures mirroring each other")</f>
        <v>Two figures mirroring each other</v>
      </c>
    </row>
    <row r="1966" ht="15.75" customHeight="1">
      <c r="A1966" s="3" t="s">
        <v>9</v>
      </c>
      <c r="B1966" s="3" t="s">
        <v>17</v>
      </c>
      <c r="D1966" s="3" t="str">
        <f>IFERROR(__xludf.DUMMYFUNCTION("GOOGLETRANSLATE(A1966, ""nl"", ""en"")"),"Psychological and Emotional Interpretations")</f>
        <v>Psychological and Emotional Interpretations</v>
      </c>
      <c r="E1966" s="3" t="str">
        <f>IFERROR(__xludf.DUMMYFUNCTION("GOOGLETRANSLATE(B1966, ""nl"", ""en"")"),"A figure that seems to melt")</f>
        <v>A figure that seems to melt</v>
      </c>
    </row>
    <row r="1967" ht="15.75" customHeight="1">
      <c r="A1967" s="3" t="s">
        <v>24</v>
      </c>
      <c r="B1967" s="3" t="s">
        <v>32</v>
      </c>
      <c r="D1967" s="3" t="str">
        <f>IFERROR(__xludf.DUMMYFUNCTION("GOOGLETRANSLATE(A1967, ""nl"", ""en"")"),"Cosmic and Abstract Patterns")</f>
        <v>Cosmic and Abstract Patterns</v>
      </c>
      <c r="E1967" s="3" t="str">
        <f>IFERROR(__xludf.DUMMYFUNCTION("GOOGLETRANSLATE(B1967, ""nl"", ""en"")"),"A time loop captured in image")</f>
        <v>A time loop captured in image</v>
      </c>
    </row>
    <row r="1968" ht="15.75" customHeight="1">
      <c r="A1968" s="3" t="s">
        <v>7</v>
      </c>
      <c r="B1968" s="3" t="s">
        <v>41</v>
      </c>
      <c r="D1968" s="3" t="str">
        <f>IFERROR(__xludf.DUMMYFUNCTION("GOOGLETRANSLATE(A1968, ""nl"", ""en"")"),"Human Figures and Physicality")</f>
        <v>Human Figures and Physicality</v>
      </c>
      <c r="E1968" s="3" t="str">
        <f>IFERROR(__xludf.DUMMYFUNCTION("GOOGLETRANSLATE(B1968, ""nl"", ""en"")"),"A face that fades into abstraction")</f>
        <v>A face that fades into abstraction</v>
      </c>
    </row>
    <row r="1969" ht="15.75" customHeight="1">
      <c r="A1969" s="3" t="s">
        <v>7</v>
      </c>
      <c r="B1969" s="3" t="s">
        <v>34</v>
      </c>
      <c r="D1969" s="3" t="str">
        <f>IFERROR(__xludf.DUMMYFUNCTION("GOOGLETRANSLATE(A1969, ""nl"", ""en"")"),"Human Figures and Physicality")</f>
        <v>Human Figures and Physicality</v>
      </c>
      <c r="E1969" s="3" t="str">
        <f>IFERROR(__xludf.DUMMYFUNCTION("GOOGLETRANSLATE(B1969, ""nl"", ""en"")"),"Hands almost touching")</f>
        <v>Hands almost touching</v>
      </c>
    </row>
    <row r="1970" ht="15.75" customHeight="1">
      <c r="A1970" s="3" t="s">
        <v>24</v>
      </c>
      <c r="B1970" s="3" t="s">
        <v>48</v>
      </c>
      <c r="D1970" s="3" t="str">
        <f>IFERROR(__xludf.DUMMYFUNCTION("GOOGLETRANSLATE(A1970, ""nl"", ""en"")"),"Cosmic and Abstract Patterns")</f>
        <v>Cosmic and Abstract Patterns</v>
      </c>
      <c r="E1970" s="3" t="str">
        <f>IFERROR(__xludf.DUMMYFUNCTION("GOOGLETRANSLATE(B1970, ""nl"", ""en"")"),"A fractal that repeats itself")</f>
        <v>A fractal that repeats itself</v>
      </c>
    </row>
    <row r="1971" ht="15.75" customHeight="1">
      <c r="A1971" s="3" t="s">
        <v>12</v>
      </c>
      <c r="B1971" s="3" t="s">
        <v>23</v>
      </c>
      <c r="D1971" s="3" t="str">
        <f>IFERROR(__xludf.DUMMYFUNCTION("GOOGLETRANSLATE(A1971, ""nl"", ""en"")"),"Nature and Elements")</f>
        <v>Nature and Elements</v>
      </c>
      <c r="E1971" s="3" t="str">
        <f>IFERROR(__xludf.DUMMYFUNCTION("GOOGLETRANSLATE(B1971, ""nl"", ""en"")"),"A storm cloud splitting in two")</f>
        <v>A storm cloud splitting in two</v>
      </c>
    </row>
    <row r="1972" ht="15.75" customHeight="1">
      <c r="A1972" s="3" t="s">
        <v>24</v>
      </c>
      <c r="B1972" s="3" t="s">
        <v>29</v>
      </c>
      <c r="D1972" s="3" t="str">
        <f>IFERROR(__xludf.DUMMYFUNCTION("GOOGLETRANSLATE(A1972, ""nl"", ""en"")"),"Cosmic and Abstract Patterns")</f>
        <v>Cosmic and Abstract Patterns</v>
      </c>
      <c r="E1972" s="3" t="str">
        <f>IFERROR(__xludf.DUMMYFUNCTION("GOOGLETRANSLATE(B1972, ""nl"", ""en"")"),"A galaxy unfolding")</f>
        <v>A galaxy unfolding</v>
      </c>
    </row>
    <row r="1973" ht="15.75" customHeight="1">
      <c r="A1973" s="3" t="s">
        <v>9</v>
      </c>
      <c r="B1973" s="3" t="s">
        <v>10</v>
      </c>
      <c r="D1973" s="3" t="str">
        <f>IFERROR(__xludf.DUMMYFUNCTION("GOOGLETRANSLATE(A1973, ""nl"", ""en"")"),"Psychological and Emotional Interpretations")</f>
        <v>Psychological and Emotional Interpretations</v>
      </c>
      <c r="E1973" s="3" t="str">
        <f>IFERROR(__xludf.DUMMYFUNCTION("GOOGLETRANSLATE(B1973, ""nl"", ""en"")"),"A face transforming in light")</f>
        <v>A face transforming in light</v>
      </c>
    </row>
    <row r="1974" ht="15.75" customHeight="1">
      <c r="A1974" s="3" t="s">
        <v>9</v>
      </c>
      <c r="B1974" s="3" t="s">
        <v>11</v>
      </c>
      <c r="D1974" s="3" t="str">
        <f>IFERROR(__xludf.DUMMYFUNCTION("GOOGLETRANSLATE(A1974, ""nl"", ""en"")"),"Psychological and Emotional Interpretations")</f>
        <v>Psychological and Emotional Interpretations</v>
      </c>
      <c r="E1974" s="3" t="str">
        <f>IFERROR(__xludf.DUMMYFUNCTION("GOOGLETRANSLATE(B1974, ""nl"", ""en"")"),"An emotion captured in abstraction")</f>
        <v>An emotion captured in abstraction</v>
      </c>
    </row>
    <row r="1975" ht="15.75" customHeight="1">
      <c r="A1975" s="3" t="s">
        <v>24</v>
      </c>
      <c r="B1975" s="3" t="s">
        <v>32</v>
      </c>
      <c r="D1975" s="3" t="str">
        <f>IFERROR(__xludf.DUMMYFUNCTION("GOOGLETRANSLATE(A1975, ""nl"", ""en"")"),"Cosmic and Abstract Patterns")</f>
        <v>Cosmic and Abstract Patterns</v>
      </c>
      <c r="E1975" s="3" t="str">
        <f>IFERROR(__xludf.DUMMYFUNCTION("GOOGLETRANSLATE(B1975, ""nl"", ""en"")"),"A time loop captured in image")</f>
        <v>A time loop captured in image</v>
      </c>
    </row>
    <row r="1976" ht="15.75" customHeight="1">
      <c r="A1976" s="3" t="s">
        <v>4</v>
      </c>
      <c r="B1976" s="3" t="s">
        <v>6</v>
      </c>
      <c r="D1976" s="3" t="str">
        <f>IFERROR(__xludf.DUMMYFUNCTION("GOOGLETRANSLATE(A1976, ""nl"", ""en"")"),"Architectural and Structural Associations")</f>
        <v>Architectural and Structural Associations</v>
      </c>
      <c r="E1976" s="3" t="str">
        <f>IFERROR(__xludf.DUMMYFUNCTION("GOOGLETRANSLATE(B1976, ""nl"", ""en"")"),"An endless labyrinth")</f>
        <v>An endless labyrinth</v>
      </c>
    </row>
    <row r="1977" ht="15.75" customHeight="1">
      <c r="A1977" s="3" t="s">
        <v>15</v>
      </c>
      <c r="B1977" s="3" t="s">
        <v>45</v>
      </c>
      <c r="D1977" s="3" t="str">
        <f>IFERROR(__xludf.DUMMYFUNCTION("GOOGLETRANSLATE(A1977, ""nl"", ""en"")"),"Animals and Organic Forms")</f>
        <v>Animals and Organic Forms</v>
      </c>
      <c r="E1977" s="3" t="str">
        <f>IFERROR(__xludf.DUMMYFUNCTION("GOOGLETRANSLATE(B1977, ""nl"", ""en"")"),"A snake biting its own tail")</f>
        <v>A snake biting its own tail</v>
      </c>
    </row>
    <row r="1978" ht="15.75" customHeight="1">
      <c r="A1978" s="3" t="s">
        <v>4</v>
      </c>
      <c r="B1978" s="3" t="s">
        <v>35</v>
      </c>
      <c r="D1978" s="3" t="str">
        <f>IFERROR(__xludf.DUMMYFUNCTION("GOOGLETRANSLATE(A1978, ""nl"", ""en"")"),"Architectural and Structural Associations")</f>
        <v>Architectural and Structural Associations</v>
      </c>
      <c r="E1978" s="3" t="str">
        <f>IFERROR(__xludf.DUMMYFUNCTION("GOOGLETRANSLATE(B1978, ""nl"", ""en"")"),"A floating building without a base")</f>
        <v>A floating building without a base</v>
      </c>
    </row>
    <row r="1979" ht="15.75" customHeight="1">
      <c r="A1979" s="3" t="s">
        <v>12</v>
      </c>
      <c r="B1979" s="3" t="s">
        <v>47</v>
      </c>
      <c r="D1979" s="3" t="str">
        <f>IFERROR(__xludf.DUMMYFUNCTION("GOOGLETRANSLATE(A1979, ""nl"", ""en"")"),"Nature and Elements")</f>
        <v>Nature and Elements</v>
      </c>
      <c r="E1979" s="3" t="str">
        <f>IFERROR(__xludf.DUMMYFUNCTION("GOOGLETRANSLATE(B1979, ""nl"", ""en"")"),"A desert landscape that slowly changes")</f>
        <v>A desert landscape that slowly changes</v>
      </c>
    </row>
    <row r="1980" ht="15.75" customHeight="1">
      <c r="A1980" s="3" t="s">
        <v>15</v>
      </c>
      <c r="B1980" s="3" t="s">
        <v>45</v>
      </c>
      <c r="D1980" s="3" t="str">
        <f>IFERROR(__xludf.DUMMYFUNCTION("GOOGLETRANSLATE(A1980, ""nl"", ""en"")"),"Animals and Organic Forms")</f>
        <v>Animals and Organic Forms</v>
      </c>
      <c r="E1980" s="3" t="str">
        <f>IFERROR(__xludf.DUMMYFUNCTION("GOOGLETRANSLATE(B1980, ""nl"", ""en"")"),"A snake biting its own tail")</f>
        <v>A snake biting its own tail</v>
      </c>
    </row>
    <row r="1981" ht="15.75" customHeight="1">
      <c r="A1981" s="3" t="s">
        <v>7</v>
      </c>
      <c r="B1981" s="3" t="s">
        <v>39</v>
      </c>
      <c r="D1981" s="3" t="str">
        <f>IFERROR(__xludf.DUMMYFUNCTION("GOOGLETRANSLATE(A1981, ""nl"", ""en"")"),"Human Figures and Physicality")</f>
        <v>Human Figures and Physicality</v>
      </c>
      <c r="E1981" s="3" t="str">
        <f>IFERROR(__xludf.DUMMYFUNCTION("GOOGLETRANSLATE(B1981, ""nl"", ""en"")"),"A torso without a head")</f>
        <v>A torso without a head</v>
      </c>
    </row>
    <row r="1982" ht="15.75" customHeight="1">
      <c r="A1982" s="3" t="s">
        <v>15</v>
      </c>
      <c r="B1982" s="3" t="s">
        <v>50</v>
      </c>
      <c r="D1982" s="3" t="str">
        <f>IFERROR(__xludf.DUMMYFUNCTION("GOOGLETRANSLATE(A1982, ""nl"", ""en"")"),"Animals and Organic Forms")</f>
        <v>Animals and Organic Forms</v>
      </c>
      <c r="E1982" s="3" t="str">
        <f>IFERROR(__xludf.DUMMYFUNCTION("GOOGLETRANSLATE(B1982, ""nl"", ""en"")"),"A squid with extended tentacles")</f>
        <v>A squid with extended tentacles</v>
      </c>
    </row>
    <row r="1983" ht="15.75" customHeight="1">
      <c r="A1983" s="3" t="s">
        <v>24</v>
      </c>
      <c r="B1983" s="3" t="s">
        <v>32</v>
      </c>
      <c r="D1983" s="3" t="str">
        <f>IFERROR(__xludf.DUMMYFUNCTION("GOOGLETRANSLATE(A1983, ""nl"", ""en"")"),"Cosmic and Abstract Patterns")</f>
        <v>Cosmic and Abstract Patterns</v>
      </c>
      <c r="E1983" s="3" t="str">
        <f>IFERROR(__xludf.DUMMYFUNCTION("GOOGLETRANSLATE(B1983, ""nl"", ""en"")"),"A time loop captured in image")</f>
        <v>A time loop captured in image</v>
      </c>
    </row>
    <row r="1984" ht="15.75" customHeight="1">
      <c r="A1984" s="3" t="s">
        <v>12</v>
      </c>
      <c r="B1984" s="3" t="s">
        <v>13</v>
      </c>
      <c r="D1984" s="3" t="str">
        <f>IFERROR(__xludf.DUMMYFUNCTION("GOOGLETRANSLATE(A1984, ""nl"", ""en"")"),"Nature and Elements")</f>
        <v>Nature and Elements</v>
      </c>
      <c r="E1984" s="3" t="str">
        <f>IFERROR(__xludf.DUMMYFUNCTION("GOOGLETRANSLATE(B1984, ""nl"", ""en"")"),"A lightning strike in slow motion")</f>
        <v>A lightning strike in slow motion</v>
      </c>
    </row>
    <row r="1985" ht="15.75" customHeight="1">
      <c r="A1985" s="3" t="s">
        <v>24</v>
      </c>
      <c r="B1985" s="3" t="s">
        <v>27</v>
      </c>
      <c r="D1985" s="3" t="str">
        <f>IFERROR(__xludf.DUMMYFUNCTION("GOOGLETRANSLATE(A1985, ""nl"", ""en"")"),"Cosmic and Abstract Patterns")</f>
        <v>Cosmic and Abstract Patterns</v>
      </c>
      <c r="E1985" s="3" t="str">
        <f>IFERROR(__xludf.DUMMYFUNCTION("GOOGLETRANSLATE(B1985, ""nl"", ""en"")"),"A pair of black holes in dance")</f>
        <v>A pair of black holes in dance</v>
      </c>
    </row>
    <row r="1986" ht="15.75" customHeight="1">
      <c r="A1986" s="3" t="s">
        <v>15</v>
      </c>
      <c r="B1986" s="3" t="s">
        <v>52</v>
      </c>
      <c r="D1986" s="3" t="str">
        <f>IFERROR(__xludf.DUMMYFUNCTION("GOOGLETRANSLATE(A1986, ""nl"", ""en"")"),"Animals and Organic Forms")</f>
        <v>Animals and Organic Forms</v>
      </c>
      <c r="E1986" s="3" t="str">
        <f>IFERROR(__xludf.DUMMYFUNCTION("GOOGLETRANSLATE(B1986, ""nl"", ""en"")"),"A mask made of leaves")</f>
        <v>A mask made of leaves</v>
      </c>
    </row>
    <row r="1987" ht="15.75" customHeight="1">
      <c r="A1987" s="3" t="s">
        <v>9</v>
      </c>
      <c r="B1987" s="3" t="s">
        <v>42</v>
      </c>
      <c r="D1987" s="3" t="str">
        <f>IFERROR(__xludf.DUMMYFUNCTION("GOOGLETRANSLATE(A1987, ""nl"", ""en"")"),"Psychological and Emotional Interpretations")</f>
        <v>Psychological and Emotional Interpretations</v>
      </c>
      <c r="E1987" s="3" t="str">
        <f>IFERROR(__xludf.DUMMYFUNCTION("GOOGLETRANSLATE(B1987, ""nl"", ""en"")"),"A mask that slowly disappears")</f>
        <v>A mask that slowly disappears</v>
      </c>
    </row>
    <row r="1988" ht="15.75" customHeight="1">
      <c r="A1988" s="3" t="s">
        <v>7</v>
      </c>
      <c r="B1988" s="3" t="s">
        <v>40</v>
      </c>
      <c r="D1988" s="3" t="str">
        <f>IFERROR(__xludf.DUMMYFUNCTION("GOOGLETRANSLATE(A1988, ""nl"", ""en"")"),"Human Figures and Physicality")</f>
        <v>Human Figures and Physicality</v>
      </c>
      <c r="E1988" s="3" t="str">
        <f>IFERROR(__xludf.DUMMYFUNCTION("GOOGLETRANSLATE(B1988, ""nl"", ""en"")"),"A figure who is withdrawn into himself")</f>
        <v>A figure who is withdrawn into himself</v>
      </c>
    </row>
    <row r="1989" ht="15.75" customHeight="1">
      <c r="A1989" s="3" t="s">
        <v>12</v>
      </c>
      <c r="B1989" s="3" t="s">
        <v>19</v>
      </c>
      <c r="D1989" s="3" t="str">
        <f>IFERROR(__xludf.DUMMYFUNCTION("GOOGLETRANSLATE(A1989, ""nl"", ""en"")"),"Nature and Elements")</f>
        <v>Nature and Elements</v>
      </c>
      <c r="E1989" s="3" t="str">
        <f>IFERROR(__xludf.DUMMYFUNCTION("GOOGLETRANSLATE(B1989, ""nl"", ""en"")"),"A mountain range that seems to breathe")</f>
        <v>A mountain range that seems to breathe</v>
      </c>
    </row>
    <row r="1990" ht="15.75" customHeight="1">
      <c r="A1990" s="3" t="s">
        <v>9</v>
      </c>
      <c r="B1990" s="3" t="s">
        <v>14</v>
      </c>
      <c r="D1990" s="3" t="str">
        <f>IFERROR(__xludf.DUMMYFUNCTION("GOOGLETRANSLATE(A1990, ""nl"", ""en"")"),"Psychological and Emotional Interpretations")</f>
        <v>Psychological and Emotional Interpretations</v>
      </c>
      <c r="E1990" s="3" t="str">
        <f>IFERROR(__xludf.DUMMYFUNCTION("GOOGLETRANSLATE(B1990, ""nl"", ""en"")"),"An unclear hug")</f>
        <v>An unclear hug</v>
      </c>
    </row>
    <row r="1991" ht="15.75" customHeight="1">
      <c r="A1991" s="3" t="s">
        <v>15</v>
      </c>
      <c r="B1991" s="3" t="s">
        <v>46</v>
      </c>
      <c r="D1991" s="3" t="str">
        <f>IFERROR(__xludf.DUMMYFUNCTION("GOOGLETRANSLATE(A1991, ""nl"", ""en"")"),"Animals and Organic Forms")</f>
        <v>Animals and Organic Forms</v>
      </c>
      <c r="E1991" s="3" t="str">
        <f>IFERROR(__xludf.DUMMYFUNCTION("GOOGLETRANSLATE(B1991, ""nl"", ""en"")"),"A flock of fish moving as one")</f>
        <v>A flock of fish moving as one</v>
      </c>
    </row>
    <row r="1992" ht="15.75" customHeight="1">
      <c r="A1992" s="3" t="s">
        <v>7</v>
      </c>
      <c r="B1992" s="3" t="s">
        <v>28</v>
      </c>
      <c r="D1992" s="3" t="str">
        <f>IFERROR(__xludf.DUMMYFUNCTION("GOOGLETRANSLATE(A1992, ""nl"", ""en"")"),"Human Figures and Physicality")</f>
        <v>Human Figures and Physicality</v>
      </c>
      <c r="E1992" s="3" t="str">
        <f>IFERROR(__xludf.DUMMYFUNCTION("GOOGLETRANSLATE(B1992, ""nl"", ""en"")"),"A dancing silhouette")</f>
        <v>A dancing silhouette</v>
      </c>
    </row>
    <row r="1993" ht="15.75" customHeight="1">
      <c r="A1993" s="3" t="s">
        <v>4</v>
      </c>
      <c r="B1993" s="3" t="s">
        <v>35</v>
      </c>
      <c r="D1993" s="3" t="str">
        <f>IFERROR(__xludf.DUMMYFUNCTION("GOOGLETRANSLATE(A1993, ""nl"", ""en"")"),"Architectural and Structural Associations")</f>
        <v>Architectural and Structural Associations</v>
      </c>
      <c r="E1993" s="3" t="str">
        <f>IFERROR(__xludf.DUMMYFUNCTION("GOOGLETRANSLATE(B1993, ""nl"", ""en"")"),"A floating building without a base")</f>
        <v>A floating building without a base</v>
      </c>
    </row>
    <row r="1994" ht="15.75" customHeight="1">
      <c r="A1994" s="3" t="s">
        <v>12</v>
      </c>
      <c r="B1994" s="3" t="s">
        <v>19</v>
      </c>
      <c r="D1994" s="3" t="str">
        <f>IFERROR(__xludf.DUMMYFUNCTION("GOOGLETRANSLATE(A1994, ""nl"", ""en"")"),"Nature and Elements")</f>
        <v>Nature and Elements</v>
      </c>
      <c r="E1994" s="3" t="str">
        <f>IFERROR(__xludf.DUMMYFUNCTION("GOOGLETRANSLATE(B1994, ""nl"", ""en"")"),"A mountain range that seems to breathe")</f>
        <v>A mountain range that seems to breathe</v>
      </c>
    </row>
    <row r="1995" ht="15.75" customHeight="1">
      <c r="A1995" s="3" t="s">
        <v>9</v>
      </c>
      <c r="B1995" s="3" t="s">
        <v>49</v>
      </c>
      <c r="D1995" s="3" t="str">
        <f>IFERROR(__xludf.DUMMYFUNCTION("GOOGLETRANSLATE(A1995, ""nl"", ""en"")"),"Psychological and Emotional Interpretations")</f>
        <v>Psychological and Emotional Interpretations</v>
      </c>
      <c r="E1995" s="3" t="str">
        <f>IFERROR(__xludf.DUMMYFUNCTION("GOOGLETRANSLATE(B1995, ""nl"", ""en"")"),"A spiral that turns inward")</f>
        <v>A spiral that turns inward</v>
      </c>
    </row>
    <row r="1996" ht="15.75" customHeight="1">
      <c r="A1996" s="3" t="s">
        <v>15</v>
      </c>
      <c r="B1996" s="3" t="s">
        <v>52</v>
      </c>
      <c r="D1996" s="3" t="str">
        <f>IFERROR(__xludf.DUMMYFUNCTION("GOOGLETRANSLATE(A1996, ""nl"", ""en"")"),"Animals and Organic Forms")</f>
        <v>Animals and Organic Forms</v>
      </c>
      <c r="E1996" s="3" t="str">
        <f>IFERROR(__xludf.DUMMYFUNCTION("GOOGLETRANSLATE(B1996, ""nl"", ""en"")"),"A mask made of leaves")</f>
        <v>A mask made of leaves</v>
      </c>
    </row>
    <row r="1997" ht="15.75" customHeight="1">
      <c r="A1997" s="3" t="s">
        <v>12</v>
      </c>
      <c r="B1997" s="3" t="s">
        <v>36</v>
      </c>
      <c r="D1997" s="3" t="str">
        <f>IFERROR(__xludf.DUMMYFUNCTION("GOOGLETRANSLATE(A1997, ""nl"", ""en"")"),"Nature and Elements")</f>
        <v>Nature and Elements</v>
      </c>
      <c r="E1997" s="3" t="str">
        <f>IFERROR(__xludf.DUMMYFUNCTION("GOOGLETRANSLATE(B1997, ""nl"", ""en"")"),"A river delta from a bird's-eye view")</f>
        <v>A river delta from a bird's-eye view</v>
      </c>
    </row>
    <row r="1998" ht="15.75" customHeight="1">
      <c r="A1998" s="3" t="s">
        <v>12</v>
      </c>
      <c r="B1998" s="3" t="s">
        <v>30</v>
      </c>
      <c r="D1998" s="3" t="str">
        <f>IFERROR(__xludf.DUMMYFUNCTION("GOOGLETRANSLATE(A1998, ""nl"", ""en"")"),"Nature and Elements")</f>
        <v>Nature and Elements</v>
      </c>
      <c r="E1998" s="3" t="str">
        <f>IFERROR(__xludf.DUMMYFUNCTION("GOOGLETRANSLATE(B1998, ""nl"", ""en"")"),"Waves breaking in fractal patterns")</f>
        <v>Waves breaking in fractal patterns</v>
      </c>
    </row>
    <row r="1999" ht="15.75" customHeight="1">
      <c r="A1999" s="3" t="s">
        <v>24</v>
      </c>
      <c r="B1999" s="3" t="s">
        <v>33</v>
      </c>
      <c r="D1999" s="3" t="str">
        <f>IFERROR(__xludf.DUMMYFUNCTION("GOOGLETRANSLATE(A1999, ""nl"", ""en"")"),"Cosmic and Abstract Patterns")</f>
        <v>Cosmic and Abstract Patterns</v>
      </c>
      <c r="E1999" s="3" t="str">
        <f>IFERROR(__xludf.DUMMYFUNCTION("GOOGLETRANSLATE(B1999, ""nl"", ""en"")"),"An eye that repeats itself in endless patterns")</f>
        <v>An eye that repeats itself in endless patterns</v>
      </c>
    </row>
    <row r="2000" ht="15.75" customHeight="1">
      <c r="A2000" s="3" t="s">
        <v>24</v>
      </c>
      <c r="B2000" s="3" t="s">
        <v>29</v>
      </c>
      <c r="D2000" s="3" t="str">
        <f>IFERROR(__xludf.DUMMYFUNCTION("GOOGLETRANSLATE(A2000, ""nl"", ""en"")"),"Cosmic and Abstract Patterns")</f>
        <v>Cosmic and Abstract Patterns</v>
      </c>
      <c r="E2000" s="3" t="str">
        <f>IFERROR(__xludf.DUMMYFUNCTION("GOOGLETRANSLATE(B2000, ""nl"", ""en"")"),"A galaxy unfolding")</f>
        <v>A galaxy unfolding</v>
      </c>
    </row>
    <row r="2001" ht="15.75" customHeight="1">
      <c r="A2001" s="3" t="s">
        <v>24</v>
      </c>
      <c r="B2001" s="3" t="s">
        <v>32</v>
      </c>
      <c r="D2001" s="3" t="str">
        <f>IFERROR(__xludf.DUMMYFUNCTION("GOOGLETRANSLATE(A2001, ""nl"", ""en"")"),"Cosmic and Abstract Patterns")</f>
        <v>Cosmic and Abstract Patterns</v>
      </c>
      <c r="E2001" s="3" t="str">
        <f>IFERROR(__xludf.DUMMYFUNCTION("GOOGLETRANSLATE(B2001, ""nl"", ""en"")"),"A time loop captured in image")</f>
        <v>A time loop captured in image</v>
      </c>
    </row>
    <row r="2002" ht="15.75" customHeight="1">
      <c r="A2002" s="3" t="s">
        <v>9</v>
      </c>
      <c r="B2002" s="3" t="s">
        <v>11</v>
      </c>
      <c r="D2002" s="3" t="str">
        <f>IFERROR(__xludf.DUMMYFUNCTION("GOOGLETRANSLATE(A2002, ""nl"", ""en"")"),"Psychological and Emotional Interpretations")</f>
        <v>Psychological and Emotional Interpretations</v>
      </c>
      <c r="E2002" s="3" t="str">
        <f>IFERROR(__xludf.DUMMYFUNCTION("GOOGLETRANSLATE(B2002, ""nl"", ""en"")"),"An emotion captured in abstraction")</f>
        <v>An emotion captured in abstraction</v>
      </c>
    </row>
    <row r="2003" ht="15.75" customHeight="1">
      <c r="A2003" s="3" t="s">
        <v>15</v>
      </c>
      <c r="B2003" s="3" t="s">
        <v>46</v>
      </c>
      <c r="D2003" s="3" t="str">
        <f>IFERROR(__xludf.DUMMYFUNCTION("GOOGLETRANSLATE(A2003, ""nl"", ""en"")"),"Animals and Organic Forms")</f>
        <v>Animals and Organic Forms</v>
      </c>
      <c r="E2003" s="3" t="str">
        <f>IFERROR(__xludf.DUMMYFUNCTION("GOOGLETRANSLATE(B2003, ""nl"", ""en"")"),"A flock of fish moving as one")</f>
        <v>A flock of fish moving as one</v>
      </c>
    </row>
    <row r="2004" ht="15.75" customHeight="1">
      <c r="A2004" s="3" t="s">
        <v>24</v>
      </c>
      <c r="B2004" s="3" t="s">
        <v>33</v>
      </c>
      <c r="D2004" s="3" t="str">
        <f>IFERROR(__xludf.DUMMYFUNCTION("GOOGLETRANSLATE(A2004, ""nl"", ""en"")"),"Cosmic and Abstract Patterns")</f>
        <v>Cosmic and Abstract Patterns</v>
      </c>
      <c r="E2004" s="3" t="str">
        <f>IFERROR(__xludf.DUMMYFUNCTION("GOOGLETRANSLATE(B2004, ""nl"", ""en"")"),"An eye that repeats itself in endless patterns")</f>
        <v>An eye that repeats itself in endless patterns</v>
      </c>
    </row>
    <row r="2005" ht="15.75" customHeight="1">
      <c r="A2005" s="3" t="s">
        <v>7</v>
      </c>
      <c r="B2005" s="3" t="s">
        <v>28</v>
      </c>
      <c r="D2005" s="3" t="str">
        <f>IFERROR(__xludf.DUMMYFUNCTION("GOOGLETRANSLATE(A2005, ""nl"", ""en"")"),"Human Figures and Physicality")</f>
        <v>Human Figures and Physicality</v>
      </c>
      <c r="E2005" s="3" t="str">
        <f>IFERROR(__xludf.DUMMYFUNCTION("GOOGLETRANSLATE(B2005, ""nl"", ""en"")"),"A dancing silhouette")</f>
        <v>A dancing silhouette</v>
      </c>
    </row>
    <row r="2006" ht="15.75" customHeight="1">
      <c r="A2006" s="3" t="s">
        <v>9</v>
      </c>
      <c r="B2006" s="3" t="s">
        <v>49</v>
      </c>
      <c r="D2006" s="3" t="str">
        <f>IFERROR(__xludf.DUMMYFUNCTION("GOOGLETRANSLATE(A2006, ""nl"", ""en"")"),"Psychological and Emotional Interpretations")</f>
        <v>Psychological and Emotional Interpretations</v>
      </c>
      <c r="E2006" s="3" t="str">
        <f>IFERROR(__xludf.DUMMYFUNCTION("GOOGLETRANSLATE(B2006, ""nl"", ""en"")"),"A spiral that turns inward")</f>
        <v>A spiral that turns inward</v>
      </c>
    </row>
    <row r="2007" ht="15.75" customHeight="1">
      <c r="A2007" s="3" t="s">
        <v>12</v>
      </c>
      <c r="B2007" s="3" t="s">
        <v>36</v>
      </c>
      <c r="D2007" s="3" t="str">
        <f>IFERROR(__xludf.DUMMYFUNCTION("GOOGLETRANSLATE(A2007, ""nl"", ""en"")"),"Nature and Elements")</f>
        <v>Nature and Elements</v>
      </c>
      <c r="E2007" s="3" t="str">
        <f>IFERROR(__xludf.DUMMYFUNCTION("GOOGLETRANSLATE(B2007, ""nl"", ""en"")"),"A river delta from a bird's-eye view")</f>
        <v>A river delta from a bird's-eye view</v>
      </c>
    </row>
    <row r="2008" ht="15.75" customHeight="1">
      <c r="A2008" s="3" t="s">
        <v>4</v>
      </c>
      <c r="B2008" s="3" t="s">
        <v>35</v>
      </c>
      <c r="D2008" s="3" t="str">
        <f>IFERROR(__xludf.DUMMYFUNCTION("GOOGLETRANSLATE(A2008, ""nl"", ""en"")"),"Architectural and Structural Associations")</f>
        <v>Architectural and Structural Associations</v>
      </c>
      <c r="E2008" s="3" t="str">
        <f>IFERROR(__xludf.DUMMYFUNCTION("GOOGLETRANSLATE(B2008, ""nl"", ""en"")"),"A floating building without a base")</f>
        <v>A floating building without a base</v>
      </c>
    </row>
    <row r="2009" ht="15.75" customHeight="1">
      <c r="A2009" s="3" t="s">
        <v>4</v>
      </c>
      <c r="B2009" s="3" t="s">
        <v>6</v>
      </c>
      <c r="D2009" s="3" t="str">
        <f>IFERROR(__xludf.DUMMYFUNCTION("GOOGLETRANSLATE(A2009, ""nl"", ""en"")"),"Architectural and Structural Associations")</f>
        <v>Architectural and Structural Associations</v>
      </c>
      <c r="E2009" s="3" t="str">
        <f>IFERROR(__xludf.DUMMYFUNCTION("GOOGLETRANSLATE(B2009, ""nl"", ""en"")"),"An endless labyrinth")</f>
        <v>An endless labyrinth</v>
      </c>
    </row>
    <row r="2010" ht="15.75" customHeight="1">
      <c r="A2010" s="3" t="s">
        <v>24</v>
      </c>
      <c r="B2010" s="3" t="s">
        <v>54</v>
      </c>
      <c r="D2010" s="3" t="str">
        <f>IFERROR(__xludf.DUMMYFUNCTION("GOOGLETRANSLATE(A2010, ""nl"", ""en"")"),"Cosmic and Abstract Patterns")</f>
        <v>Cosmic and Abstract Patterns</v>
      </c>
      <c r="E2010" s="3" t="str">
        <f>IFERROR(__xludf.DUMMYFUNCTION("GOOGLETRANSLATE(B2010, ""nl"", ""en"")"),"A quantum particle in superposition")</f>
        <v>A quantum particle in superposition</v>
      </c>
    </row>
    <row r="2011" ht="15.75" customHeight="1">
      <c r="A2011" s="3" t="s">
        <v>4</v>
      </c>
      <c r="B2011" s="3" t="s">
        <v>20</v>
      </c>
      <c r="D2011" s="3" t="str">
        <f>IFERROR(__xludf.DUMMYFUNCTION("GOOGLETRANSLATE(A2011, ""nl"", ""en"")"),"Architectural and Structural Associations")</f>
        <v>Architectural and Structural Associations</v>
      </c>
      <c r="E2011" s="3" t="str">
        <f>IFERROR(__xludf.DUMMYFUNCTION("GOOGLETRANSLATE(B2011, ""nl"", ""en"")"),"A tower that grows by itself")</f>
        <v>A tower that grows by itself</v>
      </c>
    </row>
    <row r="2012" ht="15.75" customHeight="1">
      <c r="A2012" s="3" t="s">
        <v>4</v>
      </c>
      <c r="B2012" s="3" t="s">
        <v>20</v>
      </c>
      <c r="D2012" s="3" t="str">
        <f>IFERROR(__xludf.DUMMYFUNCTION("GOOGLETRANSLATE(A2012, ""nl"", ""en"")"),"Architectural and Structural Associations")</f>
        <v>Architectural and Structural Associations</v>
      </c>
      <c r="E2012" s="3" t="str">
        <f>IFERROR(__xludf.DUMMYFUNCTION("GOOGLETRANSLATE(B2012, ""nl"", ""en"")"),"A tower that grows by itself")</f>
        <v>A tower that grows by itself</v>
      </c>
    </row>
    <row r="2013" ht="15.75" customHeight="1">
      <c r="A2013" s="3" t="s">
        <v>7</v>
      </c>
      <c r="B2013" s="3" t="s">
        <v>39</v>
      </c>
      <c r="D2013" s="3" t="str">
        <f>IFERROR(__xludf.DUMMYFUNCTION("GOOGLETRANSLATE(A2013, ""nl"", ""en"")"),"Human Figures and Physicality")</f>
        <v>Human Figures and Physicality</v>
      </c>
      <c r="E2013" s="3" t="str">
        <f>IFERROR(__xludf.DUMMYFUNCTION("GOOGLETRANSLATE(B2013, ""nl"", ""en"")"),"A torso without a head")</f>
        <v>A torso without a head</v>
      </c>
    </row>
    <row r="2014" ht="15.75" customHeight="1">
      <c r="A2014" s="3" t="s">
        <v>4</v>
      </c>
      <c r="B2014" s="3" t="s">
        <v>5</v>
      </c>
      <c r="D2014" s="3" t="str">
        <f>IFERROR(__xludf.DUMMYFUNCTION("GOOGLETRANSLATE(A2014, ""nl"", ""en"")"),"Architectural and Structural Associations")</f>
        <v>Architectural and Structural Associations</v>
      </c>
      <c r="E2014" s="3" t="str">
        <f>IFERROR(__xludf.DUMMYFUNCTION("GOOGLETRANSLATE(B2014, ""nl"", ""en"")"),"A cathedral shaped from mist")</f>
        <v>A cathedral shaped from mist</v>
      </c>
    </row>
    <row r="2015" ht="15.75" customHeight="1">
      <c r="A2015" s="3" t="s">
        <v>12</v>
      </c>
      <c r="B2015" s="3" t="s">
        <v>36</v>
      </c>
      <c r="D2015" s="3" t="str">
        <f>IFERROR(__xludf.DUMMYFUNCTION("GOOGLETRANSLATE(A2015, ""nl"", ""en"")"),"Nature and Elements")</f>
        <v>Nature and Elements</v>
      </c>
      <c r="E2015" s="3" t="str">
        <f>IFERROR(__xludf.DUMMYFUNCTION("GOOGLETRANSLATE(B2015, ""nl"", ""en"")"),"A river delta from a bird's-eye view")</f>
        <v>A river delta from a bird's-eye view</v>
      </c>
    </row>
    <row r="2016" ht="15.75" customHeight="1">
      <c r="A2016" s="3" t="s">
        <v>9</v>
      </c>
      <c r="B2016" s="3" t="s">
        <v>57</v>
      </c>
      <c r="D2016" s="3" t="str">
        <f>IFERROR(__xludf.DUMMYFUNCTION("GOOGLETRANSLATE(A2016, ""nl"", ""en"")"),"Psychological and Emotional Interpretations")</f>
        <v>Psychological and Emotional Interpretations</v>
      </c>
      <c r="E2016" s="3" t="str">
        <f>IFERROR(__xludf.DUMMYFUNCTION("GOOGLETRANSLATE(B2016, ""nl"", ""en"")"),"An explosion of colours and feelings")</f>
        <v>An explosion of colours and feelings</v>
      </c>
    </row>
    <row r="2017" ht="15.75" customHeight="1">
      <c r="A2017" s="3" t="s">
        <v>7</v>
      </c>
      <c r="B2017" s="3" t="s">
        <v>34</v>
      </c>
      <c r="D2017" s="3" t="str">
        <f>IFERROR(__xludf.DUMMYFUNCTION("GOOGLETRANSLATE(A2017, ""nl"", ""en"")"),"Human Figures and Physicality")</f>
        <v>Human Figures and Physicality</v>
      </c>
      <c r="E2017" s="3" t="str">
        <f>IFERROR(__xludf.DUMMYFUNCTION("GOOGLETRANSLATE(B2017, ""nl"", ""en"")"),"Hands almost touching")</f>
        <v>Hands almost touching</v>
      </c>
    </row>
    <row r="2018" ht="15.75" customHeight="1">
      <c r="A2018" s="3" t="s">
        <v>4</v>
      </c>
      <c r="B2018" s="3" t="s">
        <v>21</v>
      </c>
      <c r="D2018" s="3" t="str">
        <f>IFERROR(__xludf.DUMMYFUNCTION("GOOGLETRANSLATE(A2018, ""nl"", ""en"")"),"Architectural and Structural Associations")</f>
        <v>Architectural and Structural Associations</v>
      </c>
      <c r="E2018" s="3" t="str">
        <f>IFERROR(__xludf.DUMMYFUNCTION("GOOGLETRANSLATE(B2018, ""nl"", ""en"")"),"A bridge that leads nowhere")</f>
        <v>A bridge that leads nowhere</v>
      </c>
    </row>
    <row r="2019" ht="15.75" customHeight="1">
      <c r="A2019" s="3" t="s">
        <v>24</v>
      </c>
      <c r="B2019" s="3" t="s">
        <v>27</v>
      </c>
      <c r="D2019" s="3" t="str">
        <f>IFERROR(__xludf.DUMMYFUNCTION("GOOGLETRANSLATE(A2019, ""nl"", ""en"")"),"Cosmic and Abstract Patterns")</f>
        <v>Cosmic and Abstract Patterns</v>
      </c>
      <c r="E2019" s="3" t="str">
        <f>IFERROR(__xludf.DUMMYFUNCTION("GOOGLETRANSLATE(B2019, ""nl"", ""en"")"),"A pair of black holes in dance")</f>
        <v>A pair of black holes in dance</v>
      </c>
    </row>
    <row r="2020" ht="15.75" customHeight="1">
      <c r="A2020" s="3" t="s">
        <v>9</v>
      </c>
      <c r="B2020" s="3" t="s">
        <v>10</v>
      </c>
      <c r="D2020" s="3" t="str">
        <f>IFERROR(__xludf.DUMMYFUNCTION("GOOGLETRANSLATE(A2020, ""nl"", ""en"")"),"Psychological and Emotional Interpretations")</f>
        <v>Psychological and Emotional Interpretations</v>
      </c>
      <c r="E2020" s="3" t="str">
        <f>IFERROR(__xludf.DUMMYFUNCTION("GOOGLETRANSLATE(B2020, ""nl"", ""en"")"),"A face transforming in light")</f>
        <v>A face transforming in light</v>
      </c>
    </row>
    <row r="2021" ht="15.75" customHeight="1">
      <c r="A2021" s="3" t="s">
        <v>9</v>
      </c>
      <c r="B2021" s="3" t="s">
        <v>37</v>
      </c>
      <c r="D2021" s="3" t="str">
        <f>IFERROR(__xludf.DUMMYFUNCTION("GOOGLETRANSLATE(A2021, ""nl"", ""en"")"),"Psychological and Emotional Interpretations")</f>
        <v>Psychological and Emotional Interpretations</v>
      </c>
      <c r="E2021" s="3" t="str">
        <f>IFERROR(__xludf.DUMMYFUNCTION("GOOGLETRANSLATE(B2021, ""nl"", ""en"")"),"A figure looking through itself")</f>
        <v>A figure looking through itself</v>
      </c>
    </row>
    <row r="2022" ht="15.75" customHeight="1">
      <c r="A2022" s="3" t="s">
        <v>15</v>
      </c>
      <c r="B2022" s="3" t="s">
        <v>50</v>
      </c>
      <c r="D2022" s="3" t="str">
        <f>IFERROR(__xludf.DUMMYFUNCTION("GOOGLETRANSLATE(A2022, ""nl"", ""en"")"),"Animals and Organic Forms")</f>
        <v>Animals and Organic Forms</v>
      </c>
      <c r="E2022" s="3" t="str">
        <f>IFERROR(__xludf.DUMMYFUNCTION("GOOGLETRANSLATE(B2022, ""nl"", ""en"")"),"A squid with extended tentacles")</f>
        <v>A squid with extended tentacles</v>
      </c>
    </row>
    <row r="2023" ht="15.75" customHeight="1">
      <c r="A2023" s="3" t="s">
        <v>24</v>
      </c>
      <c r="B2023" s="3" t="s">
        <v>32</v>
      </c>
      <c r="D2023" s="3" t="str">
        <f>IFERROR(__xludf.DUMMYFUNCTION("GOOGLETRANSLATE(A2023, ""nl"", ""en"")"),"Cosmic and Abstract Patterns")</f>
        <v>Cosmic and Abstract Patterns</v>
      </c>
      <c r="E2023" s="3" t="str">
        <f>IFERROR(__xludf.DUMMYFUNCTION("GOOGLETRANSLATE(B2023, ""nl"", ""en"")"),"A time loop captured in image")</f>
        <v>A time loop captured in image</v>
      </c>
    </row>
    <row r="2024" ht="15.75" customHeight="1">
      <c r="A2024" s="3" t="s">
        <v>4</v>
      </c>
      <c r="B2024" s="3" t="s">
        <v>21</v>
      </c>
      <c r="D2024" s="3" t="str">
        <f>IFERROR(__xludf.DUMMYFUNCTION("GOOGLETRANSLATE(A2024, ""nl"", ""en"")"),"Architectural and Structural Associations")</f>
        <v>Architectural and Structural Associations</v>
      </c>
      <c r="E2024" s="3" t="str">
        <f>IFERROR(__xludf.DUMMYFUNCTION("GOOGLETRANSLATE(B2024, ""nl"", ""en"")"),"A bridge that leads nowhere")</f>
        <v>A bridge that leads nowhere</v>
      </c>
    </row>
    <row r="2025" ht="15.75" customHeight="1">
      <c r="A2025" s="3" t="s">
        <v>4</v>
      </c>
      <c r="B2025" s="3" t="s">
        <v>21</v>
      </c>
      <c r="D2025" s="3" t="str">
        <f>IFERROR(__xludf.DUMMYFUNCTION("GOOGLETRANSLATE(A2025, ""nl"", ""en"")"),"Architectural and Structural Associations")</f>
        <v>Architectural and Structural Associations</v>
      </c>
      <c r="E2025" s="3" t="str">
        <f>IFERROR(__xludf.DUMMYFUNCTION("GOOGLETRANSLATE(B2025, ""nl"", ""en"")"),"A bridge that leads nowhere")</f>
        <v>A bridge that leads nowhere</v>
      </c>
    </row>
    <row r="2026" ht="15.75" customHeight="1">
      <c r="A2026" s="3" t="s">
        <v>7</v>
      </c>
      <c r="B2026" s="3" t="s">
        <v>28</v>
      </c>
      <c r="D2026" s="3" t="str">
        <f>IFERROR(__xludf.DUMMYFUNCTION("GOOGLETRANSLATE(A2026, ""nl"", ""en"")"),"Human Figures and Physicality")</f>
        <v>Human Figures and Physicality</v>
      </c>
      <c r="E2026" s="3" t="str">
        <f>IFERROR(__xludf.DUMMYFUNCTION("GOOGLETRANSLATE(B2026, ""nl"", ""en"")"),"A dancing silhouette")</f>
        <v>A dancing silhouette</v>
      </c>
    </row>
    <row r="2027" ht="15.75" customHeight="1">
      <c r="A2027" s="3" t="s">
        <v>15</v>
      </c>
      <c r="B2027" s="3" t="s">
        <v>46</v>
      </c>
      <c r="D2027" s="3" t="str">
        <f>IFERROR(__xludf.DUMMYFUNCTION("GOOGLETRANSLATE(A2027, ""nl"", ""en"")"),"Animals and Organic Forms")</f>
        <v>Animals and Organic Forms</v>
      </c>
      <c r="E2027" s="3" t="str">
        <f>IFERROR(__xludf.DUMMYFUNCTION("GOOGLETRANSLATE(B2027, ""nl"", ""en"")"),"A flock of fish moving as one")</f>
        <v>A flock of fish moving as one</v>
      </c>
    </row>
    <row r="2028" ht="15.75" customHeight="1">
      <c r="A2028" s="3" t="s">
        <v>9</v>
      </c>
      <c r="B2028" s="3" t="s">
        <v>10</v>
      </c>
      <c r="D2028" s="3" t="str">
        <f>IFERROR(__xludf.DUMMYFUNCTION("GOOGLETRANSLATE(A2028, ""nl"", ""en"")"),"Psychological and Emotional Interpretations")</f>
        <v>Psychological and Emotional Interpretations</v>
      </c>
      <c r="E2028" s="3" t="str">
        <f>IFERROR(__xludf.DUMMYFUNCTION("GOOGLETRANSLATE(B2028, ""nl"", ""en"")"),"A face transforming in light")</f>
        <v>A face transforming in light</v>
      </c>
    </row>
    <row r="2029" ht="15.75" customHeight="1">
      <c r="A2029" s="3" t="s">
        <v>12</v>
      </c>
      <c r="B2029" s="3" t="s">
        <v>18</v>
      </c>
      <c r="D2029" s="3" t="str">
        <f>IFERROR(__xludf.DUMMYFUNCTION("GOOGLETRANSLATE(A2029, ""nl"", ""en"")"),"Nature and Elements")</f>
        <v>Nature and Elements</v>
      </c>
      <c r="E2029" s="3" t="str">
        <f>IFERROR(__xludf.DUMMYFUNCTION("GOOGLETRANSLATE(B2029, ""nl"", ""en"")"),"A tree with endless branches")</f>
        <v>A tree with endless branches</v>
      </c>
    </row>
    <row r="2030" ht="15.75" customHeight="1">
      <c r="A2030" s="3" t="s">
        <v>24</v>
      </c>
      <c r="B2030" s="3" t="s">
        <v>29</v>
      </c>
      <c r="D2030" s="3" t="str">
        <f>IFERROR(__xludf.DUMMYFUNCTION("GOOGLETRANSLATE(A2030, ""nl"", ""en"")"),"Cosmic and Abstract Patterns")</f>
        <v>Cosmic and Abstract Patterns</v>
      </c>
      <c r="E2030" s="3" t="str">
        <f>IFERROR(__xludf.DUMMYFUNCTION("GOOGLETRANSLATE(B2030, ""nl"", ""en"")"),"A galaxy unfolding")</f>
        <v>A galaxy unfolding</v>
      </c>
    </row>
    <row r="2031" ht="15.75" customHeight="1">
      <c r="A2031" s="3" t="s">
        <v>24</v>
      </c>
      <c r="B2031" s="3" t="s">
        <v>48</v>
      </c>
      <c r="D2031" s="3" t="str">
        <f>IFERROR(__xludf.DUMMYFUNCTION("GOOGLETRANSLATE(A2031, ""nl"", ""en"")"),"Cosmic and Abstract Patterns")</f>
        <v>Cosmic and Abstract Patterns</v>
      </c>
      <c r="E2031" s="3" t="str">
        <f>IFERROR(__xludf.DUMMYFUNCTION("GOOGLETRANSLATE(B2031, ""nl"", ""en"")"),"A fractal that repeats itself")</f>
        <v>A fractal that repeats itself</v>
      </c>
    </row>
    <row r="2032" ht="15.75" customHeight="1">
      <c r="A2032" s="3" t="s">
        <v>24</v>
      </c>
      <c r="B2032" s="3" t="s">
        <v>54</v>
      </c>
      <c r="D2032" s="3" t="str">
        <f>IFERROR(__xludf.DUMMYFUNCTION("GOOGLETRANSLATE(A2032, ""nl"", ""en"")"),"Cosmic and Abstract Patterns")</f>
        <v>Cosmic and Abstract Patterns</v>
      </c>
      <c r="E2032" s="3" t="str">
        <f>IFERROR(__xludf.DUMMYFUNCTION("GOOGLETRANSLATE(B2032, ""nl"", ""en"")"),"A quantum particle in superposition")</f>
        <v>A quantum particle in superposition</v>
      </c>
    </row>
    <row r="2033" ht="15.75" customHeight="1">
      <c r="A2033" s="3" t="s">
        <v>4</v>
      </c>
      <c r="B2033" s="3" t="s">
        <v>43</v>
      </c>
      <c r="D2033" s="3" t="str">
        <f>IFERROR(__xludf.DUMMYFUNCTION("GOOGLETRANSLATE(A2033, ""nl"", ""en"")"),"Architectural and Structural Associations")</f>
        <v>Architectural and Structural Associations</v>
      </c>
      <c r="E2033" s="3" t="str">
        <f>IFERROR(__xludf.DUMMYFUNCTION("GOOGLETRANSLATE(B2033, ""nl"", ""en"")"),"A network of tunnels and passages")</f>
        <v>A network of tunnels and passages</v>
      </c>
    </row>
    <row r="2034" ht="15.75" customHeight="1">
      <c r="A2034" s="3" t="s">
        <v>4</v>
      </c>
      <c r="B2034" s="3" t="s">
        <v>5</v>
      </c>
      <c r="D2034" s="3" t="str">
        <f>IFERROR(__xludf.DUMMYFUNCTION("GOOGLETRANSLATE(A2034, ""nl"", ""en"")"),"Architectural and Structural Associations")</f>
        <v>Architectural and Structural Associations</v>
      </c>
      <c r="E2034" s="3" t="str">
        <f>IFERROR(__xludf.DUMMYFUNCTION("GOOGLETRANSLATE(B2034, ""nl"", ""en"")"),"A cathedral shaped from mist")</f>
        <v>A cathedral shaped from mist</v>
      </c>
    </row>
    <row r="2035" ht="15.75" customHeight="1">
      <c r="A2035" s="3" t="s">
        <v>4</v>
      </c>
      <c r="B2035" s="3" t="s">
        <v>44</v>
      </c>
      <c r="D2035" s="3" t="str">
        <f>IFERROR(__xludf.DUMMYFUNCTION("GOOGLETRANSLATE(A2035, ""nl"", ""en"")"),"Architectural and Structural Associations")</f>
        <v>Architectural and Structural Associations</v>
      </c>
      <c r="E2035" s="3" t="str">
        <f>IFERROR(__xludf.DUMMYFUNCTION("GOOGLETRANSLATE(B2035, ""nl"", ""en"")"),"A structure that pulsates in waves")</f>
        <v>A structure that pulsates in waves</v>
      </c>
    </row>
    <row r="2036" ht="15.75" customHeight="1">
      <c r="A2036" s="3" t="s">
        <v>4</v>
      </c>
      <c r="B2036" s="3" t="s">
        <v>20</v>
      </c>
      <c r="D2036" s="3" t="str">
        <f>IFERROR(__xludf.DUMMYFUNCTION("GOOGLETRANSLATE(A2036, ""nl"", ""en"")"),"Architectural and Structural Associations")</f>
        <v>Architectural and Structural Associations</v>
      </c>
      <c r="E2036" s="3" t="str">
        <f>IFERROR(__xludf.DUMMYFUNCTION("GOOGLETRANSLATE(B2036, ""nl"", ""en"")"),"A tower that grows by itself")</f>
        <v>A tower that grows by itself</v>
      </c>
    </row>
    <row r="2037" ht="15.75" customHeight="1">
      <c r="A2037" s="3" t="s">
        <v>4</v>
      </c>
      <c r="B2037" s="3" t="s">
        <v>20</v>
      </c>
      <c r="D2037" s="3" t="str">
        <f>IFERROR(__xludf.DUMMYFUNCTION("GOOGLETRANSLATE(A2037, ""nl"", ""en"")"),"Architectural and Structural Associations")</f>
        <v>Architectural and Structural Associations</v>
      </c>
      <c r="E2037" s="3" t="str">
        <f>IFERROR(__xludf.DUMMYFUNCTION("GOOGLETRANSLATE(B2037, ""nl"", ""en"")"),"A tower that grows by itself")</f>
        <v>A tower that grows by itself</v>
      </c>
    </row>
    <row r="2038" ht="15.75" customHeight="1">
      <c r="A2038" s="3" t="s">
        <v>12</v>
      </c>
      <c r="B2038" s="3" t="s">
        <v>30</v>
      </c>
      <c r="D2038" s="3" t="str">
        <f>IFERROR(__xludf.DUMMYFUNCTION("GOOGLETRANSLATE(A2038, ""nl"", ""en"")"),"Nature and Elements")</f>
        <v>Nature and Elements</v>
      </c>
      <c r="E2038" s="3" t="str">
        <f>IFERROR(__xludf.DUMMYFUNCTION("GOOGLETRANSLATE(B2038, ""nl"", ""en"")"),"Waves breaking in fractal patterns")</f>
        <v>Waves breaking in fractal patterns</v>
      </c>
    </row>
    <row r="2039" ht="15.75" customHeight="1">
      <c r="A2039" s="3" t="s">
        <v>4</v>
      </c>
      <c r="B2039" s="3" t="s">
        <v>44</v>
      </c>
      <c r="D2039" s="3" t="str">
        <f>IFERROR(__xludf.DUMMYFUNCTION("GOOGLETRANSLATE(A2039, ""nl"", ""en"")"),"Architectural and Structural Associations")</f>
        <v>Architectural and Structural Associations</v>
      </c>
      <c r="E2039" s="3" t="str">
        <f>IFERROR(__xludf.DUMMYFUNCTION("GOOGLETRANSLATE(B2039, ""nl"", ""en"")"),"A structure that pulsates in waves")</f>
        <v>A structure that pulsates in waves</v>
      </c>
    </row>
    <row r="2040" ht="15.75" customHeight="1">
      <c r="A2040" s="3" t="s">
        <v>7</v>
      </c>
      <c r="B2040" s="3" t="s">
        <v>34</v>
      </c>
      <c r="D2040" s="3" t="str">
        <f>IFERROR(__xludf.DUMMYFUNCTION("GOOGLETRANSLATE(A2040, ""nl"", ""en"")"),"Human Figures and Physicality")</f>
        <v>Human Figures and Physicality</v>
      </c>
      <c r="E2040" s="3" t="str">
        <f>IFERROR(__xludf.DUMMYFUNCTION("GOOGLETRANSLATE(B2040, ""nl"", ""en"")"),"Hands almost touching")</f>
        <v>Hands almost touching</v>
      </c>
    </row>
    <row r="2041" ht="15.75" customHeight="1">
      <c r="A2041" s="3" t="s">
        <v>24</v>
      </c>
      <c r="B2041" s="3" t="s">
        <v>33</v>
      </c>
      <c r="D2041" s="3" t="str">
        <f>IFERROR(__xludf.DUMMYFUNCTION("GOOGLETRANSLATE(A2041, ""nl"", ""en"")"),"Cosmic and Abstract Patterns")</f>
        <v>Cosmic and Abstract Patterns</v>
      </c>
      <c r="E2041" s="3" t="str">
        <f>IFERROR(__xludf.DUMMYFUNCTION("GOOGLETRANSLATE(B2041, ""nl"", ""en"")"),"An eye that repeats itself in endless patterns")</f>
        <v>An eye that repeats itself in endless patterns</v>
      </c>
    </row>
    <row r="2042" ht="15.75" customHeight="1">
      <c r="A2042" s="3" t="s">
        <v>12</v>
      </c>
      <c r="B2042" s="3" t="s">
        <v>47</v>
      </c>
      <c r="D2042" s="3" t="str">
        <f>IFERROR(__xludf.DUMMYFUNCTION("GOOGLETRANSLATE(A2042, ""nl"", ""en"")"),"Nature and Elements")</f>
        <v>Nature and Elements</v>
      </c>
      <c r="E2042" s="3" t="str">
        <f>IFERROR(__xludf.DUMMYFUNCTION("GOOGLETRANSLATE(B2042, ""nl"", ""en"")"),"A desert landscape that slowly changes")</f>
        <v>A desert landscape that slowly changes</v>
      </c>
    </row>
    <row r="2043" ht="15.75" customHeight="1">
      <c r="A2043" s="3" t="s">
        <v>12</v>
      </c>
      <c r="B2043" s="3" t="s">
        <v>30</v>
      </c>
      <c r="D2043" s="3" t="str">
        <f>IFERROR(__xludf.DUMMYFUNCTION("GOOGLETRANSLATE(A2043, ""nl"", ""en"")"),"Nature and Elements")</f>
        <v>Nature and Elements</v>
      </c>
      <c r="E2043" s="3" t="str">
        <f>IFERROR(__xludf.DUMMYFUNCTION("GOOGLETRANSLATE(B2043, ""nl"", ""en"")"),"Waves breaking in fractal patterns")</f>
        <v>Waves breaking in fractal patterns</v>
      </c>
    </row>
    <row r="2044" ht="15.75" customHeight="1">
      <c r="A2044" s="3" t="s">
        <v>9</v>
      </c>
      <c r="B2044" s="3" t="s">
        <v>14</v>
      </c>
      <c r="D2044" s="3" t="str">
        <f>IFERROR(__xludf.DUMMYFUNCTION("GOOGLETRANSLATE(A2044, ""nl"", ""en"")"),"Psychological and Emotional Interpretations")</f>
        <v>Psychological and Emotional Interpretations</v>
      </c>
      <c r="E2044" s="3" t="str">
        <f>IFERROR(__xludf.DUMMYFUNCTION("GOOGLETRANSLATE(B2044, ""nl"", ""en"")"),"An unclear hug")</f>
        <v>An unclear hug</v>
      </c>
    </row>
    <row r="2045" ht="15.75" customHeight="1">
      <c r="A2045" s="3" t="s">
        <v>12</v>
      </c>
      <c r="B2045" s="3" t="s">
        <v>47</v>
      </c>
      <c r="D2045" s="3" t="str">
        <f>IFERROR(__xludf.DUMMYFUNCTION("GOOGLETRANSLATE(A2045, ""nl"", ""en"")"),"Nature and Elements")</f>
        <v>Nature and Elements</v>
      </c>
      <c r="E2045" s="3" t="str">
        <f>IFERROR(__xludf.DUMMYFUNCTION("GOOGLETRANSLATE(B2045, ""nl"", ""en"")"),"A desert landscape that slowly changes")</f>
        <v>A desert landscape that slowly changes</v>
      </c>
    </row>
    <row r="2046" ht="15.75" customHeight="1">
      <c r="A2046" s="3" t="s">
        <v>15</v>
      </c>
      <c r="B2046" s="3" t="s">
        <v>52</v>
      </c>
      <c r="D2046" s="3" t="str">
        <f>IFERROR(__xludf.DUMMYFUNCTION("GOOGLETRANSLATE(A2046, ""nl"", ""en"")"),"Animals and Organic Forms")</f>
        <v>Animals and Organic Forms</v>
      </c>
      <c r="E2046" s="3" t="str">
        <f>IFERROR(__xludf.DUMMYFUNCTION("GOOGLETRANSLATE(B2046, ""nl"", ""en"")"),"A mask made of leaves")</f>
        <v>A mask made of leaves</v>
      </c>
    </row>
    <row r="2047" ht="15.75" customHeight="1">
      <c r="A2047" s="3" t="s">
        <v>9</v>
      </c>
      <c r="B2047" s="3" t="s">
        <v>11</v>
      </c>
      <c r="D2047" s="3" t="str">
        <f>IFERROR(__xludf.DUMMYFUNCTION("GOOGLETRANSLATE(A2047, ""nl"", ""en"")"),"Psychological and Emotional Interpretations")</f>
        <v>Psychological and Emotional Interpretations</v>
      </c>
      <c r="E2047" s="3" t="str">
        <f>IFERROR(__xludf.DUMMYFUNCTION("GOOGLETRANSLATE(B2047, ""nl"", ""en"")"),"An emotion captured in abstraction")</f>
        <v>An emotion captured in abstraction</v>
      </c>
    </row>
    <row r="2048" ht="15.75" customHeight="1">
      <c r="A2048" s="3" t="s">
        <v>7</v>
      </c>
      <c r="B2048" s="3" t="s">
        <v>28</v>
      </c>
      <c r="D2048" s="3" t="str">
        <f>IFERROR(__xludf.DUMMYFUNCTION("GOOGLETRANSLATE(A2048, ""nl"", ""en"")"),"Human Figures and Physicality")</f>
        <v>Human Figures and Physicality</v>
      </c>
      <c r="E2048" s="3" t="str">
        <f>IFERROR(__xludf.DUMMYFUNCTION("GOOGLETRANSLATE(B2048, ""nl"", ""en"")"),"A dancing silhouette")</f>
        <v>A dancing silhouette</v>
      </c>
    </row>
    <row r="2049" ht="15.75" customHeight="1">
      <c r="A2049" s="3" t="s">
        <v>12</v>
      </c>
      <c r="B2049" s="3" t="s">
        <v>13</v>
      </c>
      <c r="D2049" s="3" t="str">
        <f>IFERROR(__xludf.DUMMYFUNCTION("GOOGLETRANSLATE(A2049, ""nl"", ""en"")"),"Nature and Elements")</f>
        <v>Nature and Elements</v>
      </c>
      <c r="E2049" s="3" t="str">
        <f>IFERROR(__xludf.DUMMYFUNCTION("GOOGLETRANSLATE(B2049, ""nl"", ""en"")"),"A lightning strike in slow motion")</f>
        <v>A lightning strike in slow motion</v>
      </c>
    </row>
    <row r="2050" ht="15.75" customHeight="1">
      <c r="A2050" s="3" t="s">
        <v>12</v>
      </c>
      <c r="B2050" s="3" t="s">
        <v>13</v>
      </c>
      <c r="D2050" s="3" t="str">
        <f>IFERROR(__xludf.DUMMYFUNCTION("GOOGLETRANSLATE(A2050, ""nl"", ""en"")"),"Nature and Elements")</f>
        <v>Nature and Elements</v>
      </c>
      <c r="E2050" s="3" t="str">
        <f>IFERROR(__xludf.DUMMYFUNCTION("GOOGLETRANSLATE(B2050, ""nl"", ""en"")"),"A lightning strike in slow motion")</f>
        <v>A lightning strike in slow motion</v>
      </c>
    </row>
    <row r="2051" ht="15.75" customHeight="1">
      <c r="A2051" s="3" t="s">
        <v>9</v>
      </c>
      <c r="B2051" s="3" t="s">
        <v>49</v>
      </c>
      <c r="D2051" s="3" t="str">
        <f>IFERROR(__xludf.DUMMYFUNCTION("GOOGLETRANSLATE(A2051, ""nl"", ""en"")"),"Psychological and Emotional Interpretations")</f>
        <v>Psychological and Emotional Interpretations</v>
      </c>
      <c r="E2051" s="3" t="str">
        <f>IFERROR(__xludf.DUMMYFUNCTION("GOOGLETRANSLATE(B2051, ""nl"", ""en"")"),"A spiral that turns inward")</f>
        <v>A spiral that turns inward</v>
      </c>
    </row>
    <row r="2052" ht="15.75" customHeight="1">
      <c r="A2052" s="3" t="s">
        <v>7</v>
      </c>
      <c r="B2052" s="3" t="s">
        <v>53</v>
      </c>
      <c r="D2052" s="3" t="str">
        <f>IFERROR(__xludf.DUMMYFUNCTION("GOOGLETRANSLATE(A2052, ""nl"", ""en"")"),"Human Figures and Physicality")</f>
        <v>Human Figures and Physicality</v>
      </c>
      <c r="E2052" s="3" t="str">
        <f>IFERROR(__xludf.DUMMYFUNCTION("GOOGLETRANSLATE(B2052, ""nl"", ""en"")"),"A face that both smiles and cries")</f>
        <v>A face that both smiles and cries</v>
      </c>
    </row>
    <row r="2053" ht="15.75" customHeight="1">
      <c r="A2053" s="3" t="s">
        <v>12</v>
      </c>
      <c r="B2053" s="3" t="s">
        <v>36</v>
      </c>
      <c r="D2053" s="3" t="str">
        <f>IFERROR(__xludf.DUMMYFUNCTION("GOOGLETRANSLATE(A2053, ""nl"", ""en"")"),"Nature and Elements")</f>
        <v>Nature and Elements</v>
      </c>
      <c r="E2053" s="3" t="str">
        <f>IFERROR(__xludf.DUMMYFUNCTION("GOOGLETRANSLATE(B2053, ""nl"", ""en"")"),"A river delta from a bird's-eye view")</f>
        <v>A river delta from a bird's-eye view</v>
      </c>
    </row>
    <row r="2054" ht="15.75" customHeight="1">
      <c r="A2054" s="3" t="s">
        <v>24</v>
      </c>
      <c r="B2054" s="3" t="s">
        <v>31</v>
      </c>
      <c r="D2054" s="3" t="str">
        <f>IFERROR(__xludf.DUMMYFUNCTION("GOOGLETRANSLATE(A2054, ""nl"", ""en"")"),"Cosmic and Abstract Patterns")</f>
        <v>Cosmic and Abstract Patterns</v>
      </c>
      <c r="E2054" s="3" t="str">
        <f>IFERROR(__xludf.DUMMYFUNCTION("GOOGLETRANSLATE(B2054, ""nl"", ""en"")"),"A planet with unusual rings")</f>
        <v>A planet with unusual rings</v>
      </c>
    </row>
    <row r="2055" ht="15.75" customHeight="1">
      <c r="A2055" s="3" t="s">
        <v>12</v>
      </c>
      <c r="B2055" s="3" t="s">
        <v>19</v>
      </c>
      <c r="D2055" s="3" t="str">
        <f>IFERROR(__xludf.DUMMYFUNCTION("GOOGLETRANSLATE(A2055, ""nl"", ""en"")"),"Nature and Elements")</f>
        <v>Nature and Elements</v>
      </c>
      <c r="E2055" s="3" t="str">
        <f>IFERROR(__xludf.DUMMYFUNCTION("GOOGLETRANSLATE(B2055, ""nl"", ""en"")"),"A mountain range that seems to breathe")</f>
        <v>A mountain range that seems to breathe</v>
      </c>
    </row>
    <row r="2056" ht="15.75" customHeight="1">
      <c r="A2056" s="3" t="s">
        <v>7</v>
      </c>
      <c r="B2056" s="3" t="s">
        <v>28</v>
      </c>
      <c r="D2056" s="3" t="str">
        <f>IFERROR(__xludf.DUMMYFUNCTION("GOOGLETRANSLATE(A2056, ""nl"", ""en"")"),"Human Figures and Physicality")</f>
        <v>Human Figures and Physicality</v>
      </c>
      <c r="E2056" s="3" t="str">
        <f>IFERROR(__xludf.DUMMYFUNCTION("GOOGLETRANSLATE(B2056, ""nl"", ""en"")"),"A dancing silhouette")</f>
        <v>A dancing silhouette</v>
      </c>
    </row>
    <row r="2057" ht="15.75" customHeight="1">
      <c r="A2057" s="3" t="s">
        <v>7</v>
      </c>
      <c r="B2057" s="3" t="s">
        <v>34</v>
      </c>
      <c r="D2057" s="3" t="str">
        <f>IFERROR(__xludf.DUMMYFUNCTION("GOOGLETRANSLATE(A2057, ""nl"", ""en"")"),"Human Figures and Physicality")</f>
        <v>Human Figures and Physicality</v>
      </c>
      <c r="E2057" s="3" t="str">
        <f>IFERROR(__xludf.DUMMYFUNCTION("GOOGLETRANSLATE(B2057, ""nl"", ""en"")"),"Hands almost touching")</f>
        <v>Hands almost touching</v>
      </c>
    </row>
    <row r="2058" ht="15.75" customHeight="1">
      <c r="A2058" s="3" t="s">
        <v>4</v>
      </c>
      <c r="B2058" s="3" t="s">
        <v>21</v>
      </c>
      <c r="D2058" s="3" t="str">
        <f>IFERROR(__xludf.DUMMYFUNCTION("GOOGLETRANSLATE(A2058, ""nl"", ""en"")"),"Architectural and Structural Associations")</f>
        <v>Architectural and Structural Associations</v>
      </c>
      <c r="E2058" s="3" t="str">
        <f>IFERROR(__xludf.DUMMYFUNCTION("GOOGLETRANSLATE(B2058, ""nl"", ""en"")"),"A bridge that leads nowhere")</f>
        <v>A bridge that leads nowhere</v>
      </c>
    </row>
    <row r="2059" ht="15.75" customHeight="1">
      <c r="A2059" s="3" t="s">
        <v>12</v>
      </c>
      <c r="B2059" s="3" t="s">
        <v>23</v>
      </c>
      <c r="D2059" s="3" t="str">
        <f>IFERROR(__xludf.DUMMYFUNCTION("GOOGLETRANSLATE(A2059, ""nl"", ""en"")"),"Nature and Elements")</f>
        <v>Nature and Elements</v>
      </c>
      <c r="E2059" s="3" t="str">
        <f>IFERROR(__xludf.DUMMYFUNCTION("GOOGLETRANSLATE(B2059, ""nl"", ""en"")"),"A storm cloud splitting in two")</f>
        <v>A storm cloud splitting in two</v>
      </c>
    </row>
    <row r="2060" ht="15.75" customHeight="1">
      <c r="A2060" s="3" t="s">
        <v>4</v>
      </c>
      <c r="B2060" s="3" t="s">
        <v>20</v>
      </c>
      <c r="D2060" s="3" t="str">
        <f>IFERROR(__xludf.DUMMYFUNCTION("GOOGLETRANSLATE(A2060, ""nl"", ""en"")"),"Architectural and Structural Associations")</f>
        <v>Architectural and Structural Associations</v>
      </c>
      <c r="E2060" s="3" t="str">
        <f>IFERROR(__xludf.DUMMYFUNCTION("GOOGLETRANSLATE(B2060, ""nl"", ""en"")"),"A tower that grows by itself")</f>
        <v>A tower that grows by itself</v>
      </c>
    </row>
    <row r="2061" ht="15.75" customHeight="1">
      <c r="A2061" s="3" t="s">
        <v>12</v>
      </c>
      <c r="B2061" s="3" t="s">
        <v>36</v>
      </c>
      <c r="D2061" s="3" t="str">
        <f>IFERROR(__xludf.DUMMYFUNCTION("GOOGLETRANSLATE(A2061, ""nl"", ""en"")"),"Nature and Elements")</f>
        <v>Nature and Elements</v>
      </c>
      <c r="E2061" s="3" t="str">
        <f>IFERROR(__xludf.DUMMYFUNCTION("GOOGLETRANSLATE(B2061, ""nl"", ""en"")"),"A river delta from a bird's-eye view")</f>
        <v>A river delta from a bird's-eye view</v>
      </c>
    </row>
    <row r="2062" ht="15.75" customHeight="1">
      <c r="A2062" s="3" t="s">
        <v>9</v>
      </c>
      <c r="B2062" s="3" t="s">
        <v>37</v>
      </c>
      <c r="D2062" s="3" t="str">
        <f>IFERROR(__xludf.DUMMYFUNCTION("GOOGLETRANSLATE(A2062, ""nl"", ""en"")"),"Psychological and Emotional Interpretations")</f>
        <v>Psychological and Emotional Interpretations</v>
      </c>
      <c r="E2062" s="3" t="str">
        <f>IFERROR(__xludf.DUMMYFUNCTION("GOOGLETRANSLATE(B2062, ""nl"", ""en"")"),"A figure looking through itself")</f>
        <v>A figure looking through itself</v>
      </c>
    </row>
    <row r="2063" ht="15.75" customHeight="1">
      <c r="A2063" s="3" t="s">
        <v>4</v>
      </c>
      <c r="B2063" s="3" t="s">
        <v>21</v>
      </c>
      <c r="D2063" s="3" t="str">
        <f>IFERROR(__xludf.DUMMYFUNCTION("GOOGLETRANSLATE(A2063, ""nl"", ""en"")"),"Architectural and Structural Associations")</f>
        <v>Architectural and Structural Associations</v>
      </c>
      <c r="E2063" s="3" t="str">
        <f>IFERROR(__xludf.DUMMYFUNCTION("GOOGLETRANSLATE(B2063, ""nl"", ""en"")"),"A bridge that leads nowhere")</f>
        <v>A bridge that leads nowhere</v>
      </c>
    </row>
    <row r="2064" ht="15.75" customHeight="1">
      <c r="A2064" s="3" t="s">
        <v>12</v>
      </c>
      <c r="B2064" s="3" t="s">
        <v>23</v>
      </c>
      <c r="D2064" s="3" t="str">
        <f>IFERROR(__xludf.DUMMYFUNCTION("GOOGLETRANSLATE(A2064, ""nl"", ""en"")"),"Nature and Elements")</f>
        <v>Nature and Elements</v>
      </c>
      <c r="E2064" s="3" t="str">
        <f>IFERROR(__xludf.DUMMYFUNCTION("GOOGLETRANSLATE(B2064, ""nl"", ""en"")"),"A storm cloud splitting in two")</f>
        <v>A storm cloud splitting in two</v>
      </c>
    </row>
    <row r="2065" ht="15.75" customHeight="1">
      <c r="A2065" s="3" t="s">
        <v>9</v>
      </c>
      <c r="B2065" s="3" t="s">
        <v>17</v>
      </c>
      <c r="D2065" s="3" t="str">
        <f>IFERROR(__xludf.DUMMYFUNCTION("GOOGLETRANSLATE(A2065, ""nl"", ""en"")"),"Psychological and Emotional Interpretations")</f>
        <v>Psychological and Emotional Interpretations</v>
      </c>
      <c r="E2065" s="3" t="str">
        <f>IFERROR(__xludf.DUMMYFUNCTION("GOOGLETRANSLATE(B2065, ""nl"", ""en"")"),"A figure that seems to melt")</f>
        <v>A figure that seems to melt</v>
      </c>
    </row>
    <row r="2066" ht="15.75" customHeight="1">
      <c r="A2066" s="3" t="s">
        <v>9</v>
      </c>
      <c r="B2066" s="3" t="s">
        <v>49</v>
      </c>
      <c r="D2066" s="3" t="str">
        <f>IFERROR(__xludf.DUMMYFUNCTION("GOOGLETRANSLATE(A2066, ""nl"", ""en"")"),"Psychological and Emotional Interpretations")</f>
        <v>Psychological and Emotional Interpretations</v>
      </c>
      <c r="E2066" s="3" t="str">
        <f>IFERROR(__xludf.DUMMYFUNCTION("GOOGLETRANSLATE(B2066, ""nl"", ""en"")"),"A spiral that turns inward")</f>
        <v>A spiral that turns inward</v>
      </c>
    </row>
    <row r="2067" ht="15.75" customHeight="1">
      <c r="A2067" s="3" t="s">
        <v>12</v>
      </c>
      <c r="B2067" s="3" t="s">
        <v>13</v>
      </c>
      <c r="D2067" s="3" t="str">
        <f>IFERROR(__xludf.DUMMYFUNCTION("GOOGLETRANSLATE(A2067, ""nl"", ""en"")"),"Nature and Elements")</f>
        <v>Nature and Elements</v>
      </c>
      <c r="E2067" s="3" t="str">
        <f>IFERROR(__xludf.DUMMYFUNCTION("GOOGLETRANSLATE(B2067, ""nl"", ""en"")"),"A lightning strike in slow motion")</f>
        <v>A lightning strike in slow motion</v>
      </c>
    </row>
    <row r="2068" ht="15.75" customHeight="1">
      <c r="A2068" s="3" t="s">
        <v>7</v>
      </c>
      <c r="B2068" s="3" t="s">
        <v>34</v>
      </c>
      <c r="D2068" s="3" t="str">
        <f>IFERROR(__xludf.DUMMYFUNCTION("GOOGLETRANSLATE(A2068, ""nl"", ""en"")"),"Human Figures and Physicality")</f>
        <v>Human Figures and Physicality</v>
      </c>
      <c r="E2068" s="3" t="str">
        <f>IFERROR(__xludf.DUMMYFUNCTION("GOOGLETRANSLATE(B2068, ""nl"", ""en"")"),"Hands almost touching")</f>
        <v>Hands almost touching</v>
      </c>
    </row>
    <row r="2069" ht="15.75" customHeight="1">
      <c r="A2069" s="3" t="s">
        <v>4</v>
      </c>
      <c r="B2069" s="3" t="s">
        <v>55</v>
      </c>
      <c r="D2069" s="3" t="str">
        <f>IFERROR(__xludf.DUMMYFUNCTION("GOOGLETRANSLATE(A2069, ""nl"", ""en"")"),"Architectural and Structural Associations")</f>
        <v>Architectural and Structural Associations</v>
      </c>
      <c r="E2069" s="3" t="str">
        <f>IFERROR(__xludf.DUMMYFUNCTION("GOOGLETRANSLATE(B2069, ""nl"", ""en"")"),"A prism that splits light into colors")</f>
        <v>A prism that splits light into colors</v>
      </c>
    </row>
    <row r="2070" ht="15.75" customHeight="1">
      <c r="A2070" s="3" t="s">
        <v>24</v>
      </c>
      <c r="B2070" s="3" t="s">
        <v>48</v>
      </c>
      <c r="D2070" s="3" t="str">
        <f>IFERROR(__xludf.DUMMYFUNCTION("GOOGLETRANSLATE(A2070, ""nl"", ""en"")"),"Cosmic and Abstract Patterns")</f>
        <v>Cosmic and Abstract Patterns</v>
      </c>
      <c r="E2070" s="3" t="str">
        <f>IFERROR(__xludf.DUMMYFUNCTION("GOOGLETRANSLATE(B2070, ""nl"", ""en"")"),"A fractal that repeats itself")</f>
        <v>A fractal that repeats itself</v>
      </c>
    </row>
    <row r="2071" ht="15.75" customHeight="1">
      <c r="A2071" s="3" t="s">
        <v>12</v>
      </c>
      <c r="B2071" s="3" t="s">
        <v>30</v>
      </c>
      <c r="D2071" s="3" t="str">
        <f>IFERROR(__xludf.DUMMYFUNCTION("GOOGLETRANSLATE(A2071, ""nl"", ""en"")"),"Nature and Elements")</f>
        <v>Nature and Elements</v>
      </c>
      <c r="E2071" s="3" t="str">
        <f>IFERROR(__xludf.DUMMYFUNCTION("GOOGLETRANSLATE(B2071, ""nl"", ""en"")"),"Waves breaking in fractal patterns")</f>
        <v>Waves breaking in fractal patterns</v>
      </c>
    </row>
    <row r="2072" ht="15.75" customHeight="1">
      <c r="A2072" s="3" t="s">
        <v>9</v>
      </c>
      <c r="B2072" s="3" t="s">
        <v>11</v>
      </c>
      <c r="D2072" s="3" t="str">
        <f>IFERROR(__xludf.DUMMYFUNCTION("GOOGLETRANSLATE(A2072, ""nl"", ""en"")"),"Psychological and Emotional Interpretations")</f>
        <v>Psychological and Emotional Interpretations</v>
      </c>
      <c r="E2072" s="3" t="str">
        <f>IFERROR(__xludf.DUMMYFUNCTION("GOOGLETRANSLATE(B2072, ""nl"", ""en"")"),"An emotion captured in abstraction")</f>
        <v>An emotion captured in abstraction</v>
      </c>
    </row>
    <row r="2073" ht="15.75" customHeight="1">
      <c r="A2073" s="3" t="s">
        <v>7</v>
      </c>
      <c r="B2073" s="3" t="s">
        <v>40</v>
      </c>
      <c r="D2073" s="3" t="str">
        <f>IFERROR(__xludf.DUMMYFUNCTION("GOOGLETRANSLATE(A2073, ""nl"", ""en"")"),"Human Figures and Physicality")</f>
        <v>Human Figures and Physicality</v>
      </c>
      <c r="E2073" s="3" t="str">
        <f>IFERROR(__xludf.DUMMYFUNCTION("GOOGLETRANSLATE(B2073, ""nl"", ""en"")"),"A figure who is withdrawn into himself")</f>
        <v>A figure who is withdrawn into himself</v>
      </c>
    </row>
    <row r="2074" ht="15.75" customHeight="1">
      <c r="A2074" s="3" t="s">
        <v>12</v>
      </c>
      <c r="B2074" s="3" t="s">
        <v>51</v>
      </c>
      <c r="D2074" s="3" t="str">
        <f>IFERROR(__xludf.DUMMYFUNCTION("GOOGLETRANSLATE(A2074, ""nl"", ""en"")"),"Nature and Elements")</f>
        <v>Nature and Elements</v>
      </c>
      <c r="E2074" s="3" t="str">
        <f>IFERROR(__xludf.DUMMYFUNCTION("GOOGLETRANSLATE(B2074, ""nl"", ""en"")"),"An evaporating puddle of water")</f>
        <v>An evaporating puddle of water</v>
      </c>
    </row>
    <row r="2075" ht="15.75" customHeight="1">
      <c r="A2075" s="3" t="s">
        <v>15</v>
      </c>
      <c r="B2075" s="3" t="s">
        <v>52</v>
      </c>
      <c r="D2075" s="3" t="str">
        <f>IFERROR(__xludf.DUMMYFUNCTION("GOOGLETRANSLATE(A2075, ""nl"", ""en"")"),"Animals and Organic Forms")</f>
        <v>Animals and Organic Forms</v>
      </c>
      <c r="E2075" s="3" t="str">
        <f>IFERROR(__xludf.DUMMYFUNCTION("GOOGLETRANSLATE(B2075, ""nl"", ""en"")"),"A mask made of leaves")</f>
        <v>A mask made of leaves</v>
      </c>
    </row>
    <row r="2076" ht="15.75" customHeight="1">
      <c r="A2076" s="3" t="s">
        <v>15</v>
      </c>
      <c r="B2076" s="3" t="s">
        <v>45</v>
      </c>
      <c r="D2076" s="3" t="str">
        <f>IFERROR(__xludf.DUMMYFUNCTION("GOOGLETRANSLATE(A2076, ""nl"", ""en"")"),"Animals and Organic Forms")</f>
        <v>Animals and Organic Forms</v>
      </c>
      <c r="E2076" s="3" t="str">
        <f>IFERROR(__xludf.DUMMYFUNCTION("GOOGLETRANSLATE(B2076, ""nl"", ""en"")"),"A snake biting its own tail")</f>
        <v>A snake biting its own tail</v>
      </c>
    </row>
    <row r="2077" ht="15.75" customHeight="1">
      <c r="A2077" s="3" t="s">
        <v>7</v>
      </c>
      <c r="B2077" s="3" t="s">
        <v>41</v>
      </c>
      <c r="D2077" s="3" t="str">
        <f>IFERROR(__xludf.DUMMYFUNCTION("GOOGLETRANSLATE(A2077, ""nl"", ""en"")"),"Human Figures and Physicality")</f>
        <v>Human Figures and Physicality</v>
      </c>
      <c r="E2077" s="3" t="str">
        <f>IFERROR(__xludf.DUMMYFUNCTION("GOOGLETRANSLATE(B2077, ""nl"", ""en"")"),"A face that fades into abstraction")</f>
        <v>A face that fades into abstraction</v>
      </c>
    </row>
    <row r="2078" ht="15.75" customHeight="1">
      <c r="A2078" s="3" t="s">
        <v>7</v>
      </c>
      <c r="B2078" s="3" t="s">
        <v>41</v>
      </c>
      <c r="D2078" s="3" t="str">
        <f>IFERROR(__xludf.DUMMYFUNCTION("GOOGLETRANSLATE(A2078, ""nl"", ""en"")"),"Human Figures and Physicality")</f>
        <v>Human Figures and Physicality</v>
      </c>
      <c r="E2078" s="3" t="str">
        <f>IFERROR(__xludf.DUMMYFUNCTION("GOOGLETRANSLATE(B2078, ""nl"", ""en"")"),"A face that fades into abstraction")</f>
        <v>A face that fades into abstraction</v>
      </c>
    </row>
    <row r="2079" ht="15.75" customHeight="1">
      <c r="A2079" s="3" t="s">
        <v>7</v>
      </c>
      <c r="B2079" s="3" t="s">
        <v>28</v>
      </c>
      <c r="D2079" s="3" t="str">
        <f>IFERROR(__xludf.DUMMYFUNCTION("GOOGLETRANSLATE(A2079, ""nl"", ""en"")"),"Human Figures and Physicality")</f>
        <v>Human Figures and Physicality</v>
      </c>
      <c r="E2079" s="3" t="str">
        <f>IFERROR(__xludf.DUMMYFUNCTION("GOOGLETRANSLATE(B2079, ""nl"", ""en"")"),"A dancing silhouette")</f>
        <v>A dancing silhouette</v>
      </c>
    </row>
    <row r="2080" ht="15.75" customHeight="1">
      <c r="A2080" s="3" t="s">
        <v>7</v>
      </c>
      <c r="B2080" s="3" t="s">
        <v>56</v>
      </c>
      <c r="D2080" s="3" t="str">
        <f>IFERROR(__xludf.DUMMYFUNCTION("GOOGLETRANSLATE(A2080, ""nl"", ""en"")"),"Human Figures and Physicality")</f>
        <v>Human Figures and Physicality</v>
      </c>
      <c r="E2080" s="3" t="str">
        <f>IFERROR(__xludf.DUMMYFUNCTION("GOOGLETRANSLATE(B2080, ""nl"", ""en"")"),"A shadow that seems to move")</f>
        <v>A shadow that seems to move</v>
      </c>
    </row>
    <row r="2081" ht="15.75" customHeight="1">
      <c r="A2081" s="3" t="s">
        <v>7</v>
      </c>
      <c r="B2081" s="3" t="s">
        <v>28</v>
      </c>
      <c r="D2081" s="3" t="str">
        <f>IFERROR(__xludf.DUMMYFUNCTION("GOOGLETRANSLATE(A2081, ""nl"", ""en"")"),"Human Figures and Physicality")</f>
        <v>Human Figures and Physicality</v>
      </c>
      <c r="E2081" s="3" t="str">
        <f>IFERROR(__xludf.DUMMYFUNCTION("GOOGLETRANSLATE(B2081, ""nl"", ""en"")"),"A dancing silhouette")</f>
        <v>A dancing silhouette</v>
      </c>
    </row>
    <row r="2082" ht="15.75" customHeight="1">
      <c r="A2082" s="3" t="s">
        <v>9</v>
      </c>
      <c r="B2082" s="3" t="s">
        <v>37</v>
      </c>
      <c r="D2082" s="3" t="str">
        <f>IFERROR(__xludf.DUMMYFUNCTION("GOOGLETRANSLATE(A2082, ""nl"", ""en"")"),"Psychological and Emotional Interpretations")</f>
        <v>Psychological and Emotional Interpretations</v>
      </c>
      <c r="E2082" s="3" t="str">
        <f>IFERROR(__xludf.DUMMYFUNCTION("GOOGLETRANSLATE(B2082, ""nl"", ""en"")"),"A figure looking through itself")</f>
        <v>A figure looking through itself</v>
      </c>
    </row>
    <row r="2083" ht="15.75" customHeight="1">
      <c r="A2083" s="3" t="s">
        <v>24</v>
      </c>
      <c r="B2083" s="3" t="s">
        <v>25</v>
      </c>
      <c r="D2083" s="3" t="str">
        <f>IFERROR(__xludf.DUMMYFUNCTION("GOOGLETRANSLATE(A2083, ""nl"", ""en"")"),"Cosmic and Abstract Patterns")</f>
        <v>Cosmic and Abstract Patterns</v>
      </c>
      <c r="E2083" s="3" t="str">
        <f>IFERROR(__xludf.DUMMYFUNCTION("GOOGLETRANSLATE(B2083, ""nl"", ""en"")"),"A meteor shower dissolving into each other")</f>
        <v>A meteor shower dissolving into each other</v>
      </c>
    </row>
    <row r="2084" ht="15.75" customHeight="1">
      <c r="A2084" s="3" t="s">
        <v>7</v>
      </c>
      <c r="B2084" s="3" t="s">
        <v>53</v>
      </c>
      <c r="D2084" s="3" t="str">
        <f>IFERROR(__xludf.DUMMYFUNCTION("GOOGLETRANSLATE(A2084, ""nl"", ""en"")"),"Human Figures and Physicality")</f>
        <v>Human Figures and Physicality</v>
      </c>
      <c r="E2084" s="3" t="str">
        <f>IFERROR(__xludf.DUMMYFUNCTION("GOOGLETRANSLATE(B2084, ""nl"", ""en"")"),"A face that both smiles and cries")</f>
        <v>A face that both smiles and cries</v>
      </c>
    </row>
    <row r="2085" ht="15.75" customHeight="1">
      <c r="A2085" s="3" t="s">
        <v>12</v>
      </c>
      <c r="B2085" s="3" t="s">
        <v>51</v>
      </c>
      <c r="D2085" s="3" t="str">
        <f>IFERROR(__xludf.DUMMYFUNCTION("GOOGLETRANSLATE(A2085, ""nl"", ""en"")"),"Nature and Elements")</f>
        <v>Nature and Elements</v>
      </c>
      <c r="E2085" s="3" t="str">
        <f>IFERROR(__xludf.DUMMYFUNCTION("GOOGLETRANSLATE(B2085, ""nl"", ""en"")"),"An evaporating puddle of water")</f>
        <v>An evaporating puddle of water</v>
      </c>
    </row>
    <row r="2086" ht="15.75" customHeight="1">
      <c r="A2086" s="3" t="s">
        <v>4</v>
      </c>
      <c r="B2086" s="3" t="s">
        <v>6</v>
      </c>
      <c r="D2086" s="3" t="str">
        <f>IFERROR(__xludf.DUMMYFUNCTION("GOOGLETRANSLATE(A2086, ""nl"", ""en"")"),"Architectural and Structural Associations")</f>
        <v>Architectural and Structural Associations</v>
      </c>
      <c r="E2086" s="3" t="str">
        <f>IFERROR(__xludf.DUMMYFUNCTION("GOOGLETRANSLATE(B2086, ""nl"", ""en"")"),"An endless labyrinth")</f>
        <v>An endless labyrinth</v>
      </c>
    </row>
    <row r="2087" ht="15.75" customHeight="1">
      <c r="A2087" s="3" t="s">
        <v>24</v>
      </c>
      <c r="B2087" s="3" t="s">
        <v>29</v>
      </c>
      <c r="D2087" s="3" t="str">
        <f>IFERROR(__xludf.DUMMYFUNCTION("GOOGLETRANSLATE(A2087, ""nl"", ""en"")"),"Cosmic and Abstract Patterns")</f>
        <v>Cosmic and Abstract Patterns</v>
      </c>
      <c r="E2087" s="3" t="str">
        <f>IFERROR(__xludf.DUMMYFUNCTION("GOOGLETRANSLATE(B2087, ""nl"", ""en"")"),"A galaxy unfolding")</f>
        <v>A galaxy unfolding</v>
      </c>
    </row>
    <row r="2088" ht="15.75" customHeight="1">
      <c r="A2088" s="3" t="s">
        <v>7</v>
      </c>
      <c r="B2088" s="3" t="s">
        <v>28</v>
      </c>
      <c r="D2088" s="3" t="str">
        <f>IFERROR(__xludf.DUMMYFUNCTION("GOOGLETRANSLATE(A2088, ""nl"", ""en"")"),"Human Figures and Physicality")</f>
        <v>Human Figures and Physicality</v>
      </c>
      <c r="E2088" s="3" t="str">
        <f>IFERROR(__xludf.DUMMYFUNCTION("GOOGLETRANSLATE(B2088, ""nl"", ""en"")"),"A dancing silhouette")</f>
        <v>A dancing silhouette</v>
      </c>
    </row>
    <row r="2089" ht="15.75" customHeight="1">
      <c r="A2089" s="3" t="s">
        <v>4</v>
      </c>
      <c r="B2089" s="3" t="s">
        <v>5</v>
      </c>
      <c r="D2089" s="3" t="str">
        <f>IFERROR(__xludf.DUMMYFUNCTION("GOOGLETRANSLATE(A2089, ""nl"", ""en"")"),"Architectural and Structural Associations")</f>
        <v>Architectural and Structural Associations</v>
      </c>
      <c r="E2089" s="3" t="str">
        <f>IFERROR(__xludf.DUMMYFUNCTION("GOOGLETRANSLATE(B2089, ""nl"", ""en"")"),"A cathedral shaped from mist")</f>
        <v>A cathedral shaped from mist</v>
      </c>
    </row>
    <row r="2090" ht="15.75" customHeight="1">
      <c r="A2090" s="3" t="s">
        <v>4</v>
      </c>
      <c r="B2090" s="3" t="s">
        <v>6</v>
      </c>
      <c r="D2090" s="3" t="str">
        <f>IFERROR(__xludf.DUMMYFUNCTION("GOOGLETRANSLATE(A2090, ""nl"", ""en"")"),"Architectural and Structural Associations")</f>
        <v>Architectural and Structural Associations</v>
      </c>
      <c r="E2090" s="3" t="str">
        <f>IFERROR(__xludf.DUMMYFUNCTION("GOOGLETRANSLATE(B2090, ""nl"", ""en"")"),"An endless labyrinth")</f>
        <v>An endless labyrinth</v>
      </c>
    </row>
    <row r="2091" ht="15.75" customHeight="1">
      <c r="A2091" s="3" t="s">
        <v>24</v>
      </c>
      <c r="B2091" s="3" t="s">
        <v>54</v>
      </c>
      <c r="D2091" s="3" t="str">
        <f>IFERROR(__xludf.DUMMYFUNCTION("GOOGLETRANSLATE(A2091, ""nl"", ""en"")"),"Cosmic and Abstract Patterns")</f>
        <v>Cosmic and Abstract Patterns</v>
      </c>
      <c r="E2091" s="3" t="str">
        <f>IFERROR(__xludf.DUMMYFUNCTION("GOOGLETRANSLATE(B2091, ""nl"", ""en"")"),"A quantum particle in superposition")</f>
        <v>A quantum particle in superposition</v>
      </c>
    </row>
    <row r="2092" ht="15.75" customHeight="1">
      <c r="A2092" s="3" t="s">
        <v>15</v>
      </c>
      <c r="B2092" s="3" t="s">
        <v>16</v>
      </c>
      <c r="D2092" s="3" t="str">
        <f>IFERROR(__xludf.DUMMYFUNCTION("GOOGLETRANSLATE(A2092, ""nl"", ""en"")"),"Animals and Organic Forms")</f>
        <v>Animals and Organic Forms</v>
      </c>
      <c r="E2092" s="3" t="str">
        <f>IFERROR(__xludf.DUMMYFUNCTION("GOOGLETRANSLATE(B2092, ""nl"", ""en"")"),"A butterfly in transformation")</f>
        <v>A butterfly in transformation</v>
      </c>
    </row>
    <row r="2093" ht="15.75" customHeight="1">
      <c r="A2093" s="3" t="s">
        <v>9</v>
      </c>
      <c r="B2093" s="3" t="s">
        <v>49</v>
      </c>
      <c r="D2093" s="3" t="str">
        <f>IFERROR(__xludf.DUMMYFUNCTION("GOOGLETRANSLATE(A2093, ""nl"", ""en"")"),"Psychological and Emotional Interpretations")</f>
        <v>Psychological and Emotional Interpretations</v>
      </c>
      <c r="E2093" s="3" t="str">
        <f>IFERROR(__xludf.DUMMYFUNCTION("GOOGLETRANSLATE(B2093, ""nl"", ""en"")"),"A spiral that turns inward")</f>
        <v>A spiral that turns inward</v>
      </c>
    </row>
    <row r="2094" ht="15.75" customHeight="1">
      <c r="A2094" s="3" t="s">
        <v>12</v>
      </c>
      <c r="B2094" s="3" t="s">
        <v>47</v>
      </c>
      <c r="D2094" s="3" t="str">
        <f>IFERROR(__xludf.DUMMYFUNCTION("GOOGLETRANSLATE(A2094, ""nl"", ""en"")"),"Nature and Elements")</f>
        <v>Nature and Elements</v>
      </c>
      <c r="E2094" s="3" t="str">
        <f>IFERROR(__xludf.DUMMYFUNCTION("GOOGLETRANSLATE(B2094, ""nl"", ""en"")"),"A desert landscape that slowly changes")</f>
        <v>A desert landscape that slowly changes</v>
      </c>
    </row>
    <row r="2095" ht="15.75" customHeight="1">
      <c r="A2095" s="3" t="s">
        <v>12</v>
      </c>
      <c r="B2095" s="3" t="s">
        <v>51</v>
      </c>
      <c r="D2095" s="3" t="str">
        <f>IFERROR(__xludf.DUMMYFUNCTION("GOOGLETRANSLATE(A2095, ""nl"", ""en"")"),"Nature and Elements")</f>
        <v>Nature and Elements</v>
      </c>
      <c r="E2095" s="3" t="str">
        <f>IFERROR(__xludf.DUMMYFUNCTION("GOOGLETRANSLATE(B2095, ""nl"", ""en"")"),"An evaporating puddle of water")</f>
        <v>An evaporating puddle of water</v>
      </c>
    </row>
    <row r="2096" ht="15.75" customHeight="1">
      <c r="A2096" s="3" t="s">
        <v>15</v>
      </c>
      <c r="B2096" s="3" t="s">
        <v>16</v>
      </c>
      <c r="D2096" s="3" t="str">
        <f>IFERROR(__xludf.DUMMYFUNCTION("GOOGLETRANSLATE(A2096, ""nl"", ""en"")"),"Animals and Organic Forms")</f>
        <v>Animals and Organic Forms</v>
      </c>
      <c r="E2096" s="3" t="str">
        <f>IFERROR(__xludf.DUMMYFUNCTION("GOOGLETRANSLATE(B2096, ""nl"", ""en"")"),"A butterfly in transformation")</f>
        <v>A butterfly in transformation</v>
      </c>
    </row>
    <row r="2097" ht="15.75" customHeight="1">
      <c r="A2097" s="3" t="s">
        <v>9</v>
      </c>
      <c r="B2097" s="3" t="s">
        <v>11</v>
      </c>
      <c r="D2097" s="3" t="str">
        <f>IFERROR(__xludf.DUMMYFUNCTION("GOOGLETRANSLATE(A2097, ""nl"", ""en"")"),"Psychological and Emotional Interpretations")</f>
        <v>Psychological and Emotional Interpretations</v>
      </c>
      <c r="E2097" s="3" t="str">
        <f>IFERROR(__xludf.DUMMYFUNCTION("GOOGLETRANSLATE(B2097, ""nl"", ""en"")"),"An emotion captured in abstraction")</f>
        <v>An emotion captured in abstraction</v>
      </c>
    </row>
    <row r="2098" ht="15.75" customHeight="1">
      <c r="A2098" s="3" t="s">
        <v>24</v>
      </c>
      <c r="B2098" s="3" t="s">
        <v>27</v>
      </c>
      <c r="D2098" s="3" t="str">
        <f>IFERROR(__xludf.DUMMYFUNCTION("GOOGLETRANSLATE(A2098, ""nl"", ""en"")"),"Cosmic and Abstract Patterns")</f>
        <v>Cosmic and Abstract Patterns</v>
      </c>
      <c r="E2098" s="3" t="str">
        <f>IFERROR(__xludf.DUMMYFUNCTION("GOOGLETRANSLATE(B2098, ""nl"", ""en"")"),"A pair of black holes in dance")</f>
        <v>A pair of black holes in dance</v>
      </c>
    </row>
    <row r="2099" ht="15.75" customHeight="1">
      <c r="A2099" s="3" t="s">
        <v>9</v>
      </c>
      <c r="B2099" s="3" t="s">
        <v>37</v>
      </c>
      <c r="D2099" s="3" t="str">
        <f>IFERROR(__xludf.DUMMYFUNCTION("GOOGLETRANSLATE(A2099, ""nl"", ""en"")"),"Psychological and Emotional Interpretations")</f>
        <v>Psychological and Emotional Interpretations</v>
      </c>
      <c r="E2099" s="3" t="str">
        <f>IFERROR(__xludf.DUMMYFUNCTION("GOOGLETRANSLATE(B2099, ""nl"", ""en"")"),"A figure looking through itself")</f>
        <v>A figure looking through itself</v>
      </c>
    </row>
    <row r="2100" ht="15.75" customHeight="1">
      <c r="A2100" s="3" t="s">
        <v>4</v>
      </c>
      <c r="B2100" s="3" t="s">
        <v>43</v>
      </c>
      <c r="D2100" s="3" t="str">
        <f>IFERROR(__xludf.DUMMYFUNCTION("GOOGLETRANSLATE(A2100, ""nl"", ""en"")"),"Architectural and Structural Associations")</f>
        <v>Architectural and Structural Associations</v>
      </c>
      <c r="E2100" s="3" t="str">
        <f>IFERROR(__xludf.DUMMYFUNCTION("GOOGLETRANSLATE(B2100, ""nl"", ""en"")"),"A network of tunnels and passages")</f>
        <v>A network of tunnels and passages</v>
      </c>
    </row>
    <row r="2101" ht="15.75" customHeight="1">
      <c r="A2101" s="3" t="s">
        <v>4</v>
      </c>
      <c r="B2101" s="3" t="s">
        <v>43</v>
      </c>
      <c r="D2101" s="3" t="str">
        <f>IFERROR(__xludf.DUMMYFUNCTION("GOOGLETRANSLATE(A2101, ""nl"", ""en"")"),"Architectural and Structural Associations")</f>
        <v>Architectural and Structural Associations</v>
      </c>
      <c r="E2101" s="3" t="str">
        <f>IFERROR(__xludf.DUMMYFUNCTION("GOOGLETRANSLATE(B2101, ""nl"", ""en"")"),"A network of tunnels and passages")</f>
        <v>A network of tunnels and passages</v>
      </c>
    </row>
    <row r="2102" ht="15.75" customHeight="1">
      <c r="A2102" s="3" t="s">
        <v>4</v>
      </c>
      <c r="B2102" s="3" t="s">
        <v>44</v>
      </c>
      <c r="D2102" s="3" t="str">
        <f>IFERROR(__xludf.DUMMYFUNCTION("GOOGLETRANSLATE(A2102, ""nl"", ""en"")"),"Architectural and Structural Associations")</f>
        <v>Architectural and Structural Associations</v>
      </c>
      <c r="E2102" s="3" t="str">
        <f>IFERROR(__xludf.DUMMYFUNCTION("GOOGLETRANSLATE(B2102, ""nl"", ""en"")"),"A structure that pulsates in waves")</f>
        <v>A structure that pulsates in waves</v>
      </c>
    </row>
    <row r="2103" ht="15.75" customHeight="1">
      <c r="A2103" s="3" t="s">
        <v>4</v>
      </c>
      <c r="B2103" s="3" t="s">
        <v>6</v>
      </c>
      <c r="D2103" s="3" t="str">
        <f>IFERROR(__xludf.DUMMYFUNCTION("GOOGLETRANSLATE(A2103, ""nl"", ""en"")"),"Architectural and Structural Associations")</f>
        <v>Architectural and Structural Associations</v>
      </c>
      <c r="E2103" s="3" t="str">
        <f>IFERROR(__xludf.DUMMYFUNCTION("GOOGLETRANSLATE(B2103, ""nl"", ""en"")"),"An endless labyrinth")</f>
        <v>An endless labyrinth</v>
      </c>
    </row>
    <row r="2104" ht="15.75" customHeight="1">
      <c r="A2104" s="3" t="s">
        <v>12</v>
      </c>
      <c r="B2104" s="3" t="s">
        <v>23</v>
      </c>
      <c r="D2104" s="3" t="str">
        <f>IFERROR(__xludf.DUMMYFUNCTION("GOOGLETRANSLATE(A2104, ""nl"", ""en"")"),"Nature and Elements")</f>
        <v>Nature and Elements</v>
      </c>
      <c r="E2104" s="3" t="str">
        <f>IFERROR(__xludf.DUMMYFUNCTION("GOOGLETRANSLATE(B2104, ""nl"", ""en"")"),"A storm cloud splitting in two")</f>
        <v>A storm cloud splitting in two</v>
      </c>
    </row>
    <row r="2105" ht="15.75" customHeight="1">
      <c r="A2105" s="3" t="s">
        <v>15</v>
      </c>
      <c r="B2105" s="3" t="s">
        <v>45</v>
      </c>
      <c r="D2105" s="3" t="str">
        <f>IFERROR(__xludf.DUMMYFUNCTION("GOOGLETRANSLATE(A2105, ""nl"", ""en"")"),"Animals and Organic Forms")</f>
        <v>Animals and Organic Forms</v>
      </c>
      <c r="E2105" s="3" t="str">
        <f>IFERROR(__xludf.DUMMYFUNCTION("GOOGLETRANSLATE(B2105, ""nl"", ""en"")"),"A snake biting its own tail")</f>
        <v>A snake biting its own tail</v>
      </c>
    </row>
    <row r="2106" ht="15.75" customHeight="1">
      <c r="A2106" s="3" t="s">
        <v>7</v>
      </c>
      <c r="B2106" s="3" t="s">
        <v>28</v>
      </c>
      <c r="D2106" s="3" t="str">
        <f>IFERROR(__xludf.DUMMYFUNCTION("GOOGLETRANSLATE(A2106, ""nl"", ""en"")"),"Human Figures and Physicality")</f>
        <v>Human Figures and Physicality</v>
      </c>
      <c r="E2106" s="3" t="str">
        <f>IFERROR(__xludf.DUMMYFUNCTION("GOOGLETRANSLATE(B2106, ""nl"", ""en"")"),"A dancing silhouette")</f>
        <v>A dancing silhouette</v>
      </c>
    </row>
    <row r="2107" ht="15.75" customHeight="1">
      <c r="A2107" s="3" t="s">
        <v>12</v>
      </c>
      <c r="B2107" s="3" t="s">
        <v>19</v>
      </c>
      <c r="D2107" s="3" t="str">
        <f>IFERROR(__xludf.DUMMYFUNCTION("GOOGLETRANSLATE(A2107, ""nl"", ""en"")"),"Nature and Elements")</f>
        <v>Nature and Elements</v>
      </c>
      <c r="E2107" s="3" t="str">
        <f>IFERROR(__xludf.DUMMYFUNCTION("GOOGLETRANSLATE(B2107, ""nl"", ""en"")"),"A mountain range that seems to breathe")</f>
        <v>A mountain range that seems to breathe</v>
      </c>
    </row>
    <row r="2108" ht="15.75" customHeight="1">
      <c r="A2108" s="3" t="s">
        <v>7</v>
      </c>
      <c r="B2108" s="3" t="s">
        <v>39</v>
      </c>
      <c r="D2108" s="3" t="str">
        <f>IFERROR(__xludf.DUMMYFUNCTION("GOOGLETRANSLATE(A2108, ""nl"", ""en"")"),"Human Figures and Physicality")</f>
        <v>Human Figures and Physicality</v>
      </c>
      <c r="E2108" s="3" t="str">
        <f>IFERROR(__xludf.DUMMYFUNCTION("GOOGLETRANSLATE(B2108, ""nl"", ""en"")"),"A torso without a head")</f>
        <v>A torso without a head</v>
      </c>
    </row>
    <row r="2109" ht="15.75" customHeight="1">
      <c r="A2109" s="3" t="s">
        <v>15</v>
      </c>
      <c r="B2109" s="3" t="s">
        <v>38</v>
      </c>
      <c r="D2109" s="3" t="str">
        <f>IFERROR(__xludf.DUMMYFUNCTION("GOOGLETRANSLATE(A2109, ""nl"", ""en"")"),"Animals and Organic Forms")</f>
        <v>Animals and Organic Forms</v>
      </c>
      <c r="E2109" s="3" t="str">
        <f>IFERROR(__xludf.DUMMYFUNCTION("GOOGLETRANSLATE(B2109, ""nl"", ""en"")"),"A lion with an open mouth")</f>
        <v>A lion with an open mouth</v>
      </c>
    </row>
    <row r="2110" ht="15.75" customHeight="1">
      <c r="A2110" s="3" t="s">
        <v>24</v>
      </c>
      <c r="B2110" s="3" t="s">
        <v>27</v>
      </c>
      <c r="D2110" s="3" t="str">
        <f>IFERROR(__xludf.DUMMYFUNCTION("GOOGLETRANSLATE(A2110, ""nl"", ""en"")"),"Cosmic and Abstract Patterns")</f>
        <v>Cosmic and Abstract Patterns</v>
      </c>
      <c r="E2110" s="3" t="str">
        <f>IFERROR(__xludf.DUMMYFUNCTION("GOOGLETRANSLATE(B2110, ""nl"", ""en"")"),"A pair of black holes in dance")</f>
        <v>A pair of black holes in dance</v>
      </c>
    </row>
    <row r="2111" ht="15.75" customHeight="1">
      <c r="A2111" s="3" t="s">
        <v>15</v>
      </c>
      <c r="B2111" s="3" t="s">
        <v>45</v>
      </c>
      <c r="D2111" s="3" t="str">
        <f>IFERROR(__xludf.DUMMYFUNCTION("GOOGLETRANSLATE(A2111, ""nl"", ""en"")"),"Animals and Organic Forms")</f>
        <v>Animals and Organic Forms</v>
      </c>
      <c r="E2111" s="3" t="str">
        <f>IFERROR(__xludf.DUMMYFUNCTION("GOOGLETRANSLATE(B2111, ""nl"", ""en"")"),"A snake biting its own tail")</f>
        <v>A snake biting its own tail</v>
      </c>
    </row>
    <row r="2112" ht="15.75" customHeight="1">
      <c r="A2112" s="3" t="s">
        <v>24</v>
      </c>
      <c r="B2112" s="3" t="s">
        <v>33</v>
      </c>
      <c r="D2112" s="3" t="str">
        <f>IFERROR(__xludf.DUMMYFUNCTION("GOOGLETRANSLATE(A2112, ""nl"", ""en"")"),"Cosmic and Abstract Patterns")</f>
        <v>Cosmic and Abstract Patterns</v>
      </c>
      <c r="E2112" s="3" t="str">
        <f>IFERROR(__xludf.DUMMYFUNCTION("GOOGLETRANSLATE(B2112, ""nl"", ""en"")"),"An eye that repeats itself in endless patterns")</f>
        <v>An eye that repeats itself in endless patterns</v>
      </c>
    </row>
    <row r="2113" ht="15.75" customHeight="1">
      <c r="A2113" s="3" t="s">
        <v>15</v>
      </c>
      <c r="B2113" s="3" t="s">
        <v>46</v>
      </c>
      <c r="D2113" s="3" t="str">
        <f>IFERROR(__xludf.DUMMYFUNCTION("GOOGLETRANSLATE(A2113, ""nl"", ""en"")"),"Animals and Organic Forms")</f>
        <v>Animals and Organic Forms</v>
      </c>
      <c r="E2113" s="3" t="str">
        <f>IFERROR(__xludf.DUMMYFUNCTION("GOOGLETRANSLATE(B2113, ""nl"", ""en"")"),"A flock of fish moving as one")</f>
        <v>A flock of fish moving as one</v>
      </c>
    </row>
    <row r="2114" ht="15.75" customHeight="1">
      <c r="A2114" s="3" t="s">
        <v>7</v>
      </c>
      <c r="B2114" s="3" t="s">
        <v>53</v>
      </c>
      <c r="D2114" s="3" t="str">
        <f>IFERROR(__xludf.DUMMYFUNCTION("GOOGLETRANSLATE(A2114, ""nl"", ""en"")"),"Human Figures and Physicality")</f>
        <v>Human Figures and Physicality</v>
      </c>
      <c r="E2114" s="3" t="str">
        <f>IFERROR(__xludf.DUMMYFUNCTION("GOOGLETRANSLATE(B2114, ""nl"", ""en"")"),"A face that both smiles and cries")</f>
        <v>A face that both smiles and cries</v>
      </c>
    </row>
    <row r="2115" ht="15.75" customHeight="1">
      <c r="A2115" s="3" t="s">
        <v>15</v>
      </c>
      <c r="B2115" s="3" t="s">
        <v>50</v>
      </c>
      <c r="D2115" s="3" t="str">
        <f>IFERROR(__xludf.DUMMYFUNCTION("GOOGLETRANSLATE(A2115, ""nl"", ""en"")"),"Animals and Organic Forms")</f>
        <v>Animals and Organic Forms</v>
      </c>
      <c r="E2115" s="3" t="str">
        <f>IFERROR(__xludf.DUMMYFUNCTION("GOOGLETRANSLATE(B2115, ""nl"", ""en"")"),"A squid with extended tentacles")</f>
        <v>A squid with extended tentacles</v>
      </c>
    </row>
    <row r="2116" ht="15.75" customHeight="1">
      <c r="A2116" s="3" t="s">
        <v>24</v>
      </c>
      <c r="B2116" s="3" t="s">
        <v>48</v>
      </c>
      <c r="D2116" s="3" t="str">
        <f>IFERROR(__xludf.DUMMYFUNCTION("GOOGLETRANSLATE(A2116, ""nl"", ""en"")"),"Cosmic and Abstract Patterns")</f>
        <v>Cosmic and Abstract Patterns</v>
      </c>
      <c r="E2116" s="3" t="str">
        <f>IFERROR(__xludf.DUMMYFUNCTION("GOOGLETRANSLATE(B2116, ""nl"", ""en"")"),"A fractal that repeats itself")</f>
        <v>A fractal that repeats itself</v>
      </c>
    </row>
    <row r="2117" ht="15.75" customHeight="1">
      <c r="A2117" s="3" t="s">
        <v>4</v>
      </c>
      <c r="B2117" s="3" t="s">
        <v>20</v>
      </c>
      <c r="D2117" s="3" t="str">
        <f>IFERROR(__xludf.DUMMYFUNCTION("GOOGLETRANSLATE(A2117, ""nl"", ""en"")"),"Architectural and Structural Associations")</f>
        <v>Architectural and Structural Associations</v>
      </c>
      <c r="E2117" s="3" t="str">
        <f>IFERROR(__xludf.DUMMYFUNCTION("GOOGLETRANSLATE(B2117, ""nl"", ""en"")"),"A tower that grows by itself")</f>
        <v>A tower that grows by itself</v>
      </c>
    </row>
    <row r="2118" ht="15.75" customHeight="1">
      <c r="A2118" s="3" t="s">
        <v>4</v>
      </c>
      <c r="B2118" s="3" t="s">
        <v>43</v>
      </c>
      <c r="D2118" s="3" t="str">
        <f>IFERROR(__xludf.DUMMYFUNCTION("GOOGLETRANSLATE(A2118, ""nl"", ""en"")"),"Architectural and Structural Associations")</f>
        <v>Architectural and Structural Associations</v>
      </c>
      <c r="E2118" s="3" t="str">
        <f>IFERROR(__xludf.DUMMYFUNCTION("GOOGLETRANSLATE(B2118, ""nl"", ""en"")"),"A network of tunnels and passages")</f>
        <v>A network of tunnels and passages</v>
      </c>
    </row>
    <row r="2119" ht="15.75" customHeight="1">
      <c r="A2119" s="3" t="s">
        <v>12</v>
      </c>
      <c r="B2119" s="3" t="s">
        <v>51</v>
      </c>
      <c r="D2119" s="3" t="str">
        <f>IFERROR(__xludf.DUMMYFUNCTION("GOOGLETRANSLATE(A2119, ""nl"", ""en"")"),"Nature and Elements")</f>
        <v>Nature and Elements</v>
      </c>
      <c r="E2119" s="3" t="str">
        <f>IFERROR(__xludf.DUMMYFUNCTION("GOOGLETRANSLATE(B2119, ""nl"", ""en"")"),"An evaporating puddle of water")</f>
        <v>An evaporating puddle of water</v>
      </c>
    </row>
    <row r="2120" ht="15.75" customHeight="1">
      <c r="A2120" s="3" t="s">
        <v>24</v>
      </c>
      <c r="B2120" s="3" t="s">
        <v>32</v>
      </c>
      <c r="D2120" s="3" t="str">
        <f>IFERROR(__xludf.DUMMYFUNCTION("GOOGLETRANSLATE(A2120, ""nl"", ""en"")"),"Cosmic and Abstract Patterns")</f>
        <v>Cosmic and Abstract Patterns</v>
      </c>
      <c r="E2120" s="3" t="str">
        <f>IFERROR(__xludf.DUMMYFUNCTION("GOOGLETRANSLATE(B2120, ""nl"", ""en"")"),"A time loop captured in image")</f>
        <v>A time loop captured in image</v>
      </c>
    </row>
    <row r="2121" ht="15.75" customHeight="1">
      <c r="A2121" s="3" t="s">
        <v>15</v>
      </c>
      <c r="B2121" s="3" t="s">
        <v>26</v>
      </c>
      <c r="D2121" s="3" t="str">
        <f>IFERROR(__xludf.DUMMYFUNCTION("GOOGLETRANSLATE(A2121, ""nl"", ""en"")"),"Animals and Organic Forms")</f>
        <v>Animals and Organic Forms</v>
      </c>
      <c r="E2121" s="3" t="str">
        <f>IFERROR(__xludf.DUMMYFUNCTION("GOOGLETRANSLATE(B2121, ""nl"", ""en"")"),"A frog preparing to jump")</f>
        <v>A frog preparing to jump</v>
      </c>
    </row>
    <row r="2122" ht="15.75" customHeight="1">
      <c r="A2122" s="3" t="s">
        <v>9</v>
      </c>
      <c r="B2122" s="3" t="s">
        <v>17</v>
      </c>
      <c r="D2122" s="3" t="str">
        <f>IFERROR(__xludf.DUMMYFUNCTION("GOOGLETRANSLATE(A2122, ""nl"", ""en"")"),"Psychological and Emotional Interpretations")</f>
        <v>Psychological and Emotional Interpretations</v>
      </c>
      <c r="E2122" s="3" t="str">
        <f>IFERROR(__xludf.DUMMYFUNCTION("GOOGLETRANSLATE(B2122, ""nl"", ""en"")"),"A figure that seems to melt")</f>
        <v>A figure that seems to melt</v>
      </c>
    </row>
    <row r="2123" ht="15.75" customHeight="1">
      <c r="A2123" s="3" t="s">
        <v>7</v>
      </c>
      <c r="B2123" s="3" t="s">
        <v>40</v>
      </c>
      <c r="D2123" s="3" t="str">
        <f>IFERROR(__xludf.DUMMYFUNCTION("GOOGLETRANSLATE(A2123, ""nl"", ""en"")"),"Human Figures and Physicality")</f>
        <v>Human Figures and Physicality</v>
      </c>
      <c r="E2123" s="3" t="str">
        <f>IFERROR(__xludf.DUMMYFUNCTION("GOOGLETRANSLATE(B2123, ""nl"", ""en"")"),"A figure who is withdrawn into himself")</f>
        <v>A figure who is withdrawn into himself</v>
      </c>
    </row>
    <row r="2124" ht="15.75" customHeight="1">
      <c r="A2124" s="3" t="s">
        <v>9</v>
      </c>
      <c r="B2124" s="3" t="s">
        <v>42</v>
      </c>
      <c r="D2124" s="3" t="str">
        <f>IFERROR(__xludf.DUMMYFUNCTION("GOOGLETRANSLATE(A2124, ""nl"", ""en"")"),"Psychological and Emotional Interpretations")</f>
        <v>Psychological and Emotional Interpretations</v>
      </c>
      <c r="E2124" s="3" t="str">
        <f>IFERROR(__xludf.DUMMYFUNCTION("GOOGLETRANSLATE(B2124, ""nl"", ""en"")"),"A mask that slowly disappears")</f>
        <v>A mask that slowly disappears</v>
      </c>
    </row>
    <row r="2125" ht="15.75" customHeight="1">
      <c r="A2125" s="3" t="s">
        <v>7</v>
      </c>
      <c r="B2125" s="3" t="s">
        <v>41</v>
      </c>
      <c r="D2125" s="3" t="str">
        <f>IFERROR(__xludf.DUMMYFUNCTION("GOOGLETRANSLATE(A2125, ""nl"", ""en"")"),"Human Figures and Physicality")</f>
        <v>Human Figures and Physicality</v>
      </c>
      <c r="E2125" s="3" t="str">
        <f>IFERROR(__xludf.DUMMYFUNCTION("GOOGLETRANSLATE(B2125, ""nl"", ""en"")"),"A face that fades into abstraction")</f>
        <v>A face that fades into abstraction</v>
      </c>
    </row>
    <row r="2126" ht="15.75" customHeight="1">
      <c r="A2126" s="3" t="s">
        <v>7</v>
      </c>
      <c r="B2126" s="3" t="s">
        <v>28</v>
      </c>
      <c r="D2126" s="3" t="str">
        <f>IFERROR(__xludf.DUMMYFUNCTION("GOOGLETRANSLATE(A2126, ""nl"", ""en"")"),"Human Figures and Physicality")</f>
        <v>Human Figures and Physicality</v>
      </c>
      <c r="E2126" s="3" t="str">
        <f>IFERROR(__xludf.DUMMYFUNCTION("GOOGLETRANSLATE(B2126, ""nl"", ""en"")"),"A dancing silhouette")</f>
        <v>A dancing silhouette</v>
      </c>
    </row>
    <row r="2127" ht="15.75" customHeight="1">
      <c r="A2127" s="3" t="s">
        <v>9</v>
      </c>
      <c r="B2127" s="3" t="s">
        <v>37</v>
      </c>
      <c r="D2127" s="3" t="str">
        <f>IFERROR(__xludf.DUMMYFUNCTION("GOOGLETRANSLATE(A2127, ""nl"", ""en"")"),"Psychological and Emotional Interpretations")</f>
        <v>Psychological and Emotional Interpretations</v>
      </c>
      <c r="E2127" s="3" t="str">
        <f>IFERROR(__xludf.DUMMYFUNCTION("GOOGLETRANSLATE(B2127, ""nl"", ""en"")"),"A figure looking through itself")</f>
        <v>A figure looking through itself</v>
      </c>
    </row>
    <row r="2128" ht="15.75" customHeight="1">
      <c r="A2128" s="3" t="s">
        <v>12</v>
      </c>
      <c r="B2128" s="3" t="s">
        <v>47</v>
      </c>
      <c r="D2128" s="3" t="str">
        <f>IFERROR(__xludf.DUMMYFUNCTION("GOOGLETRANSLATE(A2128, ""nl"", ""en"")"),"Nature and Elements")</f>
        <v>Nature and Elements</v>
      </c>
      <c r="E2128" s="3" t="str">
        <f>IFERROR(__xludf.DUMMYFUNCTION("GOOGLETRANSLATE(B2128, ""nl"", ""en"")"),"A desert landscape that slowly changes")</f>
        <v>A desert landscape that slowly changes</v>
      </c>
    </row>
    <row r="2129" ht="15.75" customHeight="1">
      <c r="A2129" s="3" t="s">
        <v>4</v>
      </c>
      <c r="B2129" s="3" t="s">
        <v>21</v>
      </c>
      <c r="D2129" s="3" t="str">
        <f>IFERROR(__xludf.DUMMYFUNCTION("GOOGLETRANSLATE(A2129, ""nl"", ""en"")"),"Architectural and Structural Associations")</f>
        <v>Architectural and Structural Associations</v>
      </c>
      <c r="E2129" s="3" t="str">
        <f>IFERROR(__xludf.DUMMYFUNCTION("GOOGLETRANSLATE(B2129, ""nl"", ""en"")"),"A bridge that leads nowhere")</f>
        <v>A bridge that leads nowhere</v>
      </c>
    </row>
    <row r="2130" ht="15.75" customHeight="1">
      <c r="A2130" s="3" t="s">
        <v>4</v>
      </c>
      <c r="B2130" s="3" t="s">
        <v>5</v>
      </c>
      <c r="D2130" s="3" t="str">
        <f>IFERROR(__xludf.DUMMYFUNCTION("GOOGLETRANSLATE(A2130, ""nl"", ""en"")"),"Architectural and Structural Associations")</f>
        <v>Architectural and Structural Associations</v>
      </c>
      <c r="E2130" s="3" t="str">
        <f>IFERROR(__xludf.DUMMYFUNCTION("GOOGLETRANSLATE(B2130, ""nl"", ""en"")"),"A cathedral shaped from mist")</f>
        <v>A cathedral shaped from mist</v>
      </c>
    </row>
    <row r="2131" ht="15.75" customHeight="1">
      <c r="A2131" s="3" t="s">
        <v>4</v>
      </c>
      <c r="B2131" s="3" t="s">
        <v>44</v>
      </c>
      <c r="D2131" s="3" t="str">
        <f>IFERROR(__xludf.DUMMYFUNCTION("GOOGLETRANSLATE(A2131, ""nl"", ""en"")"),"Architectural and Structural Associations")</f>
        <v>Architectural and Structural Associations</v>
      </c>
      <c r="E2131" s="3" t="str">
        <f>IFERROR(__xludf.DUMMYFUNCTION("GOOGLETRANSLATE(B2131, ""nl"", ""en"")"),"A structure that pulsates in waves")</f>
        <v>A structure that pulsates in waves</v>
      </c>
    </row>
    <row r="2132" ht="15.75" customHeight="1">
      <c r="A2132" s="3" t="s">
        <v>4</v>
      </c>
      <c r="B2132" s="3" t="s">
        <v>20</v>
      </c>
      <c r="D2132" s="3" t="str">
        <f>IFERROR(__xludf.DUMMYFUNCTION("GOOGLETRANSLATE(A2132, ""nl"", ""en"")"),"Architectural and Structural Associations")</f>
        <v>Architectural and Structural Associations</v>
      </c>
      <c r="E2132" s="3" t="str">
        <f>IFERROR(__xludf.DUMMYFUNCTION("GOOGLETRANSLATE(B2132, ""nl"", ""en"")"),"A tower that grows by itself")</f>
        <v>A tower that grows by itself</v>
      </c>
    </row>
    <row r="2133" ht="15.75" customHeight="1">
      <c r="A2133" s="3" t="s">
        <v>15</v>
      </c>
      <c r="B2133" s="3" t="s">
        <v>52</v>
      </c>
      <c r="D2133" s="3" t="str">
        <f>IFERROR(__xludf.DUMMYFUNCTION("GOOGLETRANSLATE(A2133, ""nl"", ""en"")"),"Animals and Organic Forms")</f>
        <v>Animals and Organic Forms</v>
      </c>
      <c r="E2133" s="3" t="str">
        <f>IFERROR(__xludf.DUMMYFUNCTION("GOOGLETRANSLATE(B2133, ""nl"", ""en"")"),"A mask made of leaves")</f>
        <v>A mask made of leaves</v>
      </c>
    </row>
    <row r="2134" ht="15.75" customHeight="1">
      <c r="A2134" s="3" t="s">
        <v>15</v>
      </c>
      <c r="B2134" s="3" t="s">
        <v>16</v>
      </c>
      <c r="D2134" s="3" t="str">
        <f>IFERROR(__xludf.DUMMYFUNCTION("GOOGLETRANSLATE(A2134, ""nl"", ""en"")"),"Animals and Organic Forms")</f>
        <v>Animals and Organic Forms</v>
      </c>
      <c r="E2134" s="3" t="str">
        <f>IFERROR(__xludf.DUMMYFUNCTION("GOOGLETRANSLATE(B2134, ""nl"", ""en"")"),"A butterfly in transformation")</f>
        <v>A butterfly in transformation</v>
      </c>
    </row>
    <row r="2135" ht="15.75" customHeight="1">
      <c r="A2135" s="3" t="s">
        <v>15</v>
      </c>
      <c r="B2135" s="3" t="s">
        <v>38</v>
      </c>
      <c r="D2135" s="3" t="str">
        <f>IFERROR(__xludf.DUMMYFUNCTION("GOOGLETRANSLATE(A2135, ""nl"", ""en"")"),"Animals and Organic Forms")</f>
        <v>Animals and Organic Forms</v>
      </c>
      <c r="E2135" s="3" t="str">
        <f>IFERROR(__xludf.DUMMYFUNCTION("GOOGLETRANSLATE(B2135, ""nl"", ""en"")"),"A lion with an open mouth")</f>
        <v>A lion with an open mouth</v>
      </c>
    </row>
    <row r="2136" ht="15.75" customHeight="1">
      <c r="A2136" s="3" t="s">
        <v>12</v>
      </c>
      <c r="B2136" s="3" t="s">
        <v>23</v>
      </c>
      <c r="D2136" s="3" t="str">
        <f>IFERROR(__xludf.DUMMYFUNCTION("GOOGLETRANSLATE(A2136, ""nl"", ""en"")"),"Nature and Elements")</f>
        <v>Nature and Elements</v>
      </c>
      <c r="E2136" s="3" t="str">
        <f>IFERROR(__xludf.DUMMYFUNCTION("GOOGLETRANSLATE(B2136, ""nl"", ""en"")"),"A storm cloud splitting in two")</f>
        <v>A storm cloud splitting in two</v>
      </c>
    </row>
    <row r="2137" ht="15.75" customHeight="1">
      <c r="A2137" s="3" t="s">
        <v>4</v>
      </c>
      <c r="B2137" s="3" t="s">
        <v>6</v>
      </c>
      <c r="D2137" s="3" t="str">
        <f>IFERROR(__xludf.DUMMYFUNCTION("GOOGLETRANSLATE(A2137, ""nl"", ""en"")"),"Architectural and Structural Associations")</f>
        <v>Architectural and Structural Associations</v>
      </c>
      <c r="E2137" s="3" t="str">
        <f>IFERROR(__xludf.DUMMYFUNCTION("GOOGLETRANSLATE(B2137, ""nl"", ""en"")"),"An endless labyrinth")</f>
        <v>An endless labyrinth</v>
      </c>
    </row>
    <row r="2138" ht="15.75" customHeight="1">
      <c r="A2138" s="3" t="s">
        <v>9</v>
      </c>
      <c r="B2138" s="3" t="s">
        <v>17</v>
      </c>
      <c r="D2138" s="3" t="str">
        <f>IFERROR(__xludf.DUMMYFUNCTION("GOOGLETRANSLATE(A2138, ""nl"", ""en"")"),"Psychological and Emotional Interpretations")</f>
        <v>Psychological and Emotional Interpretations</v>
      </c>
      <c r="E2138" s="3" t="str">
        <f>IFERROR(__xludf.DUMMYFUNCTION("GOOGLETRANSLATE(B2138, ""nl"", ""en"")"),"A figure that seems to melt")</f>
        <v>A figure that seems to melt</v>
      </c>
    </row>
    <row r="2139" ht="15.75" customHeight="1">
      <c r="A2139" s="3" t="s">
        <v>7</v>
      </c>
      <c r="B2139" s="3" t="s">
        <v>34</v>
      </c>
      <c r="D2139" s="3" t="str">
        <f>IFERROR(__xludf.DUMMYFUNCTION("GOOGLETRANSLATE(A2139, ""nl"", ""en"")"),"Human Figures and Physicality")</f>
        <v>Human Figures and Physicality</v>
      </c>
      <c r="E2139" s="3" t="str">
        <f>IFERROR(__xludf.DUMMYFUNCTION("GOOGLETRANSLATE(B2139, ""nl"", ""en"")"),"Hands almost touching")</f>
        <v>Hands almost touching</v>
      </c>
    </row>
    <row r="2140" ht="15.75" customHeight="1">
      <c r="A2140" s="3" t="s">
        <v>7</v>
      </c>
      <c r="B2140" s="3" t="s">
        <v>41</v>
      </c>
      <c r="D2140" s="3" t="str">
        <f>IFERROR(__xludf.DUMMYFUNCTION("GOOGLETRANSLATE(A2140, ""nl"", ""en"")"),"Human Figures and Physicality")</f>
        <v>Human Figures and Physicality</v>
      </c>
      <c r="E2140" s="3" t="str">
        <f>IFERROR(__xludf.DUMMYFUNCTION("GOOGLETRANSLATE(B2140, ""nl"", ""en"")"),"A face that fades into abstraction")</f>
        <v>A face that fades into abstraction</v>
      </c>
    </row>
    <row r="2141" ht="15.75" customHeight="1">
      <c r="A2141" s="3" t="s">
        <v>15</v>
      </c>
      <c r="B2141" s="3" t="s">
        <v>38</v>
      </c>
      <c r="D2141" s="3" t="str">
        <f>IFERROR(__xludf.DUMMYFUNCTION("GOOGLETRANSLATE(A2141, ""nl"", ""en"")"),"Animals and Organic Forms")</f>
        <v>Animals and Organic Forms</v>
      </c>
      <c r="E2141" s="3" t="str">
        <f>IFERROR(__xludf.DUMMYFUNCTION("GOOGLETRANSLATE(B2141, ""nl"", ""en"")"),"A lion with an open mouth")</f>
        <v>A lion with an open mouth</v>
      </c>
    </row>
    <row r="2142" ht="15.75" customHeight="1">
      <c r="A2142" s="3" t="s">
        <v>15</v>
      </c>
      <c r="B2142" s="3" t="s">
        <v>26</v>
      </c>
      <c r="D2142" s="3" t="str">
        <f>IFERROR(__xludf.DUMMYFUNCTION("GOOGLETRANSLATE(A2142, ""nl"", ""en"")"),"Animals and Organic Forms")</f>
        <v>Animals and Organic Forms</v>
      </c>
      <c r="E2142" s="3" t="str">
        <f>IFERROR(__xludf.DUMMYFUNCTION("GOOGLETRANSLATE(B2142, ""nl"", ""en"")"),"A frog preparing to jump")</f>
        <v>A frog preparing to jump</v>
      </c>
    </row>
    <row r="2143" ht="15.75" customHeight="1">
      <c r="A2143" s="3" t="s">
        <v>7</v>
      </c>
      <c r="B2143" s="3" t="s">
        <v>53</v>
      </c>
      <c r="D2143" s="3" t="str">
        <f>IFERROR(__xludf.DUMMYFUNCTION("GOOGLETRANSLATE(A2143, ""nl"", ""en"")"),"Human Figures and Physicality")</f>
        <v>Human Figures and Physicality</v>
      </c>
      <c r="E2143" s="3" t="str">
        <f>IFERROR(__xludf.DUMMYFUNCTION("GOOGLETRANSLATE(B2143, ""nl"", ""en"")"),"A face that both smiles and cries")</f>
        <v>A face that both smiles and cries</v>
      </c>
    </row>
    <row r="2144" ht="15.75" customHeight="1">
      <c r="A2144" s="3" t="s">
        <v>9</v>
      </c>
      <c r="B2144" s="3" t="s">
        <v>57</v>
      </c>
      <c r="D2144" s="3" t="str">
        <f>IFERROR(__xludf.DUMMYFUNCTION("GOOGLETRANSLATE(A2144, ""nl"", ""en"")"),"Psychological and Emotional Interpretations")</f>
        <v>Psychological and Emotional Interpretations</v>
      </c>
      <c r="E2144" s="3" t="str">
        <f>IFERROR(__xludf.DUMMYFUNCTION("GOOGLETRANSLATE(B2144, ""nl"", ""en"")"),"An explosion of colours and feelings")</f>
        <v>An explosion of colours and feelings</v>
      </c>
    </row>
    <row r="2145" ht="15.75" customHeight="1">
      <c r="A2145" s="3" t="s">
        <v>7</v>
      </c>
      <c r="B2145" s="3" t="s">
        <v>28</v>
      </c>
      <c r="D2145" s="3" t="str">
        <f>IFERROR(__xludf.DUMMYFUNCTION("GOOGLETRANSLATE(A2145, ""nl"", ""en"")"),"Human Figures and Physicality")</f>
        <v>Human Figures and Physicality</v>
      </c>
      <c r="E2145" s="3" t="str">
        <f>IFERROR(__xludf.DUMMYFUNCTION("GOOGLETRANSLATE(B2145, ""nl"", ""en"")"),"A dancing silhouette")</f>
        <v>A dancing silhouette</v>
      </c>
    </row>
    <row r="2146" ht="15.75" customHeight="1">
      <c r="A2146" s="3" t="s">
        <v>24</v>
      </c>
      <c r="B2146" s="3" t="s">
        <v>31</v>
      </c>
      <c r="D2146" s="3" t="str">
        <f>IFERROR(__xludf.DUMMYFUNCTION("GOOGLETRANSLATE(A2146, ""nl"", ""en"")"),"Cosmic and Abstract Patterns")</f>
        <v>Cosmic and Abstract Patterns</v>
      </c>
      <c r="E2146" s="3" t="str">
        <f>IFERROR(__xludf.DUMMYFUNCTION("GOOGLETRANSLATE(B2146, ""nl"", ""en"")"),"A planet with unusual rings")</f>
        <v>A planet with unusual rings</v>
      </c>
    </row>
    <row r="2147" ht="15.75" customHeight="1">
      <c r="A2147" s="3" t="s">
        <v>9</v>
      </c>
      <c r="B2147" s="3" t="s">
        <v>11</v>
      </c>
      <c r="D2147" s="3" t="str">
        <f>IFERROR(__xludf.DUMMYFUNCTION("GOOGLETRANSLATE(A2147, ""nl"", ""en"")"),"Psychological and Emotional Interpretations")</f>
        <v>Psychological and Emotional Interpretations</v>
      </c>
      <c r="E2147" s="3" t="str">
        <f>IFERROR(__xludf.DUMMYFUNCTION("GOOGLETRANSLATE(B2147, ""nl"", ""en"")"),"An emotion captured in abstraction")</f>
        <v>An emotion captured in abstraction</v>
      </c>
    </row>
    <row r="2148" ht="15.75" customHeight="1">
      <c r="A2148" s="3" t="s">
        <v>9</v>
      </c>
      <c r="B2148" s="3" t="s">
        <v>14</v>
      </c>
      <c r="D2148" s="3" t="str">
        <f>IFERROR(__xludf.DUMMYFUNCTION("GOOGLETRANSLATE(A2148, ""nl"", ""en"")"),"Psychological and Emotional Interpretations")</f>
        <v>Psychological and Emotional Interpretations</v>
      </c>
      <c r="E2148" s="3" t="str">
        <f>IFERROR(__xludf.DUMMYFUNCTION("GOOGLETRANSLATE(B2148, ""nl"", ""en"")"),"An unclear hug")</f>
        <v>An unclear hug</v>
      </c>
    </row>
    <row r="2149" ht="15.75" customHeight="1">
      <c r="A2149" s="3" t="s">
        <v>4</v>
      </c>
      <c r="B2149" s="3" t="s">
        <v>55</v>
      </c>
      <c r="D2149" s="3" t="str">
        <f>IFERROR(__xludf.DUMMYFUNCTION("GOOGLETRANSLATE(A2149, ""nl"", ""en"")"),"Architectural and Structural Associations")</f>
        <v>Architectural and Structural Associations</v>
      </c>
      <c r="E2149" s="3" t="str">
        <f>IFERROR(__xludf.DUMMYFUNCTION("GOOGLETRANSLATE(B2149, ""nl"", ""en"")"),"A prism that splits light into colors")</f>
        <v>A prism that splits light into colors</v>
      </c>
    </row>
    <row r="2150" ht="15.75" customHeight="1">
      <c r="A2150" s="3" t="s">
        <v>7</v>
      </c>
      <c r="B2150" s="3" t="s">
        <v>41</v>
      </c>
      <c r="D2150" s="3" t="str">
        <f>IFERROR(__xludf.DUMMYFUNCTION("GOOGLETRANSLATE(A2150, ""nl"", ""en"")"),"Human Figures and Physicality")</f>
        <v>Human Figures and Physicality</v>
      </c>
      <c r="E2150" s="3" t="str">
        <f>IFERROR(__xludf.DUMMYFUNCTION("GOOGLETRANSLATE(B2150, ""nl"", ""en"")"),"A face that fades into abstraction")</f>
        <v>A face that fades into abstraction</v>
      </c>
    </row>
    <row r="2151" ht="15.75" customHeight="1">
      <c r="A2151" s="3" t="s">
        <v>9</v>
      </c>
      <c r="B2151" s="3" t="s">
        <v>11</v>
      </c>
      <c r="D2151" s="3" t="str">
        <f>IFERROR(__xludf.DUMMYFUNCTION("GOOGLETRANSLATE(A2151, ""nl"", ""en"")"),"Psychological and Emotional Interpretations")</f>
        <v>Psychological and Emotional Interpretations</v>
      </c>
      <c r="E2151" s="3" t="str">
        <f>IFERROR(__xludf.DUMMYFUNCTION("GOOGLETRANSLATE(B2151, ""nl"", ""en"")"),"An emotion captured in abstraction")</f>
        <v>An emotion captured in abstraction</v>
      </c>
    </row>
    <row r="2152" ht="15.75" customHeight="1">
      <c r="A2152" s="3" t="s">
        <v>15</v>
      </c>
      <c r="B2152" s="3" t="s">
        <v>46</v>
      </c>
      <c r="D2152" s="3" t="str">
        <f>IFERROR(__xludf.DUMMYFUNCTION("GOOGLETRANSLATE(A2152, ""nl"", ""en"")"),"Animals and Organic Forms")</f>
        <v>Animals and Organic Forms</v>
      </c>
      <c r="E2152" s="3" t="str">
        <f>IFERROR(__xludf.DUMMYFUNCTION("GOOGLETRANSLATE(B2152, ""nl"", ""en"")"),"A flock of fish moving as one")</f>
        <v>A flock of fish moving as one</v>
      </c>
    </row>
    <row r="2153" ht="15.75" customHeight="1">
      <c r="A2153" s="3" t="s">
        <v>9</v>
      </c>
      <c r="B2153" s="3" t="s">
        <v>14</v>
      </c>
      <c r="D2153" s="3" t="str">
        <f>IFERROR(__xludf.DUMMYFUNCTION("GOOGLETRANSLATE(A2153, ""nl"", ""en"")"),"Psychological and Emotional Interpretations")</f>
        <v>Psychological and Emotional Interpretations</v>
      </c>
      <c r="E2153" s="3" t="str">
        <f>IFERROR(__xludf.DUMMYFUNCTION("GOOGLETRANSLATE(B2153, ""nl"", ""en"")"),"An unclear hug")</f>
        <v>An unclear hug</v>
      </c>
    </row>
    <row r="2154" ht="15.75" customHeight="1">
      <c r="A2154" s="3" t="s">
        <v>24</v>
      </c>
      <c r="B2154" s="3" t="s">
        <v>32</v>
      </c>
      <c r="D2154" s="3" t="str">
        <f>IFERROR(__xludf.DUMMYFUNCTION("GOOGLETRANSLATE(A2154, ""nl"", ""en"")"),"Cosmic and Abstract Patterns")</f>
        <v>Cosmic and Abstract Patterns</v>
      </c>
      <c r="E2154" s="3" t="str">
        <f>IFERROR(__xludf.DUMMYFUNCTION("GOOGLETRANSLATE(B2154, ""nl"", ""en"")"),"A time loop captured in image")</f>
        <v>A time loop captured in image</v>
      </c>
    </row>
    <row r="2155" ht="15.75" customHeight="1">
      <c r="A2155" s="3" t="s">
        <v>15</v>
      </c>
      <c r="B2155" s="3" t="s">
        <v>38</v>
      </c>
      <c r="D2155" s="3" t="str">
        <f>IFERROR(__xludf.DUMMYFUNCTION("GOOGLETRANSLATE(A2155, ""nl"", ""en"")"),"Animals and Organic Forms")</f>
        <v>Animals and Organic Forms</v>
      </c>
      <c r="E2155" s="3" t="str">
        <f>IFERROR(__xludf.DUMMYFUNCTION("GOOGLETRANSLATE(B2155, ""nl"", ""en"")"),"A lion with an open mouth")</f>
        <v>A lion with an open mouth</v>
      </c>
    </row>
    <row r="2156" ht="15.75" customHeight="1">
      <c r="A2156" s="3" t="s">
        <v>9</v>
      </c>
      <c r="B2156" s="3" t="s">
        <v>17</v>
      </c>
      <c r="D2156" s="3" t="str">
        <f>IFERROR(__xludf.DUMMYFUNCTION("GOOGLETRANSLATE(A2156, ""nl"", ""en"")"),"Psychological and Emotional Interpretations")</f>
        <v>Psychological and Emotional Interpretations</v>
      </c>
      <c r="E2156" s="3" t="str">
        <f>IFERROR(__xludf.DUMMYFUNCTION("GOOGLETRANSLATE(B2156, ""nl"", ""en"")"),"A figure that seems to melt")</f>
        <v>A figure that seems to melt</v>
      </c>
    </row>
    <row r="2157" ht="15.75" customHeight="1">
      <c r="A2157" s="3" t="s">
        <v>12</v>
      </c>
      <c r="B2157" s="3" t="s">
        <v>23</v>
      </c>
      <c r="D2157" s="3" t="str">
        <f>IFERROR(__xludf.DUMMYFUNCTION("GOOGLETRANSLATE(A2157, ""nl"", ""en"")"),"Nature and Elements")</f>
        <v>Nature and Elements</v>
      </c>
      <c r="E2157" s="3" t="str">
        <f>IFERROR(__xludf.DUMMYFUNCTION("GOOGLETRANSLATE(B2157, ""nl"", ""en"")"),"A storm cloud splitting in two")</f>
        <v>A storm cloud splitting in two</v>
      </c>
    </row>
    <row r="2158" ht="15.75" customHeight="1">
      <c r="A2158" s="3" t="s">
        <v>24</v>
      </c>
      <c r="B2158" s="3" t="s">
        <v>29</v>
      </c>
      <c r="D2158" s="3" t="str">
        <f>IFERROR(__xludf.DUMMYFUNCTION("GOOGLETRANSLATE(A2158, ""nl"", ""en"")"),"Cosmic and Abstract Patterns")</f>
        <v>Cosmic and Abstract Patterns</v>
      </c>
      <c r="E2158" s="3" t="str">
        <f>IFERROR(__xludf.DUMMYFUNCTION("GOOGLETRANSLATE(B2158, ""nl"", ""en"")"),"A galaxy unfolding")</f>
        <v>A galaxy unfolding</v>
      </c>
    </row>
    <row r="2159" ht="15.75" customHeight="1">
      <c r="A2159" s="3" t="s">
        <v>9</v>
      </c>
      <c r="B2159" s="3" t="s">
        <v>37</v>
      </c>
      <c r="D2159" s="3" t="str">
        <f>IFERROR(__xludf.DUMMYFUNCTION("GOOGLETRANSLATE(A2159, ""nl"", ""en"")"),"Psychological and Emotional Interpretations")</f>
        <v>Psychological and Emotional Interpretations</v>
      </c>
      <c r="E2159" s="3" t="str">
        <f>IFERROR(__xludf.DUMMYFUNCTION("GOOGLETRANSLATE(B2159, ""nl"", ""en"")"),"A figure looking through itself")</f>
        <v>A figure looking through itself</v>
      </c>
    </row>
    <row r="2160" ht="15.75" customHeight="1">
      <c r="A2160" s="3" t="s">
        <v>4</v>
      </c>
      <c r="B2160" s="3" t="s">
        <v>5</v>
      </c>
      <c r="D2160" s="3" t="str">
        <f>IFERROR(__xludf.DUMMYFUNCTION("GOOGLETRANSLATE(A2160, ""nl"", ""en"")"),"Architectural and Structural Associations")</f>
        <v>Architectural and Structural Associations</v>
      </c>
      <c r="E2160" s="3" t="str">
        <f>IFERROR(__xludf.DUMMYFUNCTION("GOOGLETRANSLATE(B2160, ""nl"", ""en"")"),"A cathedral shaped from mist")</f>
        <v>A cathedral shaped from mist</v>
      </c>
    </row>
    <row r="2161" ht="15.75" customHeight="1">
      <c r="A2161" s="3" t="s">
        <v>9</v>
      </c>
      <c r="B2161" s="3" t="s">
        <v>57</v>
      </c>
      <c r="D2161" s="3" t="str">
        <f>IFERROR(__xludf.DUMMYFUNCTION("GOOGLETRANSLATE(A2161, ""nl"", ""en"")"),"Psychological and Emotional Interpretations")</f>
        <v>Psychological and Emotional Interpretations</v>
      </c>
      <c r="E2161" s="3" t="str">
        <f>IFERROR(__xludf.DUMMYFUNCTION("GOOGLETRANSLATE(B2161, ""nl"", ""en"")"),"An explosion of colours and feelings")</f>
        <v>An explosion of colours and feelings</v>
      </c>
    </row>
    <row r="2162" ht="15.75" customHeight="1">
      <c r="A2162" s="3" t="s">
        <v>7</v>
      </c>
      <c r="B2162" s="3" t="s">
        <v>53</v>
      </c>
      <c r="D2162" s="3" t="str">
        <f>IFERROR(__xludf.DUMMYFUNCTION("GOOGLETRANSLATE(A2162, ""nl"", ""en"")"),"Human Figures and Physicality")</f>
        <v>Human Figures and Physicality</v>
      </c>
      <c r="E2162" s="3" t="str">
        <f>IFERROR(__xludf.DUMMYFUNCTION("GOOGLETRANSLATE(B2162, ""nl"", ""en"")"),"A face that both smiles and cries")</f>
        <v>A face that both smiles and cries</v>
      </c>
    </row>
    <row r="2163" ht="15.75" customHeight="1">
      <c r="A2163" s="3" t="s">
        <v>7</v>
      </c>
      <c r="B2163" s="3" t="s">
        <v>8</v>
      </c>
      <c r="D2163" s="3" t="str">
        <f>IFERROR(__xludf.DUMMYFUNCTION("GOOGLETRANSLATE(A2163, ""nl"", ""en"")"),"Human Figures and Physicality")</f>
        <v>Human Figures and Physicality</v>
      </c>
      <c r="E2163" s="3" t="str">
        <f>IFERROR(__xludf.DUMMYFUNCTION("GOOGLETRANSLATE(B2163, ""nl"", ""en"")"),"Two figures mirroring each other")</f>
        <v>Two figures mirroring each other</v>
      </c>
    </row>
    <row r="2164" ht="15.75" customHeight="1">
      <c r="A2164" s="3" t="s">
        <v>7</v>
      </c>
      <c r="B2164" s="3" t="s">
        <v>53</v>
      </c>
      <c r="D2164" s="3" t="str">
        <f>IFERROR(__xludf.DUMMYFUNCTION("GOOGLETRANSLATE(A2164, ""nl"", ""en"")"),"Human Figures and Physicality")</f>
        <v>Human Figures and Physicality</v>
      </c>
      <c r="E2164" s="3" t="str">
        <f>IFERROR(__xludf.DUMMYFUNCTION("GOOGLETRANSLATE(B2164, ""nl"", ""en"")"),"A face that both smiles and cries")</f>
        <v>A face that both smiles and cries</v>
      </c>
    </row>
    <row r="2165" ht="15.75" customHeight="1">
      <c r="A2165" s="3" t="s">
        <v>15</v>
      </c>
      <c r="B2165" s="3" t="s">
        <v>22</v>
      </c>
      <c r="D2165" s="3" t="str">
        <f>IFERROR(__xludf.DUMMYFUNCTION("GOOGLETRANSLATE(A2165, ""nl"", ""en"")"),"Animals and Organic Forms")</f>
        <v>Animals and Organic Forms</v>
      </c>
      <c r="E2165" s="3" t="str">
        <f>IFERROR(__xludf.DUMMYFUNCTION("GOOGLETRANSLATE(B2165, ""nl"", ""en"")"),"A bird taking off")</f>
        <v>A bird taking off</v>
      </c>
    </row>
    <row r="2166" ht="15.75" customHeight="1">
      <c r="A2166" s="3" t="s">
        <v>12</v>
      </c>
      <c r="B2166" s="3" t="s">
        <v>47</v>
      </c>
      <c r="D2166" s="3" t="str">
        <f>IFERROR(__xludf.DUMMYFUNCTION("GOOGLETRANSLATE(A2166, ""nl"", ""en"")"),"Nature and Elements")</f>
        <v>Nature and Elements</v>
      </c>
      <c r="E2166" s="3" t="str">
        <f>IFERROR(__xludf.DUMMYFUNCTION("GOOGLETRANSLATE(B2166, ""nl"", ""en"")"),"A desert landscape that slowly changes")</f>
        <v>A desert landscape that slowly changes</v>
      </c>
    </row>
    <row r="2167" ht="15.75" customHeight="1">
      <c r="A2167" s="3" t="s">
        <v>12</v>
      </c>
      <c r="B2167" s="3" t="s">
        <v>13</v>
      </c>
      <c r="D2167" s="3" t="str">
        <f>IFERROR(__xludf.DUMMYFUNCTION("GOOGLETRANSLATE(A2167, ""nl"", ""en"")"),"Nature and Elements")</f>
        <v>Nature and Elements</v>
      </c>
      <c r="E2167" s="3" t="str">
        <f>IFERROR(__xludf.DUMMYFUNCTION("GOOGLETRANSLATE(B2167, ""nl"", ""en"")"),"A lightning strike in slow motion")</f>
        <v>A lightning strike in slow motion</v>
      </c>
    </row>
    <row r="2168" ht="15.75" customHeight="1">
      <c r="A2168" s="3" t="s">
        <v>15</v>
      </c>
      <c r="B2168" s="3" t="s">
        <v>16</v>
      </c>
      <c r="D2168" s="3" t="str">
        <f>IFERROR(__xludf.DUMMYFUNCTION("GOOGLETRANSLATE(A2168, ""nl"", ""en"")"),"Animals and Organic Forms")</f>
        <v>Animals and Organic Forms</v>
      </c>
      <c r="E2168" s="3" t="str">
        <f>IFERROR(__xludf.DUMMYFUNCTION("GOOGLETRANSLATE(B2168, ""nl"", ""en"")"),"A butterfly in transformation")</f>
        <v>A butterfly in transformation</v>
      </c>
    </row>
    <row r="2169" ht="15.75" customHeight="1">
      <c r="A2169" s="3" t="s">
        <v>15</v>
      </c>
      <c r="B2169" s="3" t="s">
        <v>16</v>
      </c>
      <c r="D2169" s="3" t="str">
        <f>IFERROR(__xludf.DUMMYFUNCTION("GOOGLETRANSLATE(A2169, ""nl"", ""en"")"),"Animals and Organic Forms")</f>
        <v>Animals and Organic Forms</v>
      </c>
      <c r="E2169" s="3" t="str">
        <f>IFERROR(__xludf.DUMMYFUNCTION("GOOGLETRANSLATE(B2169, ""nl"", ""en"")"),"A butterfly in transformation")</f>
        <v>A butterfly in transformation</v>
      </c>
    </row>
    <row r="2170" ht="15.75" customHeight="1">
      <c r="A2170" s="3" t="s">
        <v>24</v>
      </c>
      <c r="B2170" s="3" t="s">
        <v>54</v>
      </c>
      <c r="D2170" s="3" t="str">
        <f>IFERROR(__xludf.DUMMYFUNCTION("GOOGLETRANSLATE(A2170, ""nl"", ""en"")"),"Cosmic and Abstract Patterns")</f>
        <v>Cosmic and Abstract Patterns</v>
      </c>
      <c r="E2170" s="3" t="str">
        <f>IFERROR(__xludf.DUMMYFUNCTION("GOOGLETRANSLATE(B2170, ""nl"", ""en"")"),"A quantum particle in superposition")</f>
        <v>A quantum particle in superposition</v>
      </c>
    </row>
    <row r="2171" ht="15.75" customHeight="1">
      <c r="A2171" s="3" t="s">
        <v>15</v>
      </c>
      <c r="B2171" s="3" t="s">
        <v>50</v>
      </c>
      <c r="D2171" s="3" t="str">
        <f>IFERROR(__xludf.DUMMYFUNCTION("GOOGLETRANSLATE(A2171, ""nl"", ""en"")"),"Animals and Organic Forms")</f>
        <v>Animals and Organic Forms</v>
      </c>
      <c r="E2171" s="3" t="str">
        <f>IFERROR(__xludf.DUMMYFUNCTION("GOOGLETRANSLATE(B2171, ""nl"", ""en"")"),"A squid with extended tentacles")</f>
        <v>A squid with extended tentacles</v>
      </c>
    </row>
    <row r="2172" ht="15.75" customHeight="1">
      <c r="A2172" s="3" t="s">
        <v>4</v>
      </c>
      <c r="B2172" s="3" t="s">
        <v>35</v>
      </c>
      <c r="D2172" s="3" t="str">
        <f>IFERROR(__xludf.DUMMYFUNCTION("GOOGLETRANSLATE(A2172, ""nl"", ""en"")"),"Architectural and Structural Associations")</f>
        <v>Architectural and Structural Associations</v>
      </c>
      <c r="E2172" s="3" t="str">
        <f>IFERROR(__xludf.DUMMYFUNCTION("GOOGLETRANSLATE(B2172, ""nl"", ""en"")"),"A floating building without a base")</f>
        <v>A floating building without a base</v>
      </c>
    </row>
    <row r="2173" ht="15.75" customHeight="1">
      <c r="A2173" s="3" t="s">
        <v>15</v>
      </c>
      <c r="B2173" s="3" t="s">
        <v>50</v>
      </c>
      <c r="D2173" s="3" t="str">
        <f>IFERROR(__xludf.DUMMYFUNCTION("GOOGLETRANSLATE(A2173, ""nl"", ""en"")"),"Animals and Organic Forms")</f>
        <v>Animals and Organic Forms</v>
      </c>
      <c r="E2173" s="3" t="str">
        <f>IFERROR(__xludf.DUMMYFUNCTION("GOOGLETRANSLATE(B2173, ""nl"", ""en"")"),"A squid with extended tentacles")</f>
        <v>A squid with extended tentacles</v>
      </c>
    </row>
    <row r="2174" ht="15.75" customHeight="1">
      <c r="A2174" s="3" t="s">
        <v>7</v>
      </c>
      <c r="B2174" s="3" t="s">
        <v>40</v>
      </c>
      <c r="D2174" s="3" t="str">
        <f>IFERROR(__xludf.DUMMYFUNCTION("GOOGLETRANSLATE(A2174, ""nl"", ""en"")"),"Human Figures and Physicality")</f>
        <v>Human Figures and Physicality</v>
      </c>
      <c r="E2174" s="3" t="str">
        <f>IFERROR(__xludf.DUMMYFUNCTION("GOOGLETRANSLATE(B2174, ""nl"", ""en"")"),"A figure who is withdrawn into himself")</f>
        <v>A figure who is withdrawn into himself</v>
      </c>
    </row>
    <row r="2175" ht="15.75" customHeight="1">
      <c r="A2175" s="3" t="s">
        <v>9</v>
      </c>
      <c r="B2175" s="3" t="s">
        <v>37</v>
      </c>
      <c r="D2175" s="3" t="str">
        <f>IFERROR(__xludf.DUMMYFUNCTION("GOOGLETRANSLATE(A2175, ""nl"", ""en"")"),"Psychological and Emotional Interpretations")</f>
        <v>Psychological and Emotional Interpretations</v>
      </c>
      <c r="E2175" s="3" t="str">
        <f>IFERROR(__xludf.DUMMYFUNCTION("GOOGLETRANSLATE(B2175, ""nl"", ""en"")"),"A figure looking through itself")</f>
        <v>A figure looking through itself</v>
      </c>
    </row>
    <row r="2176" ht="15.75" customHeight="1">
      <c r="A2176" s="3" t="s">
        <v>15</v>
      </c>
      <c r="B2176" s="3" t="s">
        <v>38</v>
      </c>
      <c r="D2176" s="3" t="str">
        <f>IFERROR(__xludf.DUMMYFUNCTION("GOOGLETRANSLATE(A2176, ""nl"", ""en"")"),"Animals and Organic Forms")</f>
        <v>Animals and Organic Forms</v>
      </c>
      <c r="E2176" s="3" t="str">
        <f>IFERROR(__xludf.DUMMYFUNCTION("GOOGLETRANSLATE(B2176, ""nl"", ""en"")"),"A lion with an open mouth")</f>
        <v>A lion with an open mouth</v>
      </c>
    </row>
    <row r="2177" ht="15.75" customHeight="1">
      <c r="A2177" s="3" t="s">
        <v>4</v>
      </c>
      <c r="B2177" s="3" t="s">
        <v>44</v>
      </c>
      <c r="D2177" s="3" t="str">
        <f>IFERROR(__xludf.DUMMYFUNCTION("GOOGLETRANSLATE(A2177, ""nl"", ""en"")"),"Architectural and Structural Associations")</f>
        <v>Architectural and Structural Associations</v>
      </c>
      <c r="E2177" s="3" t="str">
        <f>IFERROR(__xludf.DUMMYFUNCTION("GOOGLETRANSLATE(B2177, ""nl"", ""en"")"),"A structure that pulsates in waves")</f>
        <v>A structure that pulsates in waves</v>
      </c>
    </row>
    <row r="2178" ht="15.75" customHeight="1">
      <c r="A2178" s="3" t="s">
        <v>4</v>
      </c>
      <c r="B2178" s="3" t="s">
        <v>43</v>
      </c>
      <c r="D2178" s="3" t="str">
        <f>IFERROR(__xludf.DUMMYFUNCTION("GOOGLETRANSLATE(A2178, ""nl"", ""en"")"),"Architectural and Structural Associations")</f>
        <v>Architectural and Structural Associations</v>
      </c>
      <c r="E2178" s="3" t="str">
        <f>IFERROR(__xludf.DUMMYFUNCTION("GOOGLETRANSLATE(B2178, ""nl"", ""en"")"),"A network of tunnels and passages")</f>
        <v>A network of tunnels and passages</v>
      </c>
    </row>
    <row r="2179" ht="15.75" customHeight="1">
      <c r="A2179" s="3" t="s">
        <v>7</v>
      </c>
      <c r="B2179" s="3" t="s">
        <v>28</v>
      </c>
      <c r="D2179" s="3" t="str">
        <f>IFERROR(__xludf.DUMMYFUNCTION("GOOGLETRANSLATE(A2179, ""nl"", ""en"")"),"Human Figures and Physicality")</f>
        <v>Human Figures and Physicality</v>
      </c>
      <c r="E2179" s="3" t="str">
        <f>IFERROR(__xludf.DUMMYFUNCTION("GOOGLETRANSLATE(B2179, ""nl"", ""en"")"),"A dancing silhouette")</f>
        <v>A dancing silhouette</v>
      </c>
    </row>
    <row r="2180" ht="15.75" customHeight="1">
      <c r="A2180" s="3" t="s">
        <v>7</v>
      </c>
      <c r="B2180" s="3" t="s">
        <v>28</v>
      </c>
      <c r="D2180" s="3" t="str">
        <f>IFERROR(__xludf.DUMMYFUNCTION("GOOGLETRANSLATE(A2180, ""nl"", ""en"")"),"Human Figures and Physicality")</f>
        <v>Human Figures and Physicality</v>
      </c>
      <c r="E2180" s="3" t="str">
        <f>IFERROR(__xludf.DUMMYFUNCTION("GOOGLETRANSLATE(B2180, ""nl"", ""en"")"),"A dancing silhouette")</f>
        <v>A dancing silhouette</v>
      </c>
    </row>
    <row r="2181" ht="15.75" customHeight="1">
      <c r="A2181" s="3" t="s">
        <v>15</v>
      </c>
      <c r="B2181" s="3" t="s">
        <v>38</v>
      </c>
      <c r="D2181" s="3" t="str">
        <f>IFERROR(__xludf.DUMMYFUNCTION("GOOGLETRANSLATE(A2181, ""nl"", ""en"")"),"Animals and Organic Forms")</f>
        <v>Animals and Organic Forms</v>
      </c>
      <c r="E2181" s="3" t="str">
        <f>IFERROR(__xludf.DUMMYFUNCTION("GOOGLETRANSLATE(B2181, ""nl"", ""en"")"),"A lion with an open mouth")</f>
        <v>A lion with an open mouth</v>
      </c>
    </row>
    <row r="2182" ht="15.75" customHeight="1">
      <c r="A2182" s="3" t="s">
        <v>9</v>
      </c>
      <c r="B2182" s="3" t="s">
        <v>37</v>
      </c>
      <c r="D2182" s="3" t="str">
        <f>IFERROR(__xludf.DUMMYFUNCTION("GOOGLETRANSLATE(A2182, ""nl"", ""en"")"),"Psychological and Emotional Interpretations")</f>
        <v>Psychological and Emotional Interpretations</v>
      </c>
      <c r="E2182" s="3" t="str">
        <f>IFERROR(__xludf.DUMMYFUNCTION("GOOGLETRANSLATE(B2182, ""nl"", ""en"")"),"A figure looking through itself")</f>
        <v>A figure looking through itself</v>
      </c>
    </row>
    <row r="2183" ht="15.75" customHeight="1">
      <c r="A2183" s="3" t="s">
        <v>15</v>
      </c>
      <c r="B2183" s="3" t="s">
        <v>26</v>
      </c>
      <c r="D2183" s="3" t="str">
        <f>IFERROR(__xludf.DUMMYFUNCTION("GOOGLETRANSLATE(A2183, ""nl"", ""en"")"),"Animals and Organic Forms")</f>
        <v>Animals and Organic Forms</v>
      </c>
      <c r="E2183" s="3" t="str">
        <f>IFERROR(__xludf.DUMMYFUNCTION("GOOGLETRANSLATE(B2183, ""nl"", ""en"")"),"A frog preparing to jump")</f>
        <v>A frog preparing to jump</v>
      </c>
    </row>
    <row r="2184" ht="15.75" customHeight="1">
      <c r="A2184" s="3" t="s">
        <v>24</v>
      </c>
      <c r="B2184" s="3" t="s">
        <v>29</v>
      </c>
      <c r="D2184" s="3" t="str">
        <f>IFERROR(__xludf.DUMMYFUNCTION("GOOGLETRANSLATE(A2184, ""nl"", ""en"")"),"Cosmic and Abstract Patterns")</f>
        <v>Cosmic and Abstract Patterns</v>
      </c>
      <c r="E2184" s="3" t="str">
        <f>IFERROR(__xludf.DUMMYFUNCTION("GOOGLETRANSLATE(B2184, ""nl"", ""en"")"),"A galaxy unfolding")</f>
        <v>A galaxy unfolding</v>
      </c>
    </row>
    <row r="2185" ht="15.75" customHeight="1">
      <c r="A2185" s="3" t="s">
        <v>24</v>
      </c>
      <c r="B2185" s="3" t="s">
        <v>31</v>
      </c>
      <c r="D2185" s="3" t="str">
        <f>IFERROR(__xludf.DUMMYFUNCTION("GOOGLETRANSLATE(A2185, ""nl"", ""en"")"),"Cosmic and Abstract Patterns")</f>
        <v>Cosmic and Abstract Patterns</v>
      </c>
      <c r="E2185" s="3" t="str">
        <f>IFERROR(__xludf.DUMMYFUNCTION("GOOGLETRANSLATE(B2185, ""nl"", ""en"")"),"A planet with unusual rings")</f>
        <v>A planet with unusual rings</v>
      </c>
    </row>
    <row r="2186" ht="15.75" customHeight="1">
      <c r="A2186" s="3" t="s">
        <v>4</v>
      </c>
      <c r="B2186" s="3" t="s">
        <v>44</v>
      </c>
      <c r="D2186" s="3" t="str">
        <f>IFERROR(__xludf.DUMMYFUNCTION("GOOGLETRANSLATE(A2186, ""nl"", ""en"")"),"Architectural and Structural Associations")</f>
        <v>Architectural and Structural Associations</v>
      </c>
      <c r="E2186" s="3" t="str">
        <f>IFERROR(__xludf.DUMMYFUNCTION("GOOGLETRANSLATE(B2186, ""nl"", ""en"")"),"A structure that pulsates in waves")</f>
        <v>A structure that pulsates in waves</v>
      </c>
    </row>
    <row r="2187" ht="15.75" customHeight="1">
      <c r="A2187" s="3" t="s">
        <v>24</v>
      </c>
      <c r="B2187" s="3" t="s">
        <v>48</v>
      </c>
      <c r="D2187" s="3" t="str">
        <f>IFERROR(__xludf.DUMMYFUNCTION("GOOGLETRANSLATE(A2187, ""nl"", ""en"")"),"Cosmic and Abstract Patterns")</f>
        <v>Cosmic and Abstract Patterns</v>
      </c>
      <c r="E2187" s="3" t="str">
        <f>IFERROR(__xludf.DUMMYFUNCTION("GOOGLETRANSLATE(B2187, ""nl"", ""en"")"),"A fractal that repeats itself")</f>
        <v>A fractal that repeats itself</v>
      </c>
    </row>
    <row r="2188" ht="15.75" customHeight="1">
      <c r="A2188" s="3" t="s">
        <v>7</v>
      </c>
      <c r="B2188" s="3" t="s">
        <v>56</v>
      </c>
      <c r="D2188" s="3" t="str">
        <f>IFERROR(__xludf.DUMMYFUNCTION("GOOGLETRANSLATE(A2188, ""nl"", ""en"")"),"Human Figures and Physicality")</f>
        <v>Human Figures and Physicality</v>
      </c>
      <c r="E2188" s="3" t="str">
        <f>IFERROR(__xludf.DUMMYFUNCTION("GOOGLETRANSLATE(B2188, ""nl"", ""en"")"),"A shadow that seems to move")</f>
        <v>A shadow that seems to move</v>
      </c>
    </row>
    <row r="2189" ht="15.75" customHeight="1">
      <c r="A2189" s="3" t="s">
        <v>24</v>
      </c>
      <c r="B2189" s="3" t="s">
        <v>33</v>
      </c>
      <c r="D2189" s="3" t="str">
        <f>IFERROR(__xludf.DUMMYFUNCTION("GOOGLETRANSLATE(A2189, ""nl"", ""en"")"),"Cosmic and Abstract Patterns")</f>
        <v>Cosmic and Abstract Patterns</v>
      </c>
      <c r="E2189" s="3" t="str">
        <f>IFERROR(__xludf.DUMMYFUNCTION("GOOGLETRANSLATE(B2189, ""nl"", ""en"")"),"An eye that repeats itself in endless patterns")</f>
        <v>An eye that repeats itself in endless patterns</v>
      </c>
    </row>
    <row r="2190" ht="15.75" customHeight="1">
      <c r="A2190" s="3" t="s">
        <v>15</v>
      </c>
      <c r="B2190" s="3" t="s">
        <v>22</v>
      </c>
      <c r="D2190" s="3" t="str">
        <f>IFERROR(__xludf.DUMMYFUNCTION("GOOGLETRANSLATE(A2190, ""nl"", ""en"")"),"Animals and Organic Forms")</f>
        <v>Animals and Organic Forms</v>
      </c>
      <c r="E2190" s="3" t="str">
        <f>IFERROR(__xludf.DUMMYFUNCTION("GOOGLETRANSLATE(B2190, ""nl"", ""en"")"),"A bird taking off")</f>
        <v>A bird taking off</v>
      </c>
    </row>
    <row r="2191" ht="15.75" customHeight="1">
      <c r="A2191" s="3" t="s">
        <v>12</v>
      </c>
      <c r="B2191" s="3" t="s">
        <v>36</v>
      </c>
      <c r="D2191" s="3" t="str">
        <f>IFERROR(__xludf.DUMMYFUNCTION("GOOGLETRANSLATE(A2191, ""nl"", ""en"")"),"Nature and Elements")</f>
        <v>Nature and Elements</v>
      </c>
      <c r="E2191" s="3" t="str">
        <f>IFERROR(__xludf.DUMMYFUNCTION("GOOGLETRANSLATE(B2191, ""nl"", ""en"")"),"A river delta from a bird's-eye view")</f>
        <v>A river delta from a bird's-eye view</v>
      </c>
    </row>
    <row r="2192" ht="15.75" customHeight="1">
      <c r="A2192" s="3" t="s">
        <v>15</v>
      </c>
      <c r="B2192" s="3" t="s">
        <v>45</v>
      </c>
      <c r="D2192" s="3" t="str">
        <f>IFERROR(__xludf.DUMMYFUNCTION("GOOGLETRANSLATE(A2192, ""nl"", ""en"")"),"Animals and Organic Forms")</f>
        <v>Animals and Organic Forms</v>
      </c>
      <c r="E2192" s="3" t="str">
        <f>IFERROR(__xludf.DUMMYFUNCTION("GOOGLETRANSLATE(B2192, ""nl"", ""en"")"),"A snake biting its own tail")</f>
        <v>A snake biting its own tail</v>
      </c>
    </row>
    <row r="2193" ht="15.75" customHeight="1">
      <c r="A2193" s="3" t="s">
        <v>4</v>
      </c>
      <c r="B2193" s="3" t="s">
        <v>5</v>
      </c>
      <c r="D2193" s="3" t="str">
        <f>IFERROR(__xludf.DUMMYFUNCTION("GOOGLETRANSLATE(A2193, ""nl"", ""en"")"),"Architectural and Structural Associations")</f>
        <v>Architectural and Structural Associations</v>
      </c>
      <c r="E2193" s="3" t="str">
        <f>IFERROR(__xludf.DUMMYFUNCTION("GOOGLETRANSLATE(B2193, ""nl"", ""en"")"),"A cathedral shaped from mist")</f>
        <v>A cathedral shaped from mist</v>
      </c>
    </row>
    <row r="2194" ht="15.75" customHeight="1">
      <c r="A2194" s="3" t="s">
        <v>7</v>
      </c>
      <c r="B2194" s="3" t="s">
        <v>39</v>
      </c>
      <c r="D2194" s="3" t="str">
        <f>IFERROR(__xludf.DUMMYFUNCTION("GOOGLETRANSLATE(A2194, ""nl"", ""en"")"),"Human Figures and Physicality")</f>
        <v>Human Figures and Physicality</v>
      </c>
      <c r="E2194" s="3" t="str">
        <f>IFERROR(__xludf.DUMMYFUNCTION("GOOGLETRANSLATE(B2194, ""nl"", ""en"")"),"A torso without a head")</f>
        <v>A torso without a head</v>
      </c>
    </row>
    <row r="2195" ht="15.75" customHeight="1">
      <c r="A2195" s="3" t="s">
        <v>24</v>
      </c>
      <c r="B2195" s="3" t="s">
        <v>33</v>
      </c>
      <c r="D2195" s="3" t="str">
        <f>IFERROR(__xludf.DUMMYFUNCTION("GOOGLETRANSLATE(A2195, ""nl"", ""en"")"),"Cosmic and Abstract Patterns")</f>
        <v>Cosmic and Abstract Patterns</v>
      </c>
      <c r="E2195" s="3" t="str">
        <f>IFERROR(__xludf.DUMMYFUNCTION("GOOGLETRANSLATE(B2195, ""nl"", ""en"")"),"An eye that repeats itself in endless patterns")</f>
        <v>An eye that repeats itself in endless patterns</v>
      </c>
    </row>
    <row r="2196" ht="15.75" customHeight="1">
      <c r="A2196" s="3" t="s">
        <v>15</v>
      </c>
      <c r="B2196" s="3" t="s">
        <v>46</v>
      </c>
      <c r="D2196" s="3" t="str">
        <f>IFERROR(__xludf.DUMMYFUNCTION("GOOGLETRANSLATE(A2196, ""nl"", ""en"")"),"Animals and Organic Forms")</f>
        <v>Animals and Organic Forms</v>
      </c>
      <c r="E2196" s="3" t="str">
        <f>IFERROR(__xludf.DUMMYFUNCTION("GOOGLETRANSLATE(B2196, ""nl"", ""en"")"),"A flock of fish moving as one")</f>
        <v>A flock of fish moving as one</v>
      </c>
    </row>
    <row r="2197" ht="15.75" customHeight="1">
      <c r="A2197" s="3" t="s">
        <v>9</v>
      </c>
      <c r="B2197" s="3" t="s">
        <v>14</v>
      </c>
      <c r="D2197" s="3" t="str">
        <f>IFERROR(__xludf.DUMMYFUNCTION("GOOGLETRANSLATE(A2197, ""nl"", ""en"")"),"Psychological and Emotional Interpretations")</f>
        <v>Psychological and Emotional Interpretations</v>
      </c>
      <c r="E2197" s="3" t="str">
        <f>IFERROR(__xludf.DUMMYFUNCTION("GOOGLETRANSLATE(B2197, ""nl"", ""en"")"),"An unclear hug")</f>
        <v>An unclear hug</v>
      </c>
    </row>
    <row r="2198" ht="15.75" customHeight="1">
      <c r="A2198" s="3" t="s">
        <v>24</v>
      </c>
      <c r="B2198" s="3" t="s">
        <v>48</v>
      </c>
      <c r="D2198" s="3" t="str">
        <f>IFERROR(__xludf.DUMMYFUNCTION("GOOGLETRANSLATE(A2198, ""nl"", ""en"")"),"Cosmic and Abstract Patterns")</f>
        <v>Cosmic and Abstract Patterns</v>
      </c>
      <c r="E2198" s="3" t="str">
        <f>IFERROR(__xludf.DUMMYFUNCTION("GOOGLETRANSLATE(B2198, ""nl"", ""en"")"),"A fractal that repeats itself")</f>
        <v>A fractal that repeats itself</v>
      </c>
    </row>
    <row r="2199" ht="15.75" customHeight="1">
      <c r="A2199" s="3" t="s">
        <v>12</v>
      </c>
      <c r="B2199" s="3" t="s">
        <v>36</v>
      </c>
      <c r="D2199" s="3" t="str">
        <f>IFERROR(__xludf.DUMMYFUNCTION("GOOGLETRANSLATE(A2199, ""nl"", ""en"")"),"Nature and Elements")</f>
        <v>Nature and Elements</v>
      </c>
      <c r="E2199" s="3" t="str">
        <f>IFERROR(__xludf.DUMMYFUNCTION("GOOGLETRANSLATE(B2199, ""nl"", ""en"")"),"A river delta from a bird's-eye view")</f>
        <v>A river delta from a bird's-eye view</v>
      </c>
    </row>
    <row r="2200" ht="15.75" customHeight="1">
      <c r="A2200" s="3" t="s">
        <v>15</v>
      </c>
      <c r="B2200" s="3" t="s">
        <v>46</v>
      </c>
      <c r="D2200" s="3" t="str">
        <f>IFERROR(__xludf.DUMMYFUNCTION("GOOGLETRANSLATE(A2200, ""nl"", ""en"")"),"Animals and Organic Forms")</f>
        <v>Animals and Organic Forms</v>
      </c>
      <c r="E2200" s="3" t="str">
        <f>IFERROR(__xludf.DUMMYFUNCTION("GOOGLETRANSLATE(B2200, ""nl"", ""en"")"),"A flock of fish moving as one")</f>
        <v>A flock of fish moving as one</v>
      </c>
    </row>
    <row r="2201" ht="15.75" customHeight="1">
      <c r="A2201" s="3" t="s">
        <v>4</v>
      </c>
      <c r="B2201" s="3" t="s">
        <v>21</v>
      </c>
      <c r="D2201" s="3" t="str">
        <f>IFERROR(__xludf.DUMMYFUNCTION("GOOGLETRANSLATE(A2201, ""nl"", ""en"")"),"Architectural and Structural Associations")</f>
        <v>Architectural and Structural Associations</v>
      </c>
      <c r="E2201" s="3" t="str">
        <f>IFERROR(__xludf.DUMMYFUNCTION("GOOGLETRANSLATE(B2201, ""nl"", ""en"")"),"A bridge that leads nowhere")</f>
        <v>A bridge that leads nowhere</v>
      </c>
    </row>
    <row r="2202" ht="15.75" customHeight="1">
      <c r="A2202" s="3" t="s">
        <v>4</v>
      </c>
      <c r="B2202" s="3" t="s">
        <v>35</v>
      </c>
      <c r="D2202" s="3" t="str">
        <f>IFERROR(__xludf.DUMMYFUNCTION("GOOGLETRANSLATE(A2202, ""nl"", ""en"")"),"Architectural and Structural Associations")</f>
        <v>Architectural and Structural Associations</v>
      </c>
      <c r="E2202" s="3" t="str">
        <f>IFERROR(__xludf.DUMMYFUNCTION("GOOGLETRANSLATE(B2202, ""nl"", ""en"")"),"A floating building without a base")</f>
        <v>A floating building without a base</v>
      </c>
    </row>
    <row r="2203" ht="15.75" customHeight="1">
      <c r="A2203" s="3" t="s">
        <v>15</v>
      </c>
      <c r="B2203" s="3" t="s">
        <v>26</v>
      </c>
      <c r="D2203" s="3" t="str">
        <f>IFERROR(__xludf.DUMMYFUNCTION("GOOGLETRANSLATE(A2203, ""nl"", ""en"")"),"Animals and Organic Forms")</f>
        <v>Animals and Organic Forms</v>
      </c>
      <c r="E2203" s="3" t="str">
        <f>IFERROR(__xludf.DUMMYFUNCTION("GOOGLETRANSLATE(B2203, ""nl"", ""en"")"),"A frog preparing to jump")</f>
        <v>A frog preparing to jump</v>
      </c>
    </row>
    <row r="2204" ht="15.75" customHeight="1">
      <c r="A2204" s="3" t="s">
        <v>7</v>
      </c>
      <c r="B2204" s="3" t="s">
        <v>28</v>
      </c>
      <c r="D2204" s="3" t="str">
        <f>IFERROR(__xludf.DUMMYFUNCTION("GOOGLETRANSLATE(A2204, ""nl"", ""en"")"),"Human Figures and Physicality")</f>
        <v>Human Figures and Physicality</v>
      </c>
      <c r="E2204" s="3" t="str">
        <f>IFERROR(__xludf.DUMMYFUNCTION("GOOGLETRANSLATE(B2204, ""nl"", ""en"")"),"A dancing silhouette")</f>
        <v>A dancing silhouette</v>
      </c>
    </row>
    <row r="2205" ht="15.75" customHeight="1">
      <c r="A2205" s="3" t="s">
        <v>9</v>
      </c>
      <c r="B2205" s="3" t="s">
        <v>10</v>
      </c>
      <c r="D2205" s="3" t="str">
        <f>IFERROR(__xludf.DUMMYFUNCTION("GOOGLETRANSLATE(A2205, ""nl"", ""en"")"),"Psychological and Emotional Interpretations")</f>
        <v>Psychological and Emotional Interpretations</v>
      </c>
      <c r="E2205" s="3" t="str">
        <f>IFERROR(__xludf.DUMMYFUNCTION("GOOGLETRANSLATE(B2205, ""nl"", ""en"")"),"A face transforming in light")</f>
        <v>A face transforming in light</v>
      </c>
    </row>
    <row r="2206" ht="15.75" customHeight="1">
      <c r="A2206" s="3" t="s">
        <v>15</v>
      </c>
      <c r="B2206" s="3" t="s">
        <v>50</v>
      </c>
      <c r="D2206" s="3" t="str">
        <f>IFERROR(__xludf.DUMMYFUNCTION("GOOGLETRANSLATE(A2206, ""nl"", ""en"")"),"Animals and Organic Forms")</f>
        <v>Animals and Organic Forms</v>
      </c>
      <c r="E2206" s="3" t="str">
        <f>IFERROR(__xludf.DUMMYFUNCTION("GOOGLETRANSLATE(B2206, ""nl"", ""en"")"),"A squid with extended tentacles")</f>
        <v>A squid with extended tentacles</v>
      </c>
    </row>
    <row r="2207" ht="15.75" customHeight="1">
      <c r="A2207" s="3" t="s">
        <v>15</v>
      </c>
      <c r="B2207" s="3" t="s">
        <v>22</v>
      </c>
      <c r="D2207" s="3" t="str">
        <f>IFERROR(__xludf.DUMMYFUNCTION("GOOGLETRANSLATE(A2207, ""nl"", ""en"")"),"Animals and Organic Forms")</f>
        <v>Animals and Organic Forms</v>
      </c>
      <c r="E2207" s="3" t="str">
        <f>IFERROR(__xludf.DUMMYFUNCTION("GOOGLETRANSLATE(B2207, ""nl"", ""en"")"),"A bird taking off")</f>
        <v>A bird taking off</v>
      </c>
    </row>
    <row r="2208" ht="15.75" customHeight="1">
      <c r="A2208" s="3" t="s">
        <v>15</v>
      </c>
      <c r="B2208" s="3" t="s">
        <v>50</v>
      </c>
      <c r="D2208" s="3" t="str">
        <f>IFERROR(__xludf.DUMMYFUNCTION("GOOGLETRANSLATE(A2208, ""nl"", ""en"")"),"Animals and Organic Forms")</f>
        <v>Animals and Organic Forms</v>
      </c>
      <c r="E2208" s="3" t="str">
        <f>IFERROR(__xludf.DUMMYFUNCTION("GOOGLETRANSLATE(B2208, ""nl"", ""en"")"),"A squid with extended tentacles")</f>
        <v>A squid with extended tentacles</v>
      </c>
    </row>
    <row r="2209" ht="15.75" customHeight="1">
      <c r="A2209" s="3" t="s">
        <v>24</v>
      </c>
      <c r="B2209" s="3" t="s">
        <v>29</v>
      </c>
      <c r="D2209" s="3" t="str">
        <f>IFERROR(__xludf.DUMMYFUNCTION("GOOGLETRANSLATE(A2209, ""nl"", ""en"")"),"Cosmic and Abstract Patterns")</f>
        <v>Cosmic and Abstract Patterns</v>
      </c>
      <c r="E2209" s="3" t="str">
        <f>IFERROR(__xludf.DUMMYFUNCTION("GOOGLETRANSLATE(B2209, ""nl"", ""en"")"),"A galaxy unfolding")</f>
        <v>A galaxy unfolding</v>
      </c>
    </row>
    <row r="2210" ht="15.75" customHeight="1">
      <c r="A2210" s="3" t="s">
        <v>4</v>
      </c>
      <c r="B2210" s="3" t="s">
        <v>44</v>
      </c>
      <c r="D2210" s="3" t="str">
        <f>IFERROR(__xludf.DUMMYFUNCTION("GOOGLETRANSLATE(A2210, ""nl"", ""en"")"),"Architectural and Structural Associations")</f>
        <v>Architectural and Structural Associations</v>
      </c>
      <c r="E2210" s="3" t="str">
        <f>IFERROR(__xludf.DUMMYFUNCTION("GOOGLETRANSLATE(B2210, ""nl"", ""en"")"),"A structure that pulsates in waves")</f>
        <v>A structure that pulsates in waves</v>
      </c>
    </row>
    <row r="2211" ht="15.75" customHeight="1">
      <c r="A2211" s="3" t="s">
        <v>24</v>
      </c>
      <c r="B2211" s="3" t="s">
        <v>27</v>
      </c>
      <c r="D2211" s="3" t="str">
        <f>IFERROR(__xludf.DUMMYFUNCTION("GOOGLETRANSLATE(A2211, ""nl"", ""en"")"),"Cosmic and Abstract Patterns")</f>
        <v>Cosmic and Abstract Patterns</v>
      </c>
      <c r="E2211" s="3" t="str">
        <f>IFERROR(__xludf.DUMMYFUNCTION("GOOGLETRANSLATE(B2211, ""nl"", ""en"")"),"A pair of black holes in dance")</f>
        <v>A pair of black holes in dance</v>
      </c>
    </row>
    <row r="2212" ht="15.75" customHeight="1">
      <c r="A2212" s="3" t="s">
        <v>15</v>
      </c>
      <c r="B2212" s="3" t="s">
        <v>38</v>
      </c>
      <c r="D2212" s="3" t="str">
        <f>IFERROR(__xludf.DUMMYFUNCTION("GOOGLETRANSLATE(A2212, ""nl"", ""en"")"),"Animals and Organic Forms")</f>
        <v>Animals and Organic Forms</v>
      </c>
      <c r="E2212" s="3" t="str">
        <f>IFERROR(__xludf.DUMMYFUNCTION("GOOGLETRANSLATE(B2212, ""nl"", ""en"")"),"A lion with an open mouth")</f>
        <v>A lion with an open mouth</v>
      </c>
    </row>
    <row r="2213" ht="15.75" customHeight="1">
      <c r="A2213" s="3" t="s">
        <v>12</v>
      </c>
      <c r="B2213" s="3" t="s">
        <v>13</v>
      </c>
      <c r="D2213" s="3" t="str">
        <f>IFERROR(__xludf.DUMMYFUNCTION("GOOGLETRANSLATE(A2213, ""nl"", ""en"")"),"Nature and Elements")</f>
        <v>Nature and Elements</v>
      </c>
      <c r="E2213" s="3" t="str">
        <f>IFERROR(__xludf.DUMMYFUNCTION("GOOGLETRANSLATE(B2213, ""nl"", ""en"")"),"A lightning strike in slow motion")</f>
        <v>A lightning strike in slow motion</v>
      </c>
    </row>
    <row r="2214" ht="15.75" customHeight="1">
      <c r="A2214" s="3" t="s">
        <v>15</v>
      </c>
      <c r="B2214" s="3" t="s">
        <v>26</v>
      </c>
      <c r="D2214" s="3" t="str">
        <f>IFERROR(__xludf.DUMMYFUNCTION("GOOGLETRANSLATE(A2214, ""nl"", ""en"")"),"Animals and Organic Forms")</f>
        <v>Animals and Organic Forms</v>
      </c>
      <c r="E2214" s="3" t="str">
        <f>IFERROR(__xludf.DUMMYFUNCTION("GOOGLETRANSLATE(B2214, ""nl"", ""en"")"),"A frog preparing to jump")</f>
        <v>A frog preparing to jump</v>
      </c>
    </row>
    <row r="2215" ht="15.75" customHeight="1">
      <c r="A2215" s="3" t="s">
        <v>24</v>
      </c>
      <c r="B2215" s="3" t="s">
        <v>32</v>
      </c>
      <c r="D2215" s="3" t="str">
        <f>IFERROR(__xludf.DUMMYFUNCTION("GOOGLETRANSLATE(A2215, ""nl"", ""en"")"),"Cosmic and Abstract Patterns")</f>
        <v>Cosmic and Abstract Patterns</v>
      </c>
      <c r="E2215" s="3" t="str">
        <f>IFERROR(__xludf.DUMMYFUNCTION("GOOGLETRANSLATE(B2215, ""nl"", ""en"")"),"A time loop captured in image")</f>
        <v>A time loop captured in image</v>
      </c>
    </row>
    <row r="2216" ht="15.75" customHeight="1">
      <c r="A2216" s="3" t="s">
        <v>12</v>
      </c>
      <c r="B2216" s="3" t="s">
        <v>30</v>
      </c>
      <c r="D2216" s="3" t="str">
        <f>IFERROR(__xludf.DUMMYFUNCTION("GOOGLETRANSLATE(A2216, ""nl"", ""en"")"),"Nature and Elements")</f>
        <v>Nature and Elements</v>
      </c>
      <c r="E2216" s="3" t="str">
        <f>IFERROR(__xludf.DUMMYFUNCTION("GOOGLETRANSLATE(B2216, ""nl"", ""en"")"),"Waves breaking in fractal patterns")</f>
        <v>Waves breaking in fractal patterns</v>
      </c>
    </row>
    <row r="2217" ht="15.75" customHeight="1">
      <c r="A2217" s="3" t="s">
        <v>24</v>
      </c>
      <c r="B2217" s="3" t="s">
        <v>32</v>
      </c>
      <c r="D2217" s="3" t="str">
        <f>IFERROR(__xludf.DUMMYFUNCTION("GOOGLETRANSLATE(A2217, ""nl"", ""en"")"),"Cosmic and Abstract Patterns")</f>
        <v>Cosmic and Abstract Patterns</v>
      </c>
      <c r="E2217" s="3" t="str">
        <f>IFERROR(__xludf.DUMMYFUNCTION("GOOGLETRANSLATE(B2217, ""nl"", ""en"")"),"A time loop captured in image")</f>
        <v>A time loop captured in image</v>
      </c>
    </row>
    <row r="2218" ht="15.75" customHeight="1">
      <c r="A2218" s="3" t="s">
        <v>15</v>
      </c>
      <c r="B2218" s="3" t="s">
        <v>45</v>
      </c>
      <c r="D2218" s="3" t="str">
        <f>IFERROR(__xludf.DUMMYFUNCTION("GOOGLETRANSLATE(A2218, ""nl"", ""en"")"),"Animals and Organic Forms")</f>
        <v>Animals and Organic Forms</v>
      </c>
      <c r="E2218" s="3" t="str">
        <f>IFERROR(__xludf.DUMMYFUNCTION("GOOGLETRANSLATE(B2218, ""nl"", ""en"")"),"A snake biting its own tail")</f>
        <v>A snake biting its own tail</v>
      </c>
    </row>
    <row r="2219" ht="15.75" customHeight="1">
      <c r="A2219" s="3" t="s">
        <v>4</v>
      </c>
      <c r="B2219" s="3" t="s">
        <v>20</v>
      </c>
      <c r="D2219" s="3" t="str">
        <f>IFERROR(__xludf.DUMMYFUNCTION("GOOGLETRANSLATE(A2219, ""nl"", ""en"")"),"Architectural and Structural Associations")</f>
        <v>Architectural and Structural Associations</v>
      </c>
      <c r="E2219" s="3" t="str">
        <f>IFERROR(__xludf.DUMMYFUNCTION("GOOGLETRANSLATE(B2219, ""nl"", ""en"")"),"A tower that grows by itself")</f>
        <v>A tower that grows by itself</v>
      </c>
    </row>
    <row r="2220" ht="15.75" customHeight="1">
      <c r="A2220" s="3" t="s">
        <v>9</v>
      </c>
      <c r="B2220" s="3" t="s">
        <v>14</v>
      </c>
      <c r="D2220" s="3" t="str">
        <f>IFERROR(__xludf.DUMMYFUNCTION("GOOGLETRANSLATE(A2220, ""nl"", ""en"")"),"Psychological and Emotional Interpretations")</f>
        <v>Psychological and Emotional Interpretations</v>
      </c>
      <c r="E2220" s="3" t="str">
        <f>IFERROR(__xludf.DUMMYFUNCTION("GOOGLETRANSLATE(B2220, ""nl"", ""en"")"),"An unclear hug")</f>
        <v>An unclear hug</v>
      </c>
    </row>
    <row r="2221" ht="15.75" customHeight="1">
      <c r="A2221" s="3" t="s">
        <v>24</v>
      </c>
      <c r="B2221" s="3" t="s">
        <v>27</v>
      </c>
      <c r="D2221" s="3" t="str">
        <f>IFERROR(__xludf.DUMMYFUNCTION("GOOGLETRANSLATE(A2221, ""nl"", ""en"")"),"Cosmic and Abstract Patterns")</f>
        <v>Cosmic and Abstract Patterns</v>
      </c>
      <c r="E2221" s="3" t="str">
        <f>IFERROR(__xludf.DUMMYFUNCTION("GOOGLETRANSLATE(B2221, ""nl"", ""en"")"),"A pair of black holes in dance")</f>
        <v>A pair of black holes in dance</v>
      </c>
    </row>
    <row r="2222" ht="15.75" customHeight="1">
      <c r="A2222" s="3" t="s">
        <v>15</v>
      </c>
      <c r="B2222" s="3" t="s">
        <v>50</v>
      </c>
      <c r="D2222" s="3" t="str">
        <f>IFERROR(__xludf.DUMMYFUNCTION("GOOGLETRANSLATE(A2222, ""nl"", ""en"")"),"Animals and Organic Forms")</f>
        <v>Animals and Organic Forms</v>
      </c>
      <c r="E2222" s="3" t="str">
        <f>IFERROR(__xludf.DUMMYFUNCTION("GOOGLETRANSLATE(B2222, ""nl"", ""en"")"),"A squid with extended tentacles")</f>
        <v>A squid with extended tentacles</v>
      </c>
    </row>
    <row r="2223" ht="15.75" customHeight="1">
      <c r="A2223" s="3" t="s">
        <v>4</v>
      </c>
      <c r="B2223" s="3" t="s">
        <v>55</v>
      </c>
      <c r="D2223" s="3" t="str">
        <f>IFERROR(__xludf.DUMMYFUNCTION("GOOGLETRANSLATE(A2223, ""nl"", ""en"")"),"Architectural and Structural Associations")</f>
        <v>Architectural and Structural Associations</v>
      </c>
      <c r="E2223" s="3" t="str">
        <f>IFERROR(__xludf.DUMMYFUNCTION("GOOGLETRANSLATE(B2223, ""nl"", ""en"")"),"A prism that splits light into colors")</f>
        <v>A prism that splits light into colors</v>
      </c>
    </row>
    <row r="2224" ht="15.75" customHeight="1">
      <c r="A2224" s="3" t="s">
        <v>4</v>
      </c>
      <c r="B2224" s="3" t="s">
        <v>6</v>
      </c>
      <c r="D2224" s="3" t="str">
        <f>IFERROR(__xludf.DUMMYFUNCTION("GOOGLETRANSLATE(A2224, ""nl"", ""en"")"),"Architectural and Structural Associations")</f>
        <v>Architectural and Structural Associations</v>
      </c>
      <c r="E2224" s="3" t="str">
        <f>IFERROR(__xludf.DUMMYFUNCTION("GOOGLETRANSLATE(B2224, ""nl"", ""en"")"),"An endless labyrinth")</f>
        <v>An endless labyrinth</v>
      </c>
    </row>
    <row r="2225" ht="15.75" customHeight="1">
      <c r="A2225" s="3" t="s">
        <v>9</v>
      </c>
      <c r="B2225" s="3" t="s">
        <v>11</v>
      </c>
      <c r="D2225" s="3" t="str">
        <f>IFERROR(__xludf.DUMMYFUNCTION("GOOGLETRANSLATE(A2225, ""nl"", ""en"")"),"Psychological and Emotional Interpretations")</f>
        <v>Psychological and Emotional Interpretations</v>
      </c>
      <c r="E2225" s="3" t="str">
        <f>IFERROR(__xludf.DUMMYFUNCTION("GOOGLETRANSLATE(B2225, ""nl"", ""en"")"),"An emotion captured in abstraction")</f>
        <v>An emotion captured in abstraction</v>
      </c>
    </row>
    <row r="2226" ht="15.75" customHeight="1">
      <c r="A2226" s="3" t="s">
        <v>24</v>
      </c>
      <c r="B2226" s="3" t="s">
        <v>33</v>
      </c>
      <c r="D2226" s="3" t="str">
        <f>IFERROR(__xludf.DUMMYFUNCTION("GOOGLETRANSLATE(A2226, ""nl"", ""en"")"),"Cosmic and Abstract Patterns")</f>
        <v>Cosmic and Abstract Patterns</v>
      </c>
      <c r="E2226" s="3" t="str">
        <f>IFERROR(__xludf.DUMMYFUNCTION("GOOGLETRANSLATE(B2226, ""nl"", ""en"")"),"An eye that repeats itself in endless patterns")</f>
        <v>An eye that repeats itself in endless patterns</v>
      </c>
    </row>
    <row r="2227" ht="15.75" customHeight="1">
      <c r="A2227" s="3" t="s">
        <v>15</v>
      </c>
      <c r="B2227" s="3" t="s">
        <v>26</v>
      </c>
      <c r="D2227" s="3" t="str">
        <f>IFERROR(__xludf.DUMMYFUNCTION("GOOGLETRANSLATE(A2227, ""nl"", ""en"")"),"Animals and Organic Forms")</f>
        <v>Animals and Organic Forms</v>
      </c>
      <c r="E2227" s="3" t="str">
        <f>IFERROR(__xludf.DUMMYFUNCTION("GOOGLETRANSLATE(B2227, ""nl"", ""en"")"),"A frog preparing to jump")</f>
        <v>A frog preparing to jump</v>
      </c>
    </row>
    <row r="2228" ht="15.75" customHeight="1">
      <c r="A2228" s="3" t="s">
        <v>4</v>
      </c>
      <c r="B2228" s="3" t="s">
        <v>20</v>
      </c>
      <c r="D2228" s="3" t="str">
        <f>IFERROR(__xludf.DUMMYFUNCTION("GOOGLETRANSLATE(A2228, ""nl"", ""en"")"),"Architectural and Structural Associations")</f>
        <v>Architectural and Structural Associations</v>
      </c>
      <c r="E2228" s="3" t="str">
        <f>IFERROR(__xludf.DUMMYFUNCTION("GOOGLETRANSLATE(B2228, ""nl"", ""en"")"),"A tower that grows by itself")</f>
        <v>A tower that grows by itself</v>
      </c>
    </row>
    <row r="2229" ht="15.75" customHeight="1">
      <c r="A2229" s="3" t="s">
        <v>24</v>
      </c>
      <c r="B2229" s="3" t="s">
        <v>54</v>
      </c>
      <c r="D2229" s="3" t="str">
        <f>IFERROR(__xludf.DUMMYFUNCTION("GOOGLETRANSLATE(A2229, ""nl"", ""en"")"),"Cosmic and Abstract Patterns")</f>
        <v>Cosmic and Abstract Patterns</v>
      </c>
      <c r="E2229" s="3" t="str">
        <f>IFERROR(__xludf.DUMMYFUNCTION("GOOGLETRANSLATE(B2229, ""nl"", ""en"")"),"A quantum particle in superposition")</f>
        <v>A quantum particle in superposition</v>
      </c>
    </row>
    <row r="2230" ht="15.75" customHeight="1">
      <c r="A2230" s="3" t="s">
        <v>15</v>
      </c>
      <c r="B2230" s="3" t="s">
        <v>16</v>
      </c>
      <c r="D2230" s="3" t="str">
        <f>IFERROR(__xludf.DUMMYFUNCTION("GOOGLETRANSLATE(A2230, ""nl"", ""en"")"),"Animals and Organic Forms")</f>
        <v>Animals and Organic Forms</v>
      </c>
      <c r="E2230" s="3" t="str">
        <f>IFERROR(__xludf.DUMMYFUNCTION("GOOGLETRANSLATE(B2230, ""nl"", ""en"")"),"A butterfly in transformation")</f>
        <v>A butterfly in transformation</v>
      </c>
    </row>
    <row r="2231" ht="15.75" customHeight="1">
      <c r="A2231" s="3" t="s">
        <v>12</v>
      </c>
      <c r="B2231" s="3" t="s">
        <v>18</v>
      </c>
      <c r="D2231" s="3" t="str">
        <f>IFERROR(__xludf.DUMMYFUNCTION("GOOGLETRANSLATE(A2231, ""nl"", ""en"")"),"Nature and Elements")</f>
        <v>Nature and Elements</v>
      </c>
      <c r="E2231" s="3" t="str">
        <f>IFERROR(__xludf.DUMMYFUNCTION("GOOGLETRANSLATE(B2231, ""nl"", ""en"")"),"A tree with endless branches")</f>
        <v>A tree with endless branches</v>
      </c>
    </row>
    <row r="2232" ht="15.75" customHeight="1">
      <c r="A2232" s="3" t="s">
        <v>12</v>
      </c>
      <c r="B2232" s="3" t="s">
        <v>23</v>
      </c>
      <c r="D2232" s="3" t="str">
        <f>IFERROR(__xludf.DUMMYFUNCTION("GOOGLETRANSLATE(A2232, ""nl"", ""en"")"),"Nature and Elements")</f>
        <v>Nature and Elements</v>
      </c>
      <c r="E2232" s="3" t="str">
        <f>IFERROR(__xludf.DUMMYFUNCTION("GOOGLETRANSLATE(B2232, ""nl"", ""en"")"),"A storm cloud splitting in two")</f>
        <v>A storm cloud splitting in two</v>
      </c>
    </row>
    <row r="2233" ht="15.75" customHeight="1">
      <c r="A2233" s="3" t="s">
        <v>12</v>
      </c>
      <c r="B2233" s="3" t="s">
        <v>47</v>
      </c>
      <c r="D2233" s="3" t="str">
        <f>IFERROR(__xludf.DUMMYFUNCTION("GOOGLETRANSLATE(A2233, ""nl"", ""en"")"),"Nature and Elements")</f>
        <v>Nature and Elements</v>
      </c>
      <c r="E2233" s="3" t="str">
        <f>IFERROR(__xludf.DUMMYFUNCTION("GOOGLETRANSLATE(B2233, ""nl"", ""en"")"),"A desert landscape that slowly changes")</f>
        <v>A desert landscape that slowly changes</v>
      </c>
    </row>
    <row r="2234" ht="15.75" customHeight="1">
      <c r="A2234" s="3" t="s">
        <v>24</v>
      </c>
      <c r="B2234" s="3" t="s">
        <v>48</v>
      </c>
      <c r="D2234" s="3" t="str">
        <f>IFERROR(__xludf.DUMMYFUNCTION("GOOGLETRANSLATE(A2234, ""nl"", ""en"")"),"Cosmic and Abstract Patterns")</f>
        <v>Cosmic and Abstract Patterns</v>
      </c>
      <c r="E2234" s="3" t="str">
        <f>IFERROR(__xludf.DUMMYFUNCTION("GOOGLETRANSLATE(B2234, ""nl"", ""en"")"),"A fractal that repeats itself")</f>
        <v>A fractal that repeats itself</v>
      </c>
    </row>
    <row r="2235" ht="15.75" customHeight="1">
      <c r="A2235" s="3" t="s">
        <v>9</v>
      </c>
      <c r="B2235" s="3" t="s">
        <v>49</v>
      </c>
      <c r="D2235" s="3" t="str">
        <f>IFERROR(__xludf.DUMMYFUNCTION("GOOGLETRANSLATE(A2235, ""nl"", ""en"")"),"Psychological and Emotional Interpretations")</f>
        <v>Psychological and Emotional Interpretations</v>
      </c>
      <c r="E2235" s="3" t="str">
        <f>IFERROR(__xludf.DUMMYFUNCTION("GOOGLETRANSLATE(B2235, ""nl"", ""en"")"),"A spiral that turns inward")</f>
        <v>A spiral that turns inward</v>
      </c>
    </row>
    <row r="2236" ht="15.75" customHeight="1">
      <c r="A2236" s="3" t="s">
        <v>9</v>
      </c>
      <c r="B2236" s="3" t="s">
        <v>37</v>
      </c>
      <c r="D2236" s="3" t="str">
        <f>IFERROR(__xludf.DUMMYFUNCTION("GOOGLETRANSLATE(A2236, ""nl"", ""en"")"),"Psychological and Emotional Interpretations")</f>
        <v>Psychological and Emotional Interpretations</v>
      </c>
      <c r="E2236" s="3" t="str">
        <f>IFERROR(__xludf.DUMMYFUNCTION("GOOGLETRANSLATE(B2236, ""nl"", ""en"")"),"A figure looking through itself")</f>
        <v>A figure looking through itself</v>
      </c>
    </row>
    <row r="2237" ht="15.75" customHeight="1">
      <c r="A2237" s="3" t="s">
        <v>15</v>
      </c>
      <c r="B2237" s="3" t="s">
        <v>52</v>
      </c>
      <c r="D2237" s="3" t="str">
        <f>IFERROR(__xludf.DUMMYFUNCTION("GOOGLETRANSLATE(A2237, ""nl"", ""en"")"),"Animals and Organic Forms")</f>
        <v>Animals and Organic Forms</v>
      </c>
      <c r="E2237" s="3" t="str">
        <f>IFERROR(__xludf.DUMMYFUNCTION("GOOGLETRANSLATE(B2237, ""nl"", ""en"")"),"A mask made of leaves")</f>
        <v>A mask made of leaves</v>
      </c>
    </row>
    <row r="2238" ht="15.75" customHeight="1">
      <c r="A2238" s="3" t="s">
        <v>4</v>
      </c>
      <c r="B2238" s="3" t="s">
        <v>44</v>
      </c>
      <c r="D2238" s="3" t="str">
        <f>IFERROR(__xludf.DUMMYFUNCTION("GOOGLETRANSLATE(A2238, ""nl"", ""en"")"),"Architectural and Structural Associations")</f>
        <v>Architectural and Structural Associations</v>
      </c>
      <c r="E2238" s="3" t="str">
        <f>IFERROR(__xludf.DUMMYFUNCTION("GOOGLETRANSLATE(B2238, ""nl"", ""en"")"),"A structure that pulsates in waves")</f>
        <v>A structure that pulsates in waves</v>
      </c>
    </row>
    <row r="2239" ht="15.75" customHeight="1">
      <c r="A2239" s="3" t="s">
        <v>7</v>
      </c>
      <c r="B2239" s="3" t="s">
        <v>34</v>
      </c>
      <c r="D2239" s="3" t="str">
        <f>IFERROR(__xludf.DUMMYFUNCTION("GOOGLETRANSLATE(A2239, ""nl"", ""en"")"),"Human Figures and Physicality")</f>
        <v>Human Figures and Physicality</v>
      </c>
      <c r="E2239" s="3" t="str">
        <f>IFERROR(__xludf.DUMMYFUNCTION("GOOGLETRANSLATE(B2239, ""nl"", ""en"")"),"Hands almost touching")</f>
        <v>Hands almost touching</v>
      </c>
    </row>
    <row r="2240" ht="15.75" customHeight="1">
      <c r="A2240" s="3" t="s">
        <v>4</v>
      </c>
      <c r="B2240" s="3" t="s">
        <v>43</v>
      </c>
      <c r="D2240" s="3" t="str">
        <f>IFERROR(__xludf.DUMMYFUNCTION("GOOGLETRANSLATE(A2240, ""nl"", ""en"")"),"Architectural and Structural Associations")</f>
        <v>Architectural and Structural Associations</v>
      </c>
      <c r="E2240" s="3" t="str">
        <f>IFERROR(__xludf.DUMMYFUNCTION("GOOGLETRANSLATE(B2240, ""nl"", ""en"")"),"A network of tunnels and passages")</f>
        <v>A network of tunnels and passages</v>
      </c>
    </row>
    <row r="2241" ht="15.75" customHeight="1">
      <c r="A2241" s="3" t="s">
        <v>7</v>
      </c>
      <c r="B2241" s="3" t="s">
        <v>56</v>
      </c>
      <c r="D2241" s="3" t="str">
        <f>IFERROR(__xludf.DUMMYFUNCTION("GOOGLETRANSLATE(A2241, ""nl"", ""en"")"),"Human Figures and Physicality")</f>
        <v>Human Figures and Physicality</v>
      </c>
      <c r="E2241" s="3" t="str">
        <f>IFERROR(__xludf.DUMMYFUNCTION("GOOGLETRANSLATE(B2241, ""nl"", ""en"")"),"A shadow that seems to move")</f>
        <v>A shadow that seems to move</v>
      </c>
    </row>
    <row r="2242" ht="15.75" customHeight="1">
      <c r="A2242" s="3" t="s">
        <v>4</v>
      </c>
      <c r="B2242" s="3" t="s">
        <v>6</v>
      </c>
      <c r="D2242" s="3" t="str">
        <f>IFERROR(__xludf.DUMMYFUNCTION("GOOGLETRANSLATE(A2242, ""nl"", ""en"")"),"Architectural and Structural Associations")</f>
        <v>Architectural and Structural Associations</v>
      </c>
      <c r="E2242" s="3" t="str">
        <f>IFERROR(__xludf.DUMMYFUNCTION("GOOGLETRANSLATE(B2242, ""nl"", ""en"")"),"An endless labyrinth")</f>
        <v>An endless labyrinth</v>
      </c>
    </row>
    <row r="2243" ht="15.75" customHeight="1">
      <c r="A2243" s="3" t="s">
        <v>15</v>
      </c>
      <c r="B2243" s="3" t="s">
        <v>50</v>
      </c>
      <c r="D2243" s="3" t="str">
        <f>IFERROR(__xludf.DUMMYFUNCTION("GOOGLETRANSLATE(A2243, ""nl"", ""en"")"),"Animals and Organic Forms")</f>
        <v>Animals and Organic Forms</v>
      </c>
      <c r="E2243" s="3" t="str">
        <f>IFERROR(__xludf.DUMMYFUNCTION("GOOGLETRANSLATE(B2243, ""nl"", ""en"")"),"A squid with extended tentacles")</f>
        <v>A squid with extended tentacles</v>
      </c>
    </row>
    <row r="2244" ht="15.75" customHeight="1">
      <c r="A2244" s="3" t="s">
        <v>24</v>
      </c>
      <c r="B2244" s="3" t="s">
        <v>27</v>
      </c>
      <c r="D2244" s="3" t="str">
        <f>IFERROR(__xludf.DUMMYFUNCTION("GOOGLETRANSLATE(A2244, ""nl"", ""en"")"),"Cosmic and Abstract Patterns")</f>
        <v>Cosmic and Abstract Patterns</v>
      </c>
      <c r="E2244" s="3" t="str">
        <f>IFERROR(__xludf.DUMMYFUNCTION("GOOGLETRANSLATE(B2244, ""nl"", ""en"")"),"A pair of black holes in dance")</f>
        <v>A pair of black holes in dance</v>
      </c>
    </row>
    <row r="2245" ht="15.75" customHeight="1">
      <c r="A2245" s="3" t="s">
        <v>15</v>
      </c>
      <c r="B2245" s="3" t="s">
        <v>45</v>
      </c>
      <c r="D2245" s="3" t="str">
        <f>IFERROR(__xludf.DUMMYFUNCTION("GOOGLETRANSLATE(A2245, ""nl"", ""en"")"),"Animals and Organic Forms")</f>
        <v>Animals and Organic Forms</v>
      </c>
      <c r="E2245" s="3" t="str">
        <f>IFERROR(__xludf.DUMMYFUNCTION("GOOGLETRANSLATE(B2245, ""nl"", ""en"")"),"A snake biting its own tail")</f>
        <v>A snake biting its own tail</v>
      </c>
    </row>
    <row r="2246" ht="15.75" customHeight="1">
      <c r="A2246" s="3" t="s">
        <v>15</v>
      </c>
      <c r="B2246" s="3" t="s">
        <v>16</v>
      </c>
      <c r="D2246" s="3" t="str">
        <f>IFERROR(__xludf.DUMMYFUNCTION("GOOGLETRANSLATE(A2246, ""nl"", ""en"")"),"Animals and Organic Forms")</f>
        <v>Animals and Organic Forms</v>
      </c>
      <c r="E2246" s="3" t="str">
        <f>IFERROR(__xludf.DUMMYFUNCTION("GOOGLETRANSLATE(B2246, ""nl"", ""en"")"),"A butterfly in transformation")</f>
        <v>A butterfly in transformation</v>
      </c>
    </row>
    <row r="2247" ht="15.75" customHeight="1">
      <c r="A2247" s="3" t="s">
        <v>4</v>
      </c>
      <c r="B2247" s="3" t="s">
        <v>20</v>
      </c>
      <c r="D2247" s="3" t="str">
        <f>IFERROR(__xludf.DUMMYFUNCTION("GOOGLETRANSLATE(A2247, ""nl"", ""en"")"),"Architectural and Structural Associations")</f>
        <v>Architectural and Structural Associations</v>
      </c>
      <c r="E2247" s="3" t="str">
        <f>IFERROR(__xludf.DUMMYFUNCTION("GOOGLETRANSLATE(B2247, ""nl"", ""en"")"),"A tower that grows by itself")</f>
        <v>A tower that grows by itself</v>
      </c>
    </row>
    <row r="2248" ht="15.75" customHeight="1">
      <c r="A2248" s="3" t="s">
        <v>9</v>
      </c>
      <c r="B2248" s="3" t="s">
        <v>42</v>
      </c>
      <c r="D2248" s="3" t="str">
        <f>IFERROR(__xludf.DUMMYFUNCTION("GOOGLETRANSLATE(A2248, ""nl"", ""en"")"),"Psychological and Emotional Interpretations")</f>
        <v>Psychological and Emotional Interpretations</v>
      </c>
      <c r="E2248" s="3" t="str">
        <f>IFERROR(__xludf.DUMMYFUNCTION("GOOGLETRANSLATE(B2248, ""nl"", ""en"")"),"A mask that slowly disappears")</f>
        <v>A mask that slowly disappears</v>
      </c>
    </row>
    <row r="2249" ht="15.75" customHeight="1">
      <c r="A2249" s="3" t="s">
        <v>15</v>
      </c>
      <c r="B2249" s="3" t="s">
        <v>22</v>
      </c>
      <c r="D2249" s="3" t="str">
        <f>IFERROR(__xludf.DUMMYFUNCTION("GOOGLETRANSLATE(A2249, ""nl"", ""en"")"),"Animals and Organic Forms")</f>
        <v>Animals and Organic Forms</v>
      </c>
      <c r="E2249" s="3" t="str">
        <f>IFERROR(__xludf.DUMMYFUNCTION("GOOGLETRANSLATE(B2249, ""nl"", ""en"")"),"A bird taking off")</f>
        <v>A bird taking off</v>
      </c>
    </row>
    <row r="2250" ht="15.75" customHeight="1">
      <c r="A2250" s="3" t="s">
        <v>4</v>
      </c>
      <c r="B2250" s="3" t="s">
        <v>20</v>
      </c>
      <c r="D2250" s="3" t="str">
        <f>IFERROR(__xludf.DUMMYFUNCTION("GOOGLETRANSLATE(A2250, ""nl"", ""en"")"),"Architectural and Structural Associations")</f>
        <v>Architectural and Structural Associations</v>
      </c>
      <c r="E2250" s="3" t="str">
        <f>IFERROR(__xludf.DUMMYFUNCTION("GOOGLETRANSLATE(B2250, ""nl"", ""en"")"),"A tower that grows by itself")</f>
        <v>A tower that grows by itself</v>
      </c>
    </row>
    <row r="2251" ht="15.75" customHeight="1">
      <c r="A2251" s="3" t="s">
        <v>15</v>
      </c>
      <c r="B2251" s="3" t="s">
        <v>38</v>
      </c>
      <c r="D2251" s="3" t="str">
        <f>IFERROR(__xludf.DUMMYFUNCTION("GOOGLETRANSLATE(A2251, ""nl"", ""en"")"),"Animals and Organic Forms")</f>
        <v>Animals and Organic Forms</v>
      </c>
      <c r="E2251" s="3" t="str">
        <f>IFERROR(__xludf.DUMMYFUNCTION("GOOGLETRANSLATE(B2251, ""nl"", ""en"")"),"A lion with an open mouth")</f>
        <v>A lion with an open mouth</v>
      </c>
    </row>
    <row r="2252" ht="15.75" customHeight="1">
      <c r="A2252" s="3" t="s">
        <v>7</v>
      </c>
      <c r="B2252" s="3" t="s">
        <v>40</v>
      </c>
      <c r="D2252" s="3" t="str">
        <f>IFERROR(__xludf.DUMMYFUNCTION("GOOGLETRANSLATE(A2252, ""nl"", ""en"")"),"Human Figures and Physicality")</f>
        <v>Human Figures and Physicality</v>
      </c>
      <c r="E2252" s="3" t="str">
        <f>IFERROR(__xludf.DUMMYFUNCTION("GOOGLETRANSLATE(B2252, ""nl"", ""en"")"),"A figure who is withdrawn into himself")</f>
        <v>A figure who is withdrawn into himself</v>
      </c>
    </row>
    <row r="2253" ht="15.75" customHeight="1">
      <c r="A2253" s="3" t="s">
        <v>4</v>
      </c>
      <c r="B2253" s="3" t="s">
        <v>21</v>
      </c>
      <c r="D2253" s="3" t="str">
        <f>IFERROR(__xludf.DUMMYFUNCTION("GOOGLETRANSLATE(A2253, ""nl"", ""en"")"),"Architectural and Structural Associations")</f>
        <v>Architectural and Structural Associations</v>
      </c>
      <c r="E2253" s="3" t="str">
        <f>IFERROR(__xludf.DUMMYFUNCTION("GOOGLETRANSLATE(B2253, ""nl"", ""en"")"),"A bridge that leads nowhere")</f>
        <v>A bridge that leads nowhere</v>
      </c>
    </row>
    <row r="2254" ht="15.75" customHeight="1">
      <c r="A2254" s="3" t="s">
        <v>9</v>
      </c>
      <c r="B2254" s="3" t="s">
        <v>14</v>
      </c>
      <c r="D2254" s="3" t="str">
        <f>IFERROR(__xludf.DUMMYFUNCTION("GOOGLETRANSLATE(A2254, ""nl"", ""en"")"),"Psychological and Emotional Interpretations")</f>
        <v>Psychological and Emotional Interpretations</v>
      </c>
      <c r="E2254" s="3" t="str">
        <f>IFERROR(__xludf.DUMMYFUNCTION("GOOGLETRANSLATE(B2254, ""nl"", ""en"")"),"An unclear hug")</f>
        <v>An unclear hug</v>
      </c>
    </row>
    <row r="2255" ht="15.75" customHeight="1">
      <c r="A2255" s="3" t="s">
        <v>12</v>
      </c>
      <c r="B2255" s="3" t="s">
        <v>19</v>
      </c>
      <c r="D2255" s="3" t="str">
        <f>IFERROR(__xludf.DUMMYFUNCTION("GOOGLETRANSLATE(A2255, ""nl"", ""en"")"),"Nature and Elements")</f>
        <v>Nature and Elements</v>
      </c>
      <c r="E2255" s="3" t="str">
        <f>IFERROR(__xludf.DUMMYFUNCTION("GOOGLETRANSLATE(B2255, ""nl"", ""en"")"),"A mountain range that seems to breathe")</f>
        <v>A mountain range that seems to breathe</v>
      </c>
    </row>
    <row r="2256" ht="15.75" customHeight="1">
      <c r="A2256" s="3" t="s">
        <v>4</v>
      </c>
      <c r="B2256" s="3" t="s">
        <v>5</v>
      </c>
      <c r="D2256" s="3" t="str">
        <f>IFERROR(__xludf.DUMMYFUNCTION("GOOGLETRANSLATE(A2256, ""nl"", ""en"")"),"Architectural and Structural Associations")</f>
        <v>Architectural and Structural Associations</v>
      </c>
      <c r="E2256" s="3" t="str">
        <f>IFERROR(__xludf.DUMMYFUNCTION("GOOGLETRANSLATE(B2256, ""nl"", ""en"")"),"A cathedral shaped from mist")</f>
        <v>A cathedral shaped from mist</v>
      </c>
    </row>
    <row r="2257" ht="15.75" customHeight="1">
      <c r="A2257" s="3" t="s">
        <v>24</v>
      </c>
      <c r="B2257" s="3" t="s">
        <v>48</v>
      </c>
      <c r="D2257" s="3" t="str">
        <f>IFERROR(__xludf.DUMMYFUNCTION("GOOGLETRANSLATE(A2257, ""nl"", ""en"")"),"Cosmic and Abstract Patterns")</f>
        <v>Cosmic and Abstract Patterns</v>
      </c>
      <c r="E2257" s="3" t="str">
        <f>IFERROR(__xludf.DUMMYFUNCTION("GOOGLETRANSLATE(B2257, ""nl"", ""en"")"),"A fractal that repeats itself")</f>
        <v>A fractal that repeats itself</v>
      </c>
    </row>
    <row r="2258" ht="15.75" customHeight="1">
      <c r="A2258" s="3" t="s">
        <v>15</v>
      </c>
      <c r="B2258" s="3" t="s">
        <v>50</v>
      </c>
      <c r="D2258" s="3" t="str">
        <f>IFERROR(__xludf.DUMMYFUNCTION("GOOGLETRANSLATE(A2258, ""nl"", ""en"")"),"Animals and Organic Forms")</f>
        <v>Animals and Organic Forms</v>
      </c>
      <c r="E2258" s="3" t="str">
        <f>IFERROR(__xludf.DUMMYFUNCTION("GOOGLETRANSLATE(B2258, ""nl"", ""en"")"),"A squid with extended tentacles")</f>
        <v>A squid with extended tentacles</v>
      </c>
    </row>
    <row r="2259" ht="15.75" customHeight="1">
      <c r="A2259" s="3" t="s">
        <v>7</v>
      </c>
      <c r="B2259" s="3" t="s">
        <v>41</v>
      </c>
      <c r="D2259" s="3" t="str">
        <f>IFERROR(__xludf.DUMMYFUNCTION("GOOGLETRANSLATE(A2259, ""nl"", ""en"")"),"Human Figures and Physicality")</f>
        <v>Human Figures and Physicality</v>
      </c>
      <c r="E2259" s="3" t="str">
        <f>IFERROR(__xludf.DUMMYFUNCTION("GOOGLETRANSLATE(B2259, ""nl"", ""en"")"),"A face that fades into abstraction")</f>
        <v>A face that fades into abstraction</v>
      </c>
    </row>
    <row r="2260" ht="15.75" customHeight="1">
      <c r="A2260" s="3" t="s">
        <v>15</v>
      </c>
      <c r="B2260" s="3" t="s">
        <v>46</v>
      </c>
      <c r="D2260" s="3" t="str">
        <f>IFERROR(__xludf.DUMMYFUNCTION("GOOGLETRANSLATE(A2260, ""nl"", ""en"")"),"Animals and Organic Forms")</f>
        <v>Animals and Organic Forms</v>
      </c>
      <c r="E2260" s="3" t="str">
        <f>IFERROR(__xludf.DUMMYFUNCTION("GOOGLETRANSLATE(B2260, ""nl"", ""en"")"),"A flock of fish moving as one")</f>
        <v>A flock of fish moving as one</v>
      </c>
    </row>
    <row r="2261" ht="15.75" customHeight="1">
      <c r="A2261" s="3" t="s">
        <v>15</v>
      </c>
      <c r="B2261" s="3" t="s">
        <v>50</v>
      </c>
      <c r="D2261" s="3" t="str">
        <f>IFERROR(__xludf.DUMMYFUNCTION("GOOGLETRANSLATE(A2261, ""nl"", ""en"")"),"Animals and Organic Forms")</f>
        <v>Animals and Organic Forms</v>
      </c>
      <c r="E2261" s="3" t="str">
        <f>IFERROR(__xludf.DUMMYFUNCTION("GOOGLETRANSLATE(B2261, ""nl"", ""en"")"),"A squid with extended tentacles")</f>
        <v>A squid with extended tentacles</v>
      </c>
    </row>
    <row r="2262" ht="15.75" customHeight="1">
      <c r="A2262" s="3" t="s">
        <v>9</v>
      </c>
      <c r="B2262" s="3" t="s">
        <v>42</v>
      </c>
      <c r="D2262" s="3" t="str">
        <f>IFERROR(__xludf.DUMMYFUNCTION("GOOGLETRANSLATE(A2262, ""nl"", ""en"")"),"Psychological and Emotional Interpretations")</f>
        <v>Psychological and Emotional Interpretations</v>
      </c>
      <c r="E2262" s="3" t="str">
        <f>IFERROR(__xludf.DUMMYFUNCTION("GOOGLETRANSLATE(B2262, ""nl"", ""en"")"),"A mask that slowly disappears")</f>
        <v>A mask that slowly disappears</v>
      </c>
    </row>
    <row r="2263" ht="15.75" customHeight="1">
      <c r="A2263" s="3" t="s">
        <v>12</v>
      </c>
      <c r="B2263" s="3" t="s">
        <v>13</v>
      </c>
      <c r="D2263" s="3" t="str">
        <f>IFERROR(__xludf.DUMMYFUNCTION("GOOGLETRANSLATE(A2263, ""nl"", ""en"")"),"Nature and Elements")</f>
        <v>Nature and Elements</v>
      </c>
      <c r="E2263" s="3" t="str">
        <f>IFERROR(__xludf.DUMMYFUNCTION("GOOGLETRANSLATE(B2263, ""nl"", ""en"")"),"A lightning strike in slow motion")</f>
        <v>A lightning strike in slow motion</v>
      </c>
    </row>
    <row r="2264" ht="15.75" customHeight="1">
      <c r="A2264" s="3" t="s">
        <v>4</v>
      </c>
      <c r="B2264" s="3" t="s">
        <v>44</v>
      </c>
      <c r="D2264" s="3" t="str">
        <f>IFERROR(__xludf.DUMMYFUNCTION("GOOGLETRANSLATE(A2264, ""nl"", ""en"")"),"Architectural and Structural Associations")</f>
        <v>Architectural and Structural Associations</v>
      </c>
      <c r="E2264" s="3" t="str">
        <f>IFERROR(__xludf.DUMMYFUNCTION("GOOGLETRANSLATE(B2264, ""nl"", ""en"")"),"A structure that pulsates in waves")</f>
        <v>A structure that pulsates in waves</v>
      </c>
    </row>
    <row r="2265" ht="15.75" customHeight="1">
      <c r="A2265" s="3" t="s">
        <v>12</v>
      </c>
      <c r="B2265" s="3" t="s">
        <v>19</v>
      </c>
      <c r="D2265" s="3" t="str">
        <f>IFERROR(__xludf.DUMMYFUNCTION("GOOGLETRANSLATE(A2265, ""nl"", ""en"")"),"Nature and Elements")</f>
        <v>Nature and Elements</v>
      </c>
      <c r="E2265" s="3" t="str">
        <f>IFERROR(__xludf.DUMMYFUNCTION("GOOGLETRANSLATE(B2265, ""nl"", ""en"")"),"A mountain range that seems to breathe")</f>
        <v>A mountain range that seems to breathe</v>
      </c>
    </row>
    <row r="2266" ht="15.75" customHeight="1">
      <c r="A2266" s="3" t="s">
        <v>24</v>
      </c>
      <c r="B2266" s="3" t="s">
        <v>48</v>
      </c>
      <c r="D2266" s="3" t="str">
        <f>IFERROR(__xludf.DUMMYFUNCTION("GOOGLETRANSLATE(A2266, ""nl"", ""en"")"),"Cosmic and Abstract Patterns")</f>
        <v>Cosmic and Abstract Patterns</v>
      </c>
      <c r="E2266" s="3" t="str">
        <f>IFERROR(__xludf.DUMMYFUNCTION("GOOGLETRANSLATE(B2266, ""nl"", ""en"")"),"A fractal that repeats itself")</f>
        <v>A fractal that repeats itself</v>
      </c>
    </row>
    <row r="2267" ht="15.75" customHeight="1">
      <c r="A2267" s="3" t="s">
        <v>9</v>
      </c>
      <c r="B2267" s="3" t="s">
        <v>14</v>
      </c>
      <c r="D2267" s="3" t="str">
        <f>IFERROR(__xludf.DUMMYFUNCTION("GOOGLETRANSLATE(A2267, ""nl"", ""en"")"),"Psychological and Emotional Interpretations")</f>
        <v>Psychological and Emotional Interpretations</v>
      </c>
      <c r="E2267" s="3" t="str">
        <f>IFERROR(__xludf.DUMMYFUNCTION("GOOGLETRANSLATE(B2267, ""nl"", ""en"")"),"An unclear hug")</f>
        <v>An unclear hug</v>
      </c>
    </row>
    <row r="2268" ht="15.75" customHeight="1">
      <c r="A2268" s="3" t="s">
        <v>12</v>
      </c>
      <c r="B2268" s="3" t="s">
        <v>13</v>
      </c>
      <c r="D2268" s="3" t="str">
        <f>IFERROR(__xludf.DUMMYFUNCTION("GOOGLETRANSLATE(A2268, ""nl"", ""en"")"),"Nature and Elements")</f>
        <v>Nature and Elements</v>
      </c>
      <c r="E2268" s="3" t="str">
        <f>IFERROR(__xludf.DUMMYFUNCTION("GOOGLETRANSLATE(B2268, ""nl"", ""en"")"),"A lightning strike in slow motion")</f>
        <v>A lightning strike in slow motion</v>
      </c>
    </row>
    <row r="2269" ht="15.75" customHeight="1">
      <c r="A2269" s="3" t="s">
        <v>7</v>
      </c>
      <c r="B2269" s="3" t="s">
        <v>39</v>
      </c>
      <c r="D2269" s="3" t="str">
        <f>IFERROR(__xludf.DUMMYFUNCTION("GOOGLETRANSLATE(A2269, ""nl"", ""en"")"),"Human Figures and Physicality")</f>
        <v>Human Figures and Physicality</v>
      </c>
      <c r="E2269" s="3" t="str">
        <f>IFERROR(__xludf.DUMMYFUNCTION("GOOGLETRANSLATE(B2269, ""nl"", ""en"")"),"A torso without a head")</f>
        <v>A torso without a head</v>
      </c>
    </row>
    <row r="2270" ht="15.75" customHeight="1">
      <c r="A2270" s="3" t="s">
        <v>9</v>
      </c>
      <c r="B2270" s="3" t="s">
        <v>57</v>
      </c>
      <c r="D2270" s="3" t="str">
        <f>IFERROR(__xludf.DUMMYFUNCTION("GOOGLETRANSLATE(A2270, ""nl"", ""en"")"),"Psychological and Emotional Interpretations")</f>
        <v>Psychological and Emotional Interpretations</v>
      </c>
      <c r="E2270" s="3" t="str">
        <f>IFERROR(__xludf.DUMMYFUNCTION("GOOGLETRANSLATE(B2270, ""nl"", ""en"")"),"An explosion of colours and feelings")</f>
        <v>An explosion of colours and feelings</v>
      </c>
    </row>
    <row r="2271" ht="15.75" customHeight="1">
      <c r="A2271" s="3" t="s">
        <v>7</v>
      </c>
      <c r="B2271" s="3" t="s">
        <v>34</v>
      </c>
      <c r="D2271" s="3" t="str">
        <f>IFERROR(__xludf.DUMMYFUNCTION("GOOGLETRANSLATE(A2271, ""nl"", ""en"")"),"Human Figures and Physicality")</f>
        <v>Human Figures and Physicality</v>
      </c>
      <c r="E2271" s="3" t="str">
        <f>IFERROR(__xludf.DUMMYFUNCTION("GOOGLETRANSLATE(B2271, ""nl"", ""en"")"),"Hands almost touching")</f>
        <v>Hands almost touching</v>
      </c>
    </row>
    <row r="2272" ht="15.75" customHeight="1">
      <c r="A2272" s="3" t="s">
        <v>7</v>
      </c>
      <c r="B2272" s="3" t="s">
        <v>39</v>
      </c>
      <c r="D2272" s="3" t="str">
        <f>IFERROR(__xludf.DUMMYFUNCTION("GOOGLETRANSLATE(A2272, ""nl"", ""en"")"),"Human Figures and Physicality")</f>
        <v>Human Figures and Physicality</v>
      </c>
      <c r="E2272" s="3" t="str">
        <f>IFERROR(__xludf.DUMMYFUNCTION("GOOGLETRANSLATE(B2272, ""nl"", ""en"")"),"A torso without a head")</f>
        <v>A torso without a head</v>
      </c>
    </row>
    <row r="2273" ht="15.75" customHeight="1">
      <c r="A2273" s="3" t="s">
        <v>24</v>
      </c>
      <c r="B2273" s="3" t="s">
        <v>27</v>
      </c>
      <c r="D2273" s="3" t="str">
        <f>IFERROR(__xludf.DUMMYFUNCTION("GOOGLETRANSLATE(A2273, ""nl"", ""en"")"),"Cosmic and Abstract Patterns")</f>
        <v>Cosmic and Abstract Patterns</v>
      </c>
      <c r="E2273" s="3" t="str">
        <f>IFERROR(__xludf.DUMMYFUNCTION("GOOGLETRANSLATE(B2273, ""nl"", ""en"")"),"A pair of black holes in dance")</f>
        <v>A pair of black holes in dance</v>
      </c>
    </row>
    <row r="2274" ht="15.75" customHeight="1">
      <c r="A2274" s="3" t="s">
        <v>12</v>
      </c>
      <c r="B2274" s="3" t="s">
        <v>18</v>
      </c>
      <c r="D2274" s="3" t="str">
        <f>IFERROR(__xludf.DUMMYFUNCTION("GOOGLETRANSLATE(A2274, ""nl"", ""en"")"),"Nature and Elements")</f>
        <v>Nature and Elements</v>
      </c>
      <c r="E2274" s="3" t="str">
        <f>IFERROR(__xludf.DUMMYFUNCTION("GOOGLETRANSLATE(B2274, ""nl"", ""en"")"),"A tree with endless branches")</f>
        <v>A tree with endless branches</v>
      </c>
    </row>
    <row r="2275" ht="15.75" customHeight="1">
      <c r="A2275" s="3" t="s">
        <v>4</v>
      </c>
      <c r="B2275" s="3" t="s">
        <v>55</v>
      </c>
      <c r="D2275" s="3" t="str">
        <f>IFERROR(__xludf.DUMMYFUNCTION("GOOGLETRANSLATE(A2275, ""nl"", ""en"")"),"Architectural and Structural Associations")</f>
        <v>Architectural and Structural Associations</v>
      </c>
      <c r="E2275" s="3" t="str">
        <f>IFERROR(__xludf.DUMMYFUNCTION("GOOGLETRANSLATE(B2275, ""nl"", ""en"")"),"A prism that splits light into colors")</f>
        <v>A prism that splits light into colors</v>
      </c>
    </row>
    <row r="2276" ht="15.75" customHeight="1">
      <c r="A2276" s="3" t="s">
        <v>24</v>
      </c>
      <c r="B2276" s="3" t="s">
        <v>31</v>
      </c>
      <c r="D2276" s="3" t="str">
        <f>IFERROR(__xludf.DUMMYFUNCTION("GOOGLETRANSLATE(A2276, ""nl"", ""en"")"),"Cosmic and Abstract Patterns")</f>
        <v>Cosmic and Abstract Patterns</v>
      </c>
      <c r="E2276" s="3" t="str">
        <f>IFERROR(__xludf.DUMMYFUNCTION("GOOGLETRANSLATE(B2276, ""nl"", ""en"")"),"A planet with unusual rings")</f>
        <v>A planet with unusual rings</v>
      </c>
    </row>
    <row r="2277" ht="15.75" customHeight="1">
      <c r="A2277" s="3" t="s">
        <v>9</v>
      </c>
      <c r="B2277" s="3" t="s">
        <v>11</v>
      </c>
      <c r="D2277" s="3" t="str">
        <f>IFERROR(__xludf.DUMMYFUNCTION("GOOGLETRANSLATE(A2277, ""nl"", ""en"")"),"Psychological and Emotional Interpretations")</f>
        <v>Psychological and Emotional Interpretations</v>
      </c>
      <c r="E2277" s="3" t="str">
        <f>IFERROR(__xludf.DUMMYFUNCTION("GOOGLETRANSLATE(B2277, ""nl"", ""en"")"),"An emotion captured in abstraction")</f>
        <v>An emotion captured in abstraction</v>
      </c>
    </row>
    <row r="2278" ht="15.75" customHeight="1">
      <c r="A2278" s="3" t="s">
        <v>24</v>
      </c>
      <c r="B2278" s="3" t="s">
        <v>48</v>
      </c>
      <c r="D2278" s="3" t="str">
        <f>IFERROR(__xludf.DUMMYFUNCTION("GOOGLETRANSLATE(A2278, ""nl"", ""en"")"),"Cosmic and Abstract Patterns")</f>
        <v>Cosmic and Abstract Patterns</v>
      </c>
      <c r="E2278" s="3" t="str">
        <f>IFERROR(__xludf.DUMMYFUNCTION("GOOGLETRANSLATE(B2278, ""nl"", ""en"")"),"A fractal that repeats itself")</f>
        <v>A fractal that repeats itself</v>
      </c>
    </row>
    <row r="2279" ht="15.75" customHeight="1">
      <c r="A2279" s="3" t="s">
        <v>24</v>
      </c>
      <c r="B2279" s="3" t="s">
        <v>32</v>
      </c>
      <c r="D2279" s="3" t="str">
        <f>IFERROR(__xludf.DUMMYFUNCTION("GOOGLETRANSLATE(A2279, ""nl"", ""en"")"),"Cosmic and Abstract Patterns")</f>
        <v>Cosmic and Abstract Patterns</v>
      </c>
      <c r="E2279" s="3" t="str">
        <f>IFERROR(__xludf.DUMMYFUNCTION("GOOGLETRANSLATE(B2279, ""nl"", ""en"")"),"A time loop captured in image")</f>
        <v>A time loop captured in image</v>
      </c>
    </row>
    <row r="2280" ht="15.75" customHeight="1">
      <c r="A2280" s="3" t="s">
        <v>4</v>
      </c>
      <c r="B2280" s="3" t="s">
        <v>35</v>
      </c>
      <c r="D2280" s="3" t="str">
        <f>IFERROR(__xludf.DUMMYFUNCTION("GOOGLETRANSLATE(A2280, ""nl"", ""en"")"),"Architectural and Structural Associations")</f>
        <v>Architectural and Structural Associations</v>
      </c>
      <c r="E2280" s="3" t="str">
        <f>IFERROR(__xludf.DUMMYFUNCTION("GOOGLETRANSLATE(B2280, ""nl"", ""en"")"),"A floating building without a base")</f>
        <v>A floating building without a base</v>
      </c>
    </row>
    <row r="2281" ht="15.75" customHeight="1">
      <c r="A2281" s="3" t="s">
        <v>15</v>
      </c>
      <c r="B2281" s="3" t="s">
        <v>26</v>
      </c>
      <c r="D2281" s="3" t="str">
        <f>IFERROR(__xludf.DUMMYFUNCTION("GOOGLETRANSLATE(A2281, ""nl"", ""en"")"),"Animals and Organic Forms")</f>
        <v>Animals and Organic Forms</v>
      </c>
      <c r="E2281" s="3" t="str">
        <f>IFERROR(__xludf.DUMMYFUNCTION("GOOGLETRANSLATE(B2281, ""nl"", ""en"")"),"A frog preparing to jump")</f>
        <v>A frog preparing to jump</v>
      </c>
    </row>
    <row r="2282" ht="15.75" customHeight="1">
      <c r="A2282" s="3" t="s">
        <v>9</v>
      </c>
      <c r="B2282" s="3" t="s">
        <v>49</v>
      </c>
      <c r="D2282" s="3" t="str">
        <f>IFERROR(__xludf.DUMMYFUNCTION("GOOGLETRANSLATE(A2282, ""nl"", ""en"")"),"Psychological and Emotional Interpretations")</f>
        <v>Psychological and Emotional Interpretations</v>
      </c>
      <c r="E2282" s="3" t="str">
        <f>IFERROR(__xludf.DUMMYFUNCTION("GOOGLETRANSLATE(B2282, ""nl"", ""en"")"),"A spiral that turns inward")</f>
        <v>A spiral that turns inward</v>
      </c>
    </row>
    <row r="2283" ht="15.75" customHeight="1">
      <c r="A2283" s="3" t="s">
        <v>7</v>
      </c>
      <c r="B2283" s="3" t="s">
        <v>40</v>
      </c>
      <c r="D2283" s="3" t="str">
        <f>IFERROR(__xludf.DUMMYFUNCTION("GOOGLETRANSLATE(A2283, ""nl"", ""en"")"),"Human Figures and Physicality")</f>
        <v>Human Figures and Physicality</v>
      </c>
      <c r="E2283" s="3" t="str">
        <f>IFERROR(__xludf.DUMMYFUNCTION("GOOGLETRANSLATE(B2283, ""nl"", ""en"")"),"A figure who is withdrawn into himself")</f>
        <v>A figure who is withdrawn into himself</v>
      </c>
    </row>
    <row r="2284" ht="15.75" customHeight="1">
      <c r="A2284" s="3" t="s">
        <v>9</v>
      </c>
      <c r="B2284" s="3" t="s">
        <v>17</v>
      </c>
      <c r="D2284" s="3" t="str">
        <f>IFERROR(__xludf.DUMMYFUNCTION("GOOGLETRANSLATE(A2284, ""nl"", ""en"")"),"Psychological and Emotional Interpretations")</f>
        <v>Psychological and Emotional Interpretations</v>
      </c>
      <c r="E2284" s="3" t="str">
        <f>IFERROR(__xludf.DUMMYFUNCTION("GOOGLETRANSLATE(B2284, ""nl"", ""en"")"),"A figure that seems to melt")</f>
        <v>A figure that seems to melt</v>
      </c>
    </row>
    <row r="2285" ht="15.75" customHeight="1">
      <c r="A2285" s="3" t="s">
        <v>4</v>
      </c>
      <c r="B2285" s="3" t="s">
        <v>5</v>
      </c>
      <c r="D2285" s="3" t="str">
        <f>IFERROR(__xludf.DUMMYFUNCTION("GOOGLETRANSLATE(A2285, ""nl"", ""en"")"),"Architectural and Structural Associations")</f>
        <v>Architectural and Structural Associations</v>
      </c>
      <c r="E2285" s="3" t="str">
        <f>IFERROR(__xludf.DUMMYFUNCTION("GOOGLETRANSLATE(B2285, ""nl"", ""en"")"),"A cathedral shaped from mist")</f>
        <v>A cathedral shaped from mist</v>
      </c>
    </row>
    <row r="2286" ht="15.75" customHeight="1">
      <c r="A2286" s="3" t="s">
        <v>7</v>
      </c>
      <c r="B2286" s="3" t="s">
        <v>39</v>
      </c>
      <c r="D2286" s="3" t="str">
        <f>IFERROR(__xludf.DUMMYFUNCTION("GOOGLETRANSLATE(A2286, ""nl"", ""en"")"),"Human Figures and Physicality")</f>
        <v>Human Figures and Physicality</v>
      </c>
      <c r="E2286" s="3" t="str">
        <f>IFERROR(__xludf.DUMMYFUNCTION("GOOGLETRANSLATE(B2286, ""nl"", ""en"")"),"A torso without a head")</f>
        <v>A torso without a head</v>
      </c>
    </row>
    <row r="2287" ht="15.75" customHeight="1">
      <c r="A2287" s="3" t="s">
        <v>15</v>
      </c>
      <c r="B2287" s="3" t="s">
        <v>45</v>
      </c>
      <c r="D2287" s="3" t="str">
        <f>IFERROR(__xludf.DUMMYFUNCTION("GOOGLETRANSLATE(A2287, ""nl"", ""en"")"),"Animals and Organic Forms")</f>
        <v>Animals and Organic Forms</v>
      </c>
      <c r="E2287" s="3" t="str">
        <f>IFERROR(__xludf.DUMMYFUNCTION("GOOGLETRANSLATE(B2287, ""nl"", ""en"")"),"A snake biting its own tail")</f>
        <v>A snake biting its own tail</v>
      </c>
    </row>
    <row r="2288" ht="15.75" customHeight="1">
      <c r="A2288" s="3" t="s">
        <v>15</v>
      </c>
      <c r="B2288" s="3" t="s">
        <v>52</v>
      </c>
      <c r="D2288" s="3" t="str">
        <f>IFERROR(__xludf.DUMMYFUNCTION("GOOGLETRANSLATE(A2288, ""nl"", ""en"")"),"Animals and Organic Forms")</f>
        <v>Animals and Organic Forms</v>
      </c>
      <c r="E2288" s="3" t="str">
        <f>IFERROR(__xludf.DUMMYFUNCTION("GOOGLETRANSLATE(B2288, ""nl"", ""en"")"),"A mask made of leaves")</f>
        <v>A mask made of leaves</v>
      </c>
    </row>
    <row r="2289" ht="15.75" customHeight="1">
      <c r="A2289" s="3" t="s">
        <v>4</v>
      </c>
      <c r="B2289" s="3" t="s">
        <v>35</v>
      </c>
      <c r="D2289" s="3" t="str">
        <f>IFERROR(__xludf.DUMMYFUNCTION("GOOGLETRANSLATE(A2289, ""nl"", ""en"")"),"Architectural and Structural Associations")</f>
        <v>Architectural and Structural Associations</v>
      </c>
      <c r="E2289" s="3" t="str">
        <f>IFERROR(__xludf.DUMMYFUNCTION("GOOGLETRANSLATE(B2289, ""nl"", ""en"")"),"A floating building without a base")</f>
        <v>A floating building without a base</v>
      </c>
    </row>
    <row r="2290" ht="15.75" customHeight="1">
      <c r="A2290" s="3" t="s">
        <v>7</v>
      </c>
      <c r="B2290" s="3" t="s">
        <v>53</v>
      </c>
      <c r="D2290" s="3" t="str">
        <f>IFERROR(__xludf.DUMMYFUNCTION("GOOGLETRANSLATE(A2290, ""nl"", ""en"")"),"Human Figures and Physicality")</f>
        <v>Human Figures and Physicality</v>
      </c>
      <c r="E2290" s="3" t="str">
        <f>IFERROR(__xludf.DUMMYFUNCTION("GOOGLETRANSLATE(B2290, ""nl"", ""en"")"),"A face that both smiles and cries")</f>
        <v>A face that both smiles and cries</v>
      </c>
    </row>
    <row r="2291" ht="15.75" customHeight="1">
      <c r="A2291" s="3" t="s">
        <v>24</v>
      </c>
      <c r="B2291" s="3" t="s">
        <v>33</v>
      </c>
      <c r="D2291" s="3" t="str">
        <f>IFERROR(__xludf.DUMMYFUNCTION("GOOGLETRANSLATE(A2291, ""nl"", ""en"")"),"Cosmic and Abstract Patterns")</f>
        <v>Cosmic and Abstract Patterns</v>
      </c>
      <c r="E2291" s="3" t="str">
        <f>IFERROR(__xludf.DUMMYFUNCTION("GOOGLETRANSLATE(B2291, ""nl"", ""en"")"),"An eye that repeats itself in endless patterns")</f>
        <v>An eye that repeats itself in endless patterns</v>
      </c>
    </row>
    <row r="2292" ht="15.75" customHeight="1">
      <c r="A2292" s="3" t="s">
        <v>24</v>
      </c>
      <c r="B2292" s="3" t="s">
        <v>54</v>
      </c>
      <c r="D2292" s="3" t="str">
        <f>IFERROR(__xludf.DUMMYFUNCTION("GOOGLETRANSLATE(A2292, ""nl"", ""en"")"),"Cosmic and Abstract Patterns")</f>
        <v>Cosmic and Abstract Patterns</v>
      </c>
      <c r="E2292" s="3" t="str">
        <f>IFERROR(__xludf.DUMMYFUNCTION("GOOGLETRANSLATE(B2292, ""nl"", ""en"")"),"A quantum particle in superposition")</f>
        <v>A quantum particle in superposition</v>
      </c>
    </row>
    <row r="2293" ht="15.75" customHeight="1">
      <c r="A2293" s="3" t="s">
        <v>15</v>
      </c>
      <c r="B2293" s="3" t="s">
        <v>16</v>
      </c>
      <c r="D2293" s="3" t="str">
        <f>IFERROR(__xludf.DUMMYFUNCTION("GOOGLETRANSLATE(A2293, ""nl"", ""en"")"),"Animals and Organic Forms")</f>
        <v>Animals and Organic Forms</v>
      </c>
      <c r="E2293" s="3" t="str">
        <f>IFERROR(__xludf.DUMMYFUNCTION("GOOGLETRANSLATE(B2293, ""nl"", ""en"")"),"A butterfly in transformation")</f>
        <v>A butterfly in transformation</v>
      </c>
    </row>
    <row r="2294" ht="15.75" customHeight="1">
      <c r="A2294" s="3" t="s">
        <v>7</v>
      </c>
      <c r="B2294" s="3" t="s">
        <v>39</v>
      </c>
      <c r="D2294" s="3" t="str">
        <f>IFERROR(__xludf.DUMMYFUNCTION("GOOGLETRANSLATE(A2294, ""nl"", ""en"")"),"Human Figures and Physicality")</f>
        <v>Human Figures and Physicality</v>
      </c>
      <c r="E2294" s="3" t="str">
        <f>IFERROR(__xludf.DUMMYFUNCTION("GOOGLETRANSLATE(B2294, ""nl"", ""en"")"),"A torso without a head")</f>
        <v>A torso without a head</v>
      </c>
    </row>
    <row r="2295" ht="15.75" customHeight="1">
      <c r="A2295" s="3" t="s">
        <v>12</v>
      </c>
      <c r="B2295" s="3" t="s">
        <v>18</v>
      </c>
      <c r="D2295" s="3" t="str">
        <f>IFERROR(__xludf.DUMMYFUNCTION("GOOGLETRANSLATE(A2295, ""nl"", ""en"")"),"Nature and Elements")</f>
        <v>Nature and Elements</v>
      </c>
      <c r="E2295" s="3" t="str">
        <f>IFERROR(__xludf.DUMMYFUNCTION("GOOGLETRANSLATE(B2295, ""nl"", ""en"")"),"A tree with endless branches")</f>
        <v>A tree with endless branches</v>
      </c>
    </row>
    <row r="2296" ht="15.75" customHeight="1">
      <c r="A2296" s="3" t="s">
        <v>12</v>
      </c>
      <c r="B2296" s="3" t="s">
        <v>19</v>
      </c>
      <c r="D2296" s="3" t="str">
        <f>IFERROR(__xludf.DUMMYFUNCTION("GOOGLETRANSLATE(A2296, ""nl"", ""en"")"),"Nature and Elements")</f>
        <v>Nature and Elements</v>
      </c>
      <c r="E2296" s="3" t="str">
        <f>IFERROR(__xludf.DUMMYFUNCTION("GOOGLETRANSLATE(B2296, ""nl"", ""en"")"),"A mountain range that seems to breathe")</f>
        <v>A mountain range that seems to breathe</v>
      </c>
    </row>
    <row r="2297" ht="15.75" customHeight="1">
      <c r="A2297" s="3" t="s">
        <v>24</v>
      </c>
      <c r="B2297" s="3" t="s">
        <v>29</v>
      </c>
      <c r="D2297" s="3" t="str">
        <f>IFERROR(__xludf.DUMMYFUNCTION("GOOGLETRANSLATE(A2297, ""nl"", ""en"")"),"Cosmic and Abstract Patterns")</f>
        <v>Cosmic and Abstract Patterns</v>
      </c>
      <c r="E2297" s="3" t="str">
        <f>IFERROR(__xludf.DUMMYFUNCTION("GOOGLETRANSLATE(B2297, ""nl"", ""en"")"),"A galaxy unfolding")</f>
        <v>A galaxy unfolding</v>
      </c>
    </row>
    <row r="2298" ht="15.75" customHeight="1">
      <c r="A2298" s="3" t="s">
        <v>9</v>
      </c>
      <c r="B2298" s="3" t="s">
        <v>57</v>
      </c>
      <c r="D2298" s="3" t="str">
        <f>IFERROR(__xludf.DUMMYFUNCTION("GOOGLETRANSLATE(A2298, ""nl"", ""en"")"),"Psychological and Emotional Interpretations")</f>
        <v>Psychological and Emotional Interpretations</v>
      </c>
      <c r="E2298" s="3" t="str">
        <f>IFERROR(__xludf.DUMMYFUNCTION("GOOGLETRANSLATE(B2298, ""nl"", ""en"")"),"An explosion of colours and feelings")</f>
        <v>An explosion of colours and feelings</v>
      </c>
    </row>
    <row r="2299" ht="15.75" customHeight="1">
      <c r="A2299" s="3" t="s">
        <v>7</v>
      </c>
      <c r="B2299" s="3" t="s">
        <v>39</v>
      </c>
      <c r="D2299" s="3" t="str">
        <f>IFERROR(__xludf.DUMMYFUNCTION("GOOGLETRANSLATE(A2299, ""nl"", ""en"")"),"Human Figures and Physicality")</f>
        <v>Human Figures and Physicality</v>
      </c>
      <c r="E2299" s="3" t="str">
        <f>IFERROR(__xludf.DUMMYFUNCTION("GOOGLETRANSLATE(B2299, ""nl"", ""en"")"),"A torso without a head")</f>
        <v>A torso without a head</v>
      </c>
    </row>
    <row r="2300" ht="15.75" customHeight="1">
      <c r="A2300" s="3" t="s">
        <v>15</v>
      </c>
      <c r="B2300" s="3" t="s">
        <v>50</v>
      </c>
      <c r="D2300" s="3" t="str">
        <f>IFERROR(__xludf.DUMMYFUNCTION("GOOGLETRANSLATE(A2300, ""nl"", ""en"")"),"Animals and Organic Forms")</f>
        <v>Animals and Organic Forms</v>
      </c>
      <c r="E2300" s="3" t="str">
        <f>IFERROR(__xludf.DUMMYFUNCTION("GOOGLETRANSLATE(B2300, ""nl"", ""en"")"),"A squid with extended tentacles")</f>
        <v>A squid with extended tentacles</v>
      </c>
    </row>
    <row r="2301" ht="15.75" customHeight="1">
      <c r="A2301" s="3" t="s">
        <v>9</v>
      </c>
      <c r="B2301" s="3" t="s">
        <v>14</v>
      </c>
      <c r="D2301" s="3" t="str">
        <f>IFERROR(__xludf.DUMMYFUNCTION("GOOGLETRANSLATE(A2301, ""nl"", ""en"")"),"Psychological and Emotional Interpretations")</f>
        <v>Psychological and Emotional Interpretations</v>
      </c>
      <c r="E2301" s="3" t="str">
        <f>IFERROR(__xludf.DUMMYFUNCTION("GOOGLETRANSLATE(B2301, ""nl"", ""en"")"),"An unclear hug")</f>
        <v>An unclear hug</v>
      </c>
    </row>
    <row r="2302" ht="15.75" customHeight="1">
      <c r="A2302" s="3" t="s">
        <v>9</v>
      </c>
      <c r="B2302" s="3" t="s">
        <v>37</v>
      </c>
      <c r="D2302" s="3" t="str">
        <f>IFERROR(__xludf.DUMMYFUNCTION("GOOGLETRANSLATE(A2302, ""nl"", ""en"")"),"Psychological and Emotional Interpretations")</f>
        <v>Psychological and Emotional Interpretations</v>
      </c>
      <c r="E2302" s="3" t="str">
        <f>IFERROR(__xludf.DUMMYFUNCTION("GOOGLETRANSLATE(B2302, ""nl"", ""en"")"),"A figure looking through itself")</f>
        <v>A figure looking through itself</v>
      </c>
    </row>
    <row r="2303" ht="15.75" customHeight="1">
      <c r="A2303" s="3" t="s">
        <v>9</v>
      </c>
      <c r="B2303" s="3" t="s">
        <v>17</v>
      </c>
      <c r="D2303" s="3" t="str">
        <f>IFERROR(__xludf.DUMMYFUNCTION("GOOGLETRANSLATE(A2303, ""nl"", ""en"")"),"Psychological and Emotional Interpretations")</f>
        <v>Psychological and Emotional Interpretations</v>
      </c>
      <c r="E2303" s="3" t="str">
        <f>IFERROR(__xludf.DUMMYFUNCTION("GOOGLETRANSLATE(B2303, ""nl"", ""en"")"),"A figure that seems to melt")</f>
        <v>A figure that seems to melt</v>
      </c>
    </row>
    <row r="2304" ht="15.75" customHeight="1">
      <c r="A2304" s="3" t="s">
        <v>24</v>
      </c>
      <c r="B2304" s="3" t="s">
        <v>25</v>
      </c>
      <c r="D2304" s="3" t="str">
        <f>IFERROR(__xludf.DUMMYFUNCTION("GOOGLETRANSLATE(A2304, ""nl"", ""en"")"),"Cosmic and Abstract Patterns")</f>
        <v>Cosmic and Abstract Patterns</v>
      </c>
      <c r="E2304" s="3" t="str">
        <f>IFERROR(__xludf.DUMMYFUNCTION("GOOGLETRANSLATE(B2304, ""nl"", ""en"")"),"A meteor shower dissolving into each other")</f>
        <v>A meteor shower dissolving into each other</v>
      </c>
    </row>
    <row r="2305" ht="15.75" customHeight="1">
      <c r="A2305" s="3" t="s">
        <v>7</v>
      </c>
      <c r="B2305" s="3" t="s">
        <v>8</v>
      </c>
      <c r="D2305" s="3" t="str">
        <f>IFERROR(__xludf.DUMMYFUNCTION("GOOGLETRANSLATE(A2305, ""nl"", ""en"")"),"Human Figures and Physicality")</f>
        <v>Human Figures and Physicality</v>
      </c>
      <c r="E2305" s="3" t="str">
        <f>IFERROR(__xludf.DUMMYFUNCTION("GOOGLETRANSLATE(B2305, ""nl"", ""en"")"),"Two figures mirroring each other")</f>
        <v>Two figures mirroring each other</v>
      </c>
    </row>
    <row r="2306" ht="15.75" customHeight="1">
      <c r="A2306" s="3" t="s">
        <v>24</v>
      </c>
      <c r="B2306" s="3" t="s">
        <v>25</v>
      </c>
      <c r="D2306" s="3" t="str">
        <f>IFERROR(__xludf.DUMMYFUNCTION("GOOGLETRANSLATE(A2306, ""nl"", ""en"")"),"Cosmic and Abstract Patterns")</f>
        <v>Cosmic and Abstract Patterns</v>
      </c>
      <c r="E2306" s="3" t="str">
        <f>IFERROR(__xludf.DUMMYFUNCTION("GOOGLETRANSLATE(B2306, ""nl"", ""en"")"),"A meteor shower dissolving into each other")</f>
        <v>A meteor shower dissolving into each other</v>
      </c>
    </row>
    <row r="2307" ht="15.75" customHeight="1">
      <c r="A2307" s="3" t="s">
        <v>7</v>
      </c>
      <c r="B2307" s="3" t="s">
        <v>34</v>
      </c>
      <c r="D2307" s="3" t="str">
        <f>IFERROR(__xludf.DUMMYFUNCTION("GOOGLETRANSLATE(A2307, ""nl"", ""en"")"),"Human Figures and Physicality")</f>
        <v>Human Figures and Physicality</v>
      </c>
      <c r="E2307" s="3" t="str">
        <f>IFERROR(__xludf.DUMMYFUNCTION("GOOGLETRANSLATE(B2307, ""nl"", ""en"")"),"Hands almost touching")</f>
        <v>Hands almost touching</v>
      </c>
    </row>
    <row r="2308" ht="15.75" customHeight="1">
      <c r="A2308" s="3" t="s">
        <v>9</v>
      </c>
      <c r="B2308" s="3" t="s">
        <v>10</v>
      </c>
      <c r="D2308" s="3" t="str">
        <f>IFERROR(__xludf.DUMMYFUNCTION("GOOGLETRANSLATE(A2308, ""nl"", ""en"")"),"Psychological and Emotional Interpretations")</f>
        <v>Psychological and Emotional Interpretations</v>
      </c>
      <c r="E2308" s="3" t="str">
        <f>IFERROR(__xludf.DUMMYFUNCTION("GOOGLETRANSLATE(B2308, ""nl"", ""en"")"),"A face transforming in light")</f>
        <v>A face transforming in light</v>
      </c>
    </row>
    <row r="2309" ht="15.75" customHeight="1">
      <c r="A2309" s="3" t="s">
        <v>4</v>
      </c>
      <c r="B2309" s="3" t="s">
        <v>35</v>
      </c>
      <c r="D2309" s="3" t="str">
        <f>IFERROR(__xludf.DUMMYFUNCTION("GOOGLETRANSLATE(A2309, ""nl"", ""en"")"),"Architectural and Structural Associations")</f>
        <v>Architectural and Structural Associations</v>
      </c>
      <c r="E2309" s="3" t="str">
        <f>IFERROR(__xludf.DUMMYFUNCTION("GOOGLETRANSLATE(B2309, ""nl"", ""en"")"),"A floating building without a base")</f>
        <v>A floating building without a base</v>
      </c>
    </row>
    <row r="2310" ht="15.75" customHeight="1">
      <c r="A2310" s="3" t="s">
        <v>9</v>
      </c>
      <c r="B2310" s="3" t="s">
        <v>49</v>
      </c>
      <c r="D2310" s="3" t="str">
        <f>IFERROR(__xludf.DUMMYFUNCTION("GOOGLETRANSLATE(A2310, ""nl"", ""en"")"),"Psychological and Emotional Interpretations")</f>
        <v>Psychological and Emotional Interpretations</v>
      </c>
      <c r="E2310" s="3" t="str">
        <f>IFERROR(__xludf.DUMMYFUNCTION("GOOGLETRANSLATE(B2310, ""nl"", ""en"")"),"A spiral that turns inward")</f>
        <v>A spiral that turns inward</v>
      </c>
    </row>
    <row r="2311" ht="15.75" customHeight="1">
      <c r="A2311" s="3" t="s">
        <v>4</v>
      </c>
      <c r="B2311" s="3" t="s">
        <v>44</v>
      </c>
      <c r="D2311" s="3" t="str">
        <f>IFERROR(__xludf.DUMMYFUNCTION("GOOGLETRANSLATE(A2311, ""nl"", ""en"")"),"Architectural and Structural Associations")</f>
        <v>Architectural and Structural Associations</v>
      </c>
      <c r="E2311" s="3" t="str">
        <f>IFERROR(__xludf.DUMMYFUNCTION("GOOGLETRANSLATE(B2311, ""nl"", ""en"")"),"A structure that pulsates in waves")</f>
        <v>A structure that pulsates in waves</v>
      </c>
    </row>
    <row r="2312" ht="15.75" customHeight="1">
      <c r="A2312" s="3" t="s">
        <v>9</v>
      </c>
      <c r="B2312" s="3" t="s">
        <v>42</v>
      </c>
      <c r="D2312" s="3" t="str">
        <f>IFERROR(__xludf.DUMMYFUNCTION("GOOGLETRANSLATE(A2312, ""nl"", ""en"")"),"Psychological and Emotional Interpretations")</f>
        <v>Psychological and Emotional Interpretations</v>
      </c>
      <c r="E2312" s="3" t="str">
        <f>IFERROR(__xludf.DUMMYFUNCTION("GOOGLETRANSLATE(B2312, ""nl"", ""en"")"),"A mask that slowly disappears")</f>
        <v>A mask that slowly disappears</v>
      </c>
    </row>
    <row r="2313" ht="15.75" customHeight="1">
      <c r="A2313" s="3" t="s">
        <v>7</v>
      </c>
      <c r="B2313" s="3" t="s">
        <v>41</v>
      </c>
      <c r="D2313" s="3" t="str">
        <f>IFERROR(__xludf.DUMMYFUNCTION("GOOGLETRANSLATE(A2313, ""nl"", ""en"")"),"Human Figures and Physicality")</f>
        <v>Human Figures and Physicality</v>
      </c>
      <c r="E2313" s="3" t="str">
        <f>IFERROR(__xludf.DUMMYFUNCTION("GOOGLETRANSLATE(B2313, ""nl"", ""en"")"),"A face that fades into abstraction")</f>
        <v>A face that fades into abstraction</v>
      </c>
    </row>
    <row r="2314" ht="15.75" customHeight="1">
      <c r="A2314" s="3" t="s">
        <v>15</v>
      </c>
      <c r="B2314" s="3" t="s">
        <v>45</v>
      </c>
      <c r="D2314" s="3" t="str">
        <f>IFERROR(__xludf.DUMMYFUNCTION("GOOGLETRANSLATE(A2314, ""nl"", ""en"")"),"Animals and Organic Forms")</f>
        <v>Animals and Organic Forms</v>
      </c>
      <c r="E2314" s="3" t="str">
        <f>IFERROR(__xludf.DUMMYFUNCTION("GOOGLETRANSLATE(B2314, ""nl"", ""en"")"),"A snake biting its own tail")</f>
        <v>A snake biting its own tail</v>
      </c>
    </row>
    <row r="2315" ht="15.75" customHeight="1">
      <c r="A2315" s="3" t="s">
        <v>24</v>
      </c>
      <c r="B2315" s="3" t="s">
        <v>32</v>
      </c>
      <c r="D2315" s="3" t="str">
        <f>IFERROR(__xludf.DUMMYFUNCTION("GOOGLETRANSLATE(A2315, ""nl"", ""en"")"),"Cosmic and Abstract Patterns")</f>
        <v>Cosmic and Abstract Patterns</v>
      </c>
      <c r="E2315" s="3" t="str">
        <f>IFERROR(__xludf.DUMMYFUNCTION("GOOGLETRANSLATE(B2315, ""nl"", ""en"")"),"A time loop captured in image")</f>
        <v>A time loop captured in image</v>
      </c>
    </row>
    <row r="2316" ht="15.75" customHeight="1">
      <c r="A2316" s="3" t="s">
        <v>4</v>
      </c>
      <c r="B2316" s="3" t="s">
        <v>55</v>
      </c>
      <c r="D2316" s="3" t="str">
        <f>IFERROR(__xludf.DUMMYFUNCTION("GOOGLETRANSLATE(A2316, ""nl"", ""en"")"),"Architectural and Structural Associations")</f>
        <v>Architectural and Structural Associations</v>
      </c>
      <c r="E2316" s="3" t="str">
        <f>IFERROR(__xludf.DUMMYFUNCTION("GOOGLETRANSLATE(B2316, ""nl"", ""en"")"),"A prism that splits light into colors")</f>
        <v>A prism that splits light into colors</v>
      </c>
    </row>
    <row r="2317" ht="15.75" customHeight="1">
      <c r="A2317" s="3" t="s">
        <v>24</v>
      </c>
      <c r="B2317" s="3" t="s">
        <v>31</v>
      </c>
      <c r="D2317" s="3" t="str">
        <f>IFERROR(__xludf.DUMMYFUNCTION("GOOGLETRANSLATE(A2317, ""nl"", ""en"")"),"Cosmic and Abstract Patterns")</f>
        <v>Cosmic and Abstract Patterns</v>
      </c>
      <c r="E2317" s="3" t="str">
        <f>IFERROR(__xludf.DUMMYFUNCTION("GOOGLETRANSLATE(B2317, ""nl"", ""en"")"),"A planet with unusual rings")</f>
        <v>A planet with unusual rings</v>
      </c>
    </row>
    <row r="2318" ht="15.75" customHeight="1">
      <c r="A2318" s="3" t="s">
        <v>15</v>
      </c>
      <c r="B2318" s="3" t="s">
        <v>52</v>
      </c>
      <c r="D2318" s="3" t="str">
        <f>IFERROR(__xludf.DUMMYFUNCTION("GOOGLETRANSLATE(A2318, ""nl"", ""en"")"),"Animals and Organic Forms")</f>
        <v>Animals and Organic Forms</v>
      </c>
      <c r="E2318" s="3" t="str">
        <f>IFERROR(__xludf.DUMMYFUNCTION("GOOGLETRANSLATE(B2318, ""nl"", ""en"")"),"A mask made of leaves")</f>
        <v>A mask made of leaves</v>
      </c>
    </row>
    <row r="2319" ht="15.75" customHeight="1">
      <c r="A2319" s="3" t="s">
        <v>12</v>
      </c>
      <c r="B2319" s="3" t="s">
        <v>36</v>
      </c>
      <c r="D2319" s="3" t="str">
        <f>IFERROR(__xludf.DUMMYFUNCTION("GOOGLETRANSLATE(A2319, ""nl"", ""en"")"),"Nature and Elements")</f>
        <v>Nature and Elements</v>
      </c>
      <c r="E2319" s="3" t="str">
        <f>IFERROR(__xludf.DUMMYFUNCTION("GOOGLETRANSLATE(B2319, ""nl"", ""en"")"),"A river delta from a bird's-eye view")</f>
        <v>A river delta from a bird's-eye view</v>
      </c>
    </row>
    <row r="2320" ht="15.75" customHeight="1">
      <c r="A2320" s="3" t="s">
        <v>24</v>
      </c>
      <c r="B2320" s="3" t="s">
        <v>33</v>
      </c>
      <c r="D2320" s="3" t="str">
        <f>IFERROR(__xludf.DUMMYFUNCTION("GOOGLETRANSLATE(A2320, ""nl"", ""en"")"),"Cosmic and Abstract Patterns")</f>
        <v>Cosmic and Abstract Patterns</v>
      </c>
      <c r="E2320" s="3" t="str">
        <f>IFERROR(__xludf.DUMMYFUNCTION("GOOGLETRANSLATE(B2320, ""nl"", ""en"")"),"An eye that repeats itself in endless patterns")</f>
        <v>An eye that repeats itself in endless patterns</v>
      </c>
    </row>
    <row r="2321" ht="15.75" customHeight="1">
      <c r="A2321" s="3" t="s">
        <v>24</v>
      </c>
      <c r="B2321" s="3" t="s">
        <v>29</v>
      </c>
      <c r="D2321" s="3" t="str">
        <f>IFERROR(__xludf.DUMMYFUNCTION("GOOGLETRANSLATE(A2321, ""nl"", ""en"")"),"Cosmic and Abstract Patterns")</f>
        <v>Cosmic and Abstract Patterns</v>
      </c>
      <c r="E2321" s="3" t="str">
        <f>IFERROR(__xludf.DUMMYFUNCTION("GOOGLETRANSLATE(B2321, ""nl"", ""en"")"),"A galaxy unfolding")</f>
        <v>A galaxy unfolding</v>
      </c>
    </row>
    <row r="2322" ht="15.75" customHeight="1">
      <c r="A2322" s="3" t="s">
        <v>7</v>
      </c>
      <c r="B2322" s="3" t="s">
        <v>41</v>
      </c>
      <c r="D2322" s="3" t="str">
        <f>IFERROR(__xludf.DUMMYFUNCTION("GOOGLETRANSLATE(A2322, ""nl"", ""en"")"),"Human Figures and Physicality")</f>
        <v>Human Figures and Physicality</v>
      </c>
      <c r="E2322" s="3" t="str">
        <f>IFERROR(__xludf.DUMMYFUNCTION("GOOGLETRANSLATE(B2322, ""nl"", ""en"")"),"A face that fades into abstraction")</f>
        <v>A face that fades into abstraction</v>
      </c>
    </row>
    <row r="2323" ht="15.75" customHeight="1">
      <c r="A2323" s="3" t="s">
        <v>7</v>
      </c>
      <c r="B2323" s="3" t="s">
        <v>40</v>
      </c>
      <c r="D2323" s="3" t="str">
        <f>IFERROR(__xludf.DUMMYFUNCTION("GOOGLETRANSLATE(A2323, ""nl"", ""en"")"),"Human Figures and Physicality")</f>
        <v>Human Figures and Physicality</v>
      </c>
      <c r="E2323" s="3" t="str">
        <f>IFERROR(__xludf.DUMMYFUNCTION("GOOGLETRANSLATE(B2323, ""nl"", ""en"")"),"A figure who is withdrawn into himself")</f>
        <v>A figure who is withdrawn into himself</v>
      </c>
    </row>
    <row r="2324" ht="15.75" customHeight="1">
      <c r="A2324" s="3" t="s">
        <v>15</v>
      </c>
      <c r="B2324" s="3" t="s">
        <v>46</v>
      </c>
      <c r="D2324" s="3" t="str">
        <f>IFERROR(__xludf.DUMMYFUNCTION("GOOGLETRANSLATE(A2324, ""nl"", ""en"")"),"Animals and Organic Forms")</f>
        <v>Animals and Organic Forms</v>
      </c>
      <c r="E2324" s="3" t="str">
        <f>IFERROR(__xludf.DUMMYFUNCTION("GOOGLETRANSLATE(B2324, ""nl"", ""en"")"),"A flock of fish moving as one")</f>
        <v>A flock of fish moving as one</v>
      </c>
    </row>
    <row r="2325" ht="15.75" customHeight="1">
      <c r="A2325" s="3" t="s">
        <v>4</v>
      </c>
      <c r="B2325" s="3" t="s">
        <v>44</v>
      </c>
      <c r="D2325" s="3" t="str">
        <f>IFERROR(__xludf.DUMMYFUNCTION("GOOGLETRANSLATE(A2325, ""nl"", ""en"")"),"Architectural and Structural Associations")</f>
        <v>Architectural and Structural Associations</v>
      </c>
      <c r="E2325" s="3" t="str">
        <f>IFERROR(__xludf.DUMMYFUNCTION("GOOGLETRANSLATE(B2325, ""nl"", ""en"")"),"A structure that pulsates in waves")</f>
        <v>A structure that pulsates in waves</v>
      </c>
    </row>
    <row r="2326" ht="15.75" customHeight="1">
      <c r="A2326" s="3" t="s">
        <v>4</v>
      </c>
      <c r="B2326" s="3" t="s">
        <v>43</v>
      </c>
      <c r="D2326" s="3" t="str">
        <f>IFERROR(__xludf.DUMMYFUNCTION("GOOGLETRANSLATE(A2326, ""nl"", ""en"")"),"Architectural and Structural Associations")</f>
        <v>Architectural and Structural Associations</v>
      </c>
      <c r="E2326" s="3" t="str">
        <f>IFERROR(__xludf.DUMMYFUNCTION("GOOGLETRANSLATE(B2326, ""nl"", ""en"")"),"A network of tunnels and passages")</f>
        <v>A network of tunnels and passages</v>
      </c>
    </row>
    <row r="2327" ht="15.75" customHeight="1">
      <c r="A2327" s="3" t="s">
        <v>12</v>
      </c>
      <c r="B2327" s="3" t="s">
        <v>13</v>
      </c>
      <c r="D2327" s="3" t="str">
        <f>IFERROR(__xludf.DUMMYFUNCTION("GOOGLETRANSLATE(A2327, ""nl"", ""en"")"),"Nature and Elements")</f>
        <v>Nature and Elements</v>
      </c>
      <c r="E2327" s="3" t="str">
        <f>IFERROR(__xludf.DUMMYFUNCTION("GOOGLETRANSLATE(B2327, ""nl"", ""en"")"),"A lightning strike in slow motion")</f>
        <v>A lightning strike in slow motion</v>
      </c>
    </row>
    <row r="2328" ht="15.75" customHeight="1">
      <c r="A2328" s="3" t="s">
        <v>7</v>
      </c>
      <c r="B2328" s="3" t="s">
        <v>28</v>
      </c>
      <c r="D2328" s="3" t="str">
        <f>IFERROR(__xludf.DUMMYFUNCTION("GOOGLETRANSLATE(A2328, ""nl"", ""en"")"),"Human Figures and Physicality")</f>
        <v>Human Figures and Physicality</v>
      </c>
      <c r="E2328" s="3" t="str">
        <f>IFERROR(__xludf.DUMMYFUNCTION("GOOGLETRANSLATE(B2328, ""nl"", ""en"")"),"A dancing silhouette")</f>
        <v>A dancing silhouette</v>
      </c>
    </row>
    <row r="2329" ht="15.75" customHeight="1">
      <c r="A2329" s="3" t="s">
        <v>12</v>
      </c>
      <c r="B2329" s="3" t="s">
        <v>13</v>
      </c>
      <c r="D2329" s="3" t="str">
        <f>IFERROR(__xludf.DUMMYFUNCTION("GOOGLETRANSLATE(A2329, ""nl"", ""en"")"),"Nature and Elements")</f>
        <v>Nature and Elements</v>
      </c>
      <c r="E2329" s="3" t="str">
        <f>IFERROR(__xludf.DUMMYFUNCTION("GOOGLETRANSLATE(B2329, ""nl"", ""en"")"),"A lightning strike in slow motion")</f>
        <v>A lightning strike in slow motion</v>
      </c>
    </row>
    <row r="2330" ht="15.75" customHeight="1">
      <c r="A2330" s="3" t="s">
        <v>24</v>
      </c>
      <c r="B2330" s="3" t="s">
        <v>27</v>
      </c>
      <c r="D2330" s="3" t="str">
        <f>IFERROR(__xludf.DUMMYFUNCTION("GOOGLETRANSLATE(A2330, ""nl"", ""en"")"),"Cosmic and Abstract Patterns")</f>
        <v>Cosmic and Abstract Patterns</v>
      </c>
      <c r="E2330" s="3" t="str">
        <f>IFERROR(__xludf.DUMMYFUNCTION("GOOGLETRANSLATE(B2330, ""nl"", ""en"")"),"A pair of black holes in dance")</f>
        <v>A pair of black holes in dance</v>
      </c>
    </row>
    <row r="2331" ht="15.75" customHeight="1">
      <c r="A2331" s="3" t="s">
        <v>12</v>
      </c>
      <c r="B2331" s="3" t="s">
        <v>47</v>
      </c>
      <c r="D2331" s="3" t="str">
        <f>IFERROR(__xludf.DUMMYFUNCTION("GOOGLETRANSLATE(A2331, ""nl"", ""en"")"),"Nature and Elements")</f>
        <v>Nature and Elements</v>
      </c>
      <c r="E2331" s="3" t="str">
        <f>IFERROR(__xludf.DUMMYFUNCTION("GOOGLETRANSLATE(B2331, ""nl"", ""en"")"),"A desert landscape that slowly changes")</f>
        <v>A desert landscape that slowly changes</v>
      </c>
    </row>
    <row r="2332" ht="15.75" customHeight="1">
      <c r="A2332" s="3" t="s">
        <v>24</v>
      </c>
      <c r="B2332" s="3" t="s">
        <v>48</v>
      </c>
      <c r="D2332" s="3" t="str">
        <f>IFERROR(__xludf.DUMMYFUNCTION("GOOGLETRANSLATE(A2332, ""nl"", ""en"")"),"Cosmic and Abstract Patterns")</f>
        <v>Cosmic and Abstract Patterns</v>
      </c>
      <c r="E2332" s="3" t="str">
        <f>IFERROR(__xludf.DUMMYFUNCTION("GOOGLETRANSLATE(B2332, ""nl"", ""en"")"),"A fractal that repeats itself")</f>
        <v>A fractal that repeats itself</v>
      </c>
    </row>
    <row r="2333" ht="15.75" customHeight="1">
      <c r="A2333" s="3" t="s">
        <v>7</v>
      </c>
      <c r="B2333" s="3" t="s">
        <v>39</v>
      </c>
      <c r="D2333" s="3" t="str">
        <f>IFERROR(__xludf.DUMMYFUNCTION("GOOGLETRANSLATE(A2333, ""nl"", ""en"")"),"Human Figures and Physicality")</f>
        <v>Human Figures and Physicality</v>
      </c>
      <c r="E2333" s="3" t="str">
        <f>IFERROR(__xludf.DUMMYFUNCTION("GOOGLETRANSLATE(B2333, ""nl"", ""en"")"),"A torso without a head")</f>
        <v>A torso without a head</v>
      </c>
    </row>
    <row r="2334" ht="15.75" customHeight="1">
      <c r="A2334" s="3" t="s">
        <v>12</v>
      </c>
      <c r="B2334" s="3" t="s">
        <v>51</v>
      </c>
      <c r="D2334" s="3" t="str">
        <f>IFERROR(__xludf.DUMMYFUNCTION("GOOGLETRANSLATE(A2334, ""nl"", ""en"")"),"Nature and Elements")</f>
        <v>Nature and Elements</v>
      </c>
      <c r="E2334" s="3" t="str">
        <f>IFERROR(__xludf.DUMMYFUNCTION("GOOGLETRANSLATE(B2334, ""nl"", ""en"")"),"An evaporating puddle of water")</f>
        <v>An evaporating puddle of water</v>
      </c>
    </row>
    <row r="2335" ht="15.75" customHeight="1">
      <c r="A2335" s="3" t="s">
        <v>24</v>
      </c>
      <c r="B2335" s="3" t="s">
        <v>25</v>
      </c>
      <c r="D2335" s="3" t="str">
        <f>IFERROR(__xludf.DUMMYFUNCTION("GOOGLETRANSLATE(A2335, ""nl"", ""en"")"),"Cosmic and Abstract Patterns")</f>
        <v>Cosmic and Abstract Patterns</v>
      </c>
      <c r="E2335" s="3" t="str">
        <f>IFERROR(__xludf.DUMMYFUNCTION("GOOGLETRANSLATE(B2335, ""nl"", ""en"")"),"A meteor shower dissolving into each other")</f>
        <v>A meteor shower dissolving into each other</v>
      </c>
    </row>
    <row r="2336" ht="15.75" customHeight="1">
      <c r="A2336" s="3" t="s">
        <v>12</v>
      </c>
      <c r="B2336" s="3" t="s">
        <v>19</v>
      </c>
      <c r="D2336" s="3" t="str">
        <f>IFERROR(__xludf.DUMMYFUNCTION("GOOGLETRANSLATE(A2336, ""nl"", ""en"")"),"Nature and Elements")</f>
        <v>Nature and Elements</v>
      </c>
      <c r="E2336" s="3" t="str">
        <f>IFERROR(__xludf.DUMMYFUNCTION("GOOGLETRANSLATE(B2336, ""nl"", ""en"")"),"A mountain range that seems to breathe")</f>
        <v>A mountain range that seems to breathe</v>
      </c>
    </row>
    <row r="2337" ht="15.75" customHeight="1">
      <c r="A2337" s="3" t="s">
        <v>7</v>
      </c>
      <c r="B2337" s="3" t="s">
        <v>39</v>
      </c>
      <c r="D2337" s="3" t="str">
        <f>IFERROR(__xludf.DUMMYFUNCTION("GOOGLETRANSLATE(A2337, ""nl"", ""en"")"),"Human Figures and Physicality")</f>
        <v>Human Figures and Physicality</v>
      </c>
      <c r="E2337" s="3" t="str">
        <f>IFERROR(__xludf.DUMMYFUNCTION("GOOGLETRANSLATE(B2337, ""nl"", ""en"")"),"A torso without a head")</f>
        <v>A torso without a head</v>
      </c>
    </row>
    <row r="2338" ht="15.75" customHeight="1">
      <c r="A2338" s="3" t="s">
        <v>24</v>
      </c>
      <c r="B2338" s="3" t="s">
        <v>27</v>
      </c>
      <c r="D2338" s="3" t="str">
        <f>IFERROR(__xludf.DUMMYFUNCTION("GOOGLETRANSLATE(A2338, ""nl"", ""en"")"),"Cosmic and Abstract Patterns")</f>
        <v>Cosmic and Abstract Patterns</v>
      </c>
      <c r="E2338" s="3" t="str">
        <f>IFERROR(__xludf.DUMMYFUNCTION("GOOGLETRANSLATE(B2338, ""nl"", ""en"")"),"A pair of black holes in dance")</f>
        <v>A pair of black holes in dance</v>
      </c>
    </row>
    <row r="2339" ht="15.75" customHeight="1">
      <c r="A2339" s="3" t="s">
        <v>9</v>
      </c>
      <c r="B2339" s="3" t="s">
        <v>37</v>
      </c>
      <c r="D2339" s="3" t="str">
        <f>IFERROR(__xludf.DUMMYFUNCTION("GOOGLETRANSLATE(A2339, ""nl"", ""en"")"),"Psychological and Emotional Interpretations")</f>
        <v>Psychological and Emotional Interpretations</v>
      </c>
      <c r="E2339" s="3" t="str">
        <f>IFERROR(__xludf.DUMMYFUNCTION("GOOGLETRANSLATE(B2339, ""nl"", ""en"")"),"A figure looking through itself")</f>
        <v>A figure looking through itself</v>
      </c>
    </row>
    <row r="2340" ht="15.75" customHeight="1">
      <c r="A2340" s="3" t="s">
        <v>9</v>
      </c>
      <c r="B2340" s="3" t="s">
        <v>17</v>
      </c>
      <c r="D2340" s="3" t="str">
        <f>IFERROR(__xludf.DUMMYFUNCTION("GOOGLETRANSLATE(A2340, ""nl"", ""en"")"),"Psychological and Emotional Interpretations")</f>
        <v>Psychological and Emotional Interpretations</v>
      </c>
      <c r="E2340" s="3" t="str">
        <f>IFERROR(__xludf.DUMMYFUNCTION("GOOGLETRANSLATE(B2340, ""nl"", ""en"")"),"A figure that seems to melt")</f>
        <v>A figure that seems to melt</v>
      </c>
    </row>
    <row r="2341" ht="15.75" customHeight="1">
      <c r="A2341" s="3" t="s">
        <v>12</v>
      </c>
      <c r="B2341" s="3" t="s">
        <v>30</v>
      </c>
      <c r="D2341" s="3" t="str">
        <f>IFERROR(__xludf.DUMMYFUNCTION("GOOGLETRANSLATE(A2341, ""nl"", ""en"")"),"Nature and Elements")</f>
        <v>Nature and Elements</v>
      </c>
      <c r="E2341" s="3" t="str">
        <f>IFERROR(__xludf.DUMMYFUNCTION("GOOGLETRANSLATE(B2341, ""nl"", ""en"")"),"Waves breaking in fractal patterns")</f>
        <v>Waves breaking in fractal patterns</v>
      </c>
    </row>
    <row r="2342" ht="15.75" customHeight="1">
      <c r="A2342" s="3" t="s">
        <v>4</v>
      </c>
      <c r="B2342" s="3" t="s">
        <v>44</v>
      </c>
      <c r="D2342" s="3" t="str">
        <f>IFERROR(__xludf.DUMMYFUNCTION("GOOGLETRANSLATE(A2342, ""nl"", ""en"")"),"Architectural and Structural Associations")</f>
        <v>Architectural and Structural Associations</v>
      </c>
      <c r="E2342" s="3" t="str">
        <f>IFERROR(__xludf.DUMMYFUNCTION("GOOGLETRANSLATE(B2342, ""nl"", ""en"")"),"A structure that pulsates in waves")</f>
        <v>A structure that pulsates in waves</v>
      </c>
    </row>
    <row r="2343" ht="15.75" customHeight="1">
      <c r="A2343" s="3" t="s">
        <v>12</v>
      </c>
      <c r="B2343" s="3" t="s">
        <v>47</v>
      </c>
      <c r="D2343" s="3" t="str">
        <f>IFERROR(__xludf.DUMMYFUNCTION("GOOGLETRANSLATE(A2343, ""nl"", ""en"")"),"Nature and Elements")</f>
        <v>Nature and Elements</v>
      </c>
      <c r="E2343" s="3" t="str">
        <f>IFERROR(__xludf.DUMMYFUNCTION("GOOGLETRANSLATE(B2343, ""nl"", ""en"")"),"A desert landscape that slowly changes")</f>
        <v>A desert landscape that slowly changes</v>
      </c>
    </row>
    <row r="2344" ht="15.75" customHeight="1">
      <c r="A2344" s="3" t="s">
        <v>4</v>
      </c>
      <c r="B2344" s="3" t="s">
        <v>43</v>
      </c>
      <c r="D2344" s="3" t="str">
        <f>IFERROR(__xludf.DUMMYFUNCTION("GOOGLETRANSLATE(A2344, ""nl"", ""en"")"),"Architectural and Structural Associations")</f>
        <v>Architectural and Structural Associations</v>
      </c>
      <c r="E2344" s="3" t="str">
        <f>IFERROR(__xludf.DUMMYFUNCTION("GOOGLETRANSLATE(B2344, ""nl"", ""en"")"),"A network of tunnels and passages")</f>
        <v>A network of tunnels and passages</v>
      </c>
    </row>
    <row r="2345" ht="15.75" customHeight="1">
      <c r="A2345" s="3" t="s">
        <v>4</v>
      </c>
      <c r="B2345" s="3" t="s">
        <v>35</v>
      </c>
      <c r="D2345" s="3" t="str">
        <f>IFERROR(__xludf.DUMMYFUNCTION("GOOGLETRANSLATE(A2345, ""nl"", ""en"")"),"Architectural and Structural Associations")</f>
        <v>Architectural and Structural Associations</v>
      </c>
      <c r="E2345" s="3" t="str">
        <f>IFERROR(__xludf.DUMMYFUNCTION("GOOGLETRANSLATE(B2345, ""nl"", ""en"")"),"A floating building without a base")</f>
        <v>A floating building without a base</v>
      </c>
    </row>
    <row r="2346" ht="15.75" customHeight="1">
      <c r="A2346" s="3" t="s">
        <v>12</v>
      </c>
      <c r="B2346" s="3" t="s">
        <v>51</v>
      </c>
      <c r="D2346" s="3" t="str">
        <f>IFERROR(__xludf.DUMMYFUNCTION("GOOGLETRANSLATE(A2346, ""nl"", ""en"")"),"Nature and Elements")</f>
        <v>Nature and Elements</v>
      </c>
      <c r="E2346" s="3" t="str">
        <f>IFERROR(__xludf.DUMMYFUNCTION("GOOGLETRANSLATE(B2346, ""nl"", ""en"")"),"An evaporating puddle of water")</f>
        <v>An evaporating puddle of water</v>
      </c>
    </row>
    <row r="2347" ht="15.75" customHeight="1">
      <c r="A2347" s="3" t="s">
        <v>12</v>
      </c>
      <c r="B2347" s="3" t="s">
        <v>19</v>
      </c>
      <c r="D2347" s="3" t="str">
        <f>IFERROR(__xludf.DUMMYFUNCTION("GOOGLETRANSLATE(A2347, ""nl"", ""en"")"),"Nature and Elements")</f>
        <v>Nature and Elements</v>
      </c>
      <c r="E2347" s="3" t="str">
        <f>IFERROR(__xludf.DUMMYFUNCTION("GOOGLETRANSLATE(B2347, ""nl"", ""en"")"),"A mountain range that seems to breathe")</f>
        <v>A mountain range that seems to breathe</v>
      </c>
    </row>
    <row r="2348" ht="15.75" customHeight="1">
      <c r="A2348" s="3" t="s">
        <v>24</v>
      </c>
      <c r="B2348" s="3" t="s">
        <v>29</v>
      </c>
      <c r="D2348" s="3" t="str">
        <f>IFERROR(__xludf.DUMMYFUNCTION("GOOGLETRANSLATE(A2348, ""nl"", ""en"")"),"Cosmic and Abstract Patterns")</f>
        <v>Cosmic and Abstract Patterns</v>
      </c>
      <c r="E2348" s="3" t="str">
        <f>IFERROR(__xludf.DUMMYFUNCTION("GOOGLETRANSLATE(B2348, ""nl"", ""en"")"),"A galaxy unfolding")</f>
        <v>A galaxy unfolding</v>
      </c>
    </row>
    <row r="2349" ht="15.75" customHeight="1">
      <c r="A2349" s="3" t="s">
        <v>9</v>
      </c>
      <c r="B2349" s="3" t="s">
        <v>11</v>
      </c>
      <c r="D2349" s="3" t="str">
        <f>IFERROR(__xludf.DUMMYFUNCTION("GOOGLETRANSLATE(A2349, ""nl"", ""en"")"),"Psychological and Emotional Interpretations")</f>
        <v>Psychological and Emotional Interpretations</v>
      </c>
      <c r="E2349" s="3" t="str">
        <f>IFERROR(__xludf.DUMMYFUNCTION("GOOGLETRANSLATE(B2349, ""nl"", ""en"")"),"An emotion captured in abstraction")</f>
        <v>An emotion captured in abstraction</v>
      </c>
    </row>
    <row r="2350" ht="15.75" customHeight="1">
      <c r="A2350" s="3" t="s">
        <v>9</v>
      </c>
      <c r="B2350" s="3" t="s">
        <v>10</v>
      </c>
      <c r="D2350" s="3" t="str">
        <f>IFERROR(__xludf.DUMMYFUNCTION("GOOGLETRANSLATE(A2350, ""nl"", ""en"")"),"Psychological and Emotional Interpretations")</f>
        <v>Psychological and Emotional Interpretations</v>
      </c>
      <c r="E2350" s="3" t="str">
        <f>IFERROR(__xludf.DUMMYFUNCTION("GOOGLETRANSLATE(B2350, ""nl"", ""en"")"),"A face transforming in light")</f>
        <v>A face transforming in light</v>
      </c>
    </row>
    <row r="2351" ht="15.75" customHeight="1">
      <c r="A2351" s="3" t="s">
        <v>4</v>
      </c>
      <c r="B2351" s="3" t="s">
        <v>44</v>
      </c>
      <c r="D2351" s="3" t="str">
        <f>IFERROR(__xludf.DUMMYFUNCTION("GOOGLETRANSLATE(A2351, ""nl"", ""en"")"),"Architectural and Structural Associations")</f>
        <v>Architectural and Structural Associations</v>
      </c>
      <c r="E2351" s="3" t="str">
        <f>IFERROR(__xludf.DUMMYFUNCTION("GOOGLETRANSLATE(B2351, ""nl"", ""en"")"),"A structure that pulsates in waves")</f>
        <v>A structure that pulsates in waves</v>
      </c>
    </row>
    <row r="2352" ht="15.75" customHeight="1">
      <c r="A2352" s="3" t="s">
        <v>9</v>
      </c>
      <c r="B2352" s="3" t="s">
        <v>37</v>
      </c>
      <c r="D2352" s="3" t="str">
        <f>IFERROR(__xludf.DUMMYFUNCTION("GOOGLETRANSLATE(A2352, ""nl"", ""en"")"),"Psychological and Emotional Interpretations")</f>
        <v>Psychological and Emotional Interpretations</v>
      </c>
      <c r="E2352" s="3" t="str">
        <f>IFERROR(__xludf.DUMMYFUNCTION("GOOGLETRANSLATE(B2352, ""nl"", ""en"")"),"A figure looking through itself")</f>
        <v>A figure looking through itself</v>
      </c>
    </row>
    <row r="2353" ht="15.75" customHeight="1">
      <c r="A2353" s="3" t="s">
        <v>15</v>
      </c>
      <c r="B2353" s="3" t="s">
        <v>16</v>
      </c>
      <c r="D2353" s="3" t="str">
        <f>IFERROR(__xludf.DUMMYFUNCTION("GOOGLETRANSLATE(A2353, ""nl"", ""en"")"),"Animals and Organic Forms")</f>
        <v>Animals and Organic Forms</v>
      </c>
      <c r="E2353" s="3" t="str">
        <f>IFERROR(__xludf.DUMMYFUNCTION("GOOGLETRANSLATE(B2353, ""nl"", ""en"")"),"A butterfly in transformation")</f>
        <v>A butterfly in transformation</v>
      </c>
    </row>
    <row r="2354" ht="15.75" customHeight="1">
      <c r="A2354" s="3" t="s">
        <v>4</v>
      </c>
      <c r="B2354" s="3" t="s">
        <v>20</v>
      </c>
      <c r="D2354" s="3" t="str">
        <f>IFERROR(__xludf.DUMMYFUNCTION("GOOGLETRANSLATE(A2354, ""nl"", ""en"")"),"Architectural and Structural Associations")</f>
        <v>Architectural and Structural Associations</v>
      </c>
      <c r="E2354" s="3" t="str">
        <f>IFERROR(__xludf.DUMMYFUNCTION("GOOGLETRANSLATE(B2354, ""nl"", ""en"")"),"A tower that grows by itself")</f>
        <v>A tower that grows by itself</v>
      </c>
    </row>
    <row r="2355" ht="15.75" customHeight="1">
      <c r="A2355" s="3" t="s">
        <v>24</v>
      </c>
      <c r="B2355" s="3" t="s">
        <v>32</v>
      </c>
      <c r="D2355" s="3" t="str">
        <f>IFERROR(__xludf.DUMMYFUNCTION("GOOGLETRANSLATE(A2355, ""nl"", ""en"")"),"Cosmic and Abstract Patterns")</f>
        <v>Cosmic and Abstract Patterns</v>
      </c>
      <c r="E2355" s="3" t="str">
        <f>IFERROR(__xludf.DUMMYFUNCTION("GOOGLETRANSLATE(B2355, ""nl"", ""en"")"),"A time loop captured in image")</f>
        <v>A time loop captured in image</v>
      </c>
    </row>
    <row r="2356" ht="15.75" customHeight="1">
      <c r="A2356" s="3" t="s">
        <v>12</v>
      </c>
      <c r="B2356" s="3" t="s">
        <v>36</v>
      </c>
      <c r="D2356" s="3" t="str">
        <f>IFERROR(__xludf.DUMMYFUNCTION("GOOGLETRANSLATE(A2356, ""nl"", ""en"")"),"Nature and Elements")</f>
        <v>Nature and Elements</v>
      </c>
      <c r="E2356" s="3" t="str">
        <f>IFERROR(__xludf.DUMMYFUNCTION("GOOGLETRANSLATE(B2356, ""nl"", ""en"")"),"A river delta from a bird's-eye view")</f>
        <v>A river delta from a bird's-eye view</v>
      </c>
    </row>
    <row r="2357" ht="15.75" customHeight="1">
      <c r="A2357" s="3" t="s">
        <v>24</v>
      </c>
      <c r="B2357" s="3" t="s">
        <v>27</v>
      </c>
      <c r="D2357" s="3" t="str">
        <f>IFERROR(__xludf.DUMMYFUNCTION("GOOGLETRANSLATE(A2357, ""nl"", ""en"")"),"Cosmic and Abstract Patterns")</f>
        <v>Cosmic and Abstract Patterns</v>
      </c>
      <c r="E2357" s="3" t="str">
        <f>IFERROR(__xludf.DUMMYFUNCTION("GOOGLETRANSLATE(B2357, ""nl"", ""en"")"),"A pair of black holes in dance")</f>
        <v>A pair of black holes in dance</v>
      </c>
    </row>
    <row r="2358" ht="15.75" customHeight="1">
      <c r="A2358" s="3" t="s">
        <v>24</v>
      </c>
      <c r="B2358" s="3" t="s">
        <v>31</v>
      </c>
      <c r="D2358" s="3" t="str">
        <f>IFERROR(__xludf.DUMMYFUNCTION("GOOGLETRANSLATE(A2358, ""nl"", ""en"")"),"Cosmic and Abstract Patterns")</f>
        <v>Cosmic and Abstract Patterns</v>
      </c>
      <c r="E2358" s="3" t="str">
        <f>IFERROR(__xludf.DUMMYFUNCTION("GOOGLETRANSLATE(B2358, ""nl"", ""en"")"),"A planet with unusual rings")</f>
        <v>A planet with unusual rings</v>
      </c>
    </row>
    <row r="2359" ht="15.75" customHeight="1">
      <c r="A2359" s="3" t="s">
        <v>9</v>
      </c>
      <c r="B2359" s="3" t="s">
        <v>10</v>
      </c>
      <c r="D2359" s="3" t="str">
        <f>IFERROR(__xludf.DUMMYFUNCTION("GOOGLETRANSLATE(A2359, ""nl"", ""en"")"),"Psychological and Emotional Interpretations")</f>
        <v>Psychological and Emotional Interpretations</v>
      </c>
      <c r="E2359" s="3" t="str">
        <f>IFERROR(__xludf.DUMMYFUNCTION("GOOGLETRANSLATE(B2359, ""nl"", ""en"")"),"A face transforming in light")</f>
        <v>A face transforming in light</v>
      </c>
    </row>
    <row r="2360" ht="15.75" customHeight="1">
      <c r="A2360" s="3" t="s">
        <v>12</v>
      </c>
      <c r="B2360" s="3" t="s">
        <v>51</v>
      </c>
      <c r="D2360" s="3" t="str">
        <f>IFERROR(__xludf.DUMMYFUNCTION("GOOGLETRANSLATE(A2360, ""nl"", ""en"")"),"Nature and Elements")</f>
        <v>Nature and Elements</v>
      </c>
      <c r="E2360" s="3" t="str">
        <f>IFERROR(__xludf.DUMMYFUNCTION("GOOGLETRANSLATE(B2360, ""nl"", ""en"")"),"An evaporating puddle of water")</f>
        <v>An evaporating puddle of water</v>
      </c>
    </row>
    <row r="2361" ht="15.75" customHeight="1">
      <c r="A2361" s="3" t="s">
        <v>9</v>
      </c>
      <c r="B2361" s="3" t="s">
        <v>57</v>
      </c>
      <c r="D2361" s="3" t="str">
        <f>IFERROR(__xludf.DUMMYFUNCTION("GOOGLETRANSLATE(A2361, ""nl"", ""en"")"),"Psychological and Emotional Interpretations")</f>
        <v>Psychological and Emotional Interpretations</v>
      </c>
      <c r="E2361" s="3" t="str">
        <f>IFERROR(__xludf.DUMMYFUNCTION("GOOGLETRANSLATE(B2361, ""nl"", ""en"")"),"An explosion of colours and feelings")</f>
        <v>An explosion of colours and feelings</v>
      </c>
    </row>
    <row r="2362" ht="15.75" customHeight="1">
      <c r="A2362" s="3" t="s">
        <v>9</v>
      </c>
      <c r="B2362" s="3" t="s">
        <v>10</v>
      </c>
      <c r="D2362" s="3" t="str">
        <f>IFERROR(__xludf.DUMMYFUNCTION("GOOGLETRANSLATE(A2362, ""nl"", ""en"")"),"Psychological and Emotional Interpretations")</f>
        <v>Psychological and Emotional Interpretations</v>
      </c>
      <c r="E2362" s="3" t="str">
        <f>IFERROR(__xludf.DUMMYFUNCTION("GOOGLETRANSLATE(B2362, ""nl"", ""en"")"),"A face transforming in light")</f>
        <v>A face transforming in light</v>
      </c>
    </row>
    <row r="2363" ht="15.75" customHeight="1">
      <c r="A2363" s="3" t="s">
        <v>9</v>
      </c>
      <c r="B2363" s="3" t="s">
        <v>42</v>
      </c>
      <c r="D2363" s="3" t="str">
        <f>IFERROR(__xludf.DUMMYFUNCTION("GOOGLETRANSLATE(A2363, ""nl"", ""en"")"),"Psychological and Emotional Interpretations")</f>
        <v>Psychological and Emotional Interpretations</v>
      </c>
      <c r="E2363" s="3" t="str">
        <f>IFERROR(__xludf.DUMMYFUNCTION("GOOGLETRANSLATE(B2363, ""nl"", ""en"")"),"A mask that slowly disappears")</f>
        <v>A mask that slowly disappears</v>
      </c>
    </row>
    <row r="2364" ht="15.75" customHeight="1">
      <c r="A2364" s="3" t="s">
        <v>4</v>
      </c>
      <c r="B2364" s="3" t="s">
        <v>6</v>
      </c>
      <c r="D2364" s="3" t="str">
        <f>IFERROR(__xludf.DUMMYFUNCTION("GOOGLETRANSLATE(A2364, ""nl"", ""en"")"),"Architectural and Structural Associations")</f>
        <v>Architectural and Structural Associations</v>
      </c>
      <c r="E2364" s="3" t="str">
        <f>IFERROR(__xludf.DUMMYFUNCTION("GOOGLETRANSLATE(B2364, ""nl"", ""en"")"),"An endless labyrinth")</f>
        <v>An endless labyrinth</v>
      </c>
    </row>
    <row r="2365" ht="15.75" customHeight="1">
      <c r="A2365" s="3" t="s">
        <v>9</v>
      </c>
      <c r="B2365" s="3" t="s">
        <v>17</v>
      </c>
      <c r="D2365" s="3" t="str">
        <f>IFERROR(__xludf.DUMMYFUNCTION("GOOGLETRANSLATE(A2365, ""nl"", ""en"")"),"Psychological and Emotional Interpretations")</f>
        <v>Psychological and Emotional Interpretations</v>
      </c>
      <c r="E2365" s="3" t="str">
        <f>IFERROR(__xludf.DUMMYFUNCTION("GOOGLETRANSLATE(B2365, ""nl"", ""en"")"),"A figure that seems to melt")</f>
        <v>A figure that seems to melt</v>
      </c>
    </row>
    <row r="2366" ht="15.75" customHeight="1">
      <c r="A2366" s="3" t="s">
        <v>7</v>
      </c>
      <c r="B2366" s="3" t="s">
        <v>39</v>
      </c>
      <c r="D2366" s="3" t="str">
        <f>IFERROR(__xludf.DUMMYFUNCTION("GOOGLETRANSLATE(A2366, ""nl"", ""en"")"),"Human Figures and Physicality")</f>
        <v>Human Figures and Physicality</v>
      </c>
      <c r="E2366" s="3" t="str">
        <f>IFERROR(__xludf.DUMMYFUNCTION("GOOGLETRANSLATE(B2366, ""nl"", ""en"")"),"A torso without a head")</f>
        <v>A torso without a head</v>
      </c>
    </row>
    <row r="2367" ht="15.75" customHeight="1">
      <c r="A2367" s="3" t="s">
        <v>15</v>
      </c>
      <c r="B2367" s="3" t="s">
        <v>45</v>
      </c>
      <c r="D2367" s="3" t="str">
        <f>IFERROR(__xludf.DUMMYFUNCTION("GOOGLETRANSLATE(A2367, ""nl"", ""en"")"),"Animals and Organic Forms")</f>
        <v>Animals and Organic Forms</v>
      </c>
      <c r="E2367" s="3" t="str">
        <f>IFERROR(__xludf.DUMMYFUNCTION("GOOGLETRANSLATE(B2367, ""nl"", ""en"")"),"A snake biting its own tail")</f>
        <v>A snake biting its own tail</v>
      </c>
    </row>
    <row r="2368" ht="15.75" customHeight="1">
      <c r="A2368" s="3" t="s">
        <v>4</v>
      </c>
      <c r="B2368" s="3" t="s">
        <v>21</v>
      </c>
      <c r="D2368" s="3" t="str">
        <f>IFERROR(__xludf.DUMMYFUNCTION("GOOGLETRANSLATE(A2368, ""nl"", ""en"")"),"Architectural and Structural Associations")</f>
        <v>Architectural and Structural Associations</v>
      </c>
      <c r="E2368" s="3" t="str">
        <f>IFERROR(__xludf.DUMMYFUNCTION("GOOGLETRANSLATE(B2368, ""nl"", ""en"")"),"A bridge that leads nowhere")</f>
        <v>A bridge that leads nowhere</v>
      </c>
    </row>
    <row r="2369" ht="15.75" customHeight="1">
      <c r="A2369" s="3" t="s">
        <v>12</v>
      </c>
      <c r="B2369" s="3" t="s">
        <v>19</v>
      </c>
      <c r="D2369" s="3" t="str">
        <f>IFERROR(__xludf.DUMMYFUNCTION("GOOGLETRANSLATE(A2369, ""nl"", ""en"")"),"Nature and Elements")</f>
        <v>Nature and Elements</v>
      </c>
      <c r="E2369" s="3" t="str">
        <f>IFERROR(__xludf.DUMMYFUNCTION("GOOGLETRANSLATE(B2369, ""nl"", ""en"")"),"A mountain range that seems to breathe")</f>
        <v>A mountain range that seems to breathe</v>
      </c>
    </row>
    <row r="2370" ht="15.75" customHeight="1">
      <c r="A2370" s="3" t="s">
        <v>4</v>
      </c>
      <c r="B2370" s="3" t="s">
        <v>44</v>
      </c>
      <c r="D2370" s="3" t="str">
        <f>IFERROR(__xludf.DUMMYFUNCTION("GOOGLETRANSLATE(A2370, ""nl"", ""en"")"),"Architectural and Structural Associations")</f>
        <v>Architectural and Structural Associations</v>
      </c>
      <c r="E2370" s="3" t="str">
        <f>IFERROR(__xludf.DUMMYFUNCTION("GOOGLETRANSLATE(B2370, ""nl"", ""en"")"),"A structure that pulsates in waves")</f>
        <v>A structure that pulsates in waves</v>
      </c>
    </row>
    <row r="2371" ht="15.75" customHeight="1">
      <c r="A2371" s="3" t="s">
        <v>4</v>
      </c>
      <c r="B2371" s="3" t="s">
        <v>6</v>
      </c>
      <c r="D2371" s="3" t="str">
        <f>IFERROR(__xludf.DUMMYFUNCTION("GOOGLETRANSLATE(A2371, ""nl"", ""en"")"),"Architectural and Structural Associations")</f>
        <v>Architectural and Structural Associations</v>
      </c>
      <c r="E2371" s="3" t="str">
        <f>IFERROR(__xludf.DUMMYFUNCTION("GOOGLETRANSLATE(B2371, ""nl"", ""en"")"),"An endless labyrinth")</f>
        <v>An endless labyrinth</v>
      </c>
    </row>
    <row r="2372" ht="15.75" customHeight="1">
      <c r="A2372" s="3" t="s">
        <v>7</v>
      </c>
      <c r="B2372" s="3" t="s">
        <v>8</v>
      </c>
      <c r="D2372" s="3" t="str">
        <f>IFERROR(__xludf.DUMMYFUNCTION("GOOGLETRANSLATE(A2372, ""nl"", ""en"")"),"Human Figures and Physicality")</f>
        <v>Human Figures and Physicality</v>
      </c>
      <c r="E2372" s="3" t="str">
        <f>IFERROR(__xludf.DUMMYFUNCTION("GOOGLETRANSLATE(B2372, ""nl"", ""en"")"),"Two figures mirroring each other")</f>
        <v>Two figures mirroring each other</v>
      </c>
    </row>
    <row r="2373" ht="15.75" customHeight="1">
      <c r="A2373" s="3" t="s">
        <v>7</v>
      </c>
      <c r="B2373" s="3" t="s">
        <v>28</v>
      </c>
      <c r="D2373" s="3" t="str">
        <f>IFERROR(__xludf.DUMMYFUNCTION("GOOGLETRANSLATE(A2373, ""nl"", ""en"")"),"Human Figures and Physicality")</f>
        <v>Human Figures and Physicality</v>
      </c>
      <c r="E2373" s="3" t="str">
        <f>IFERROR(__xludf.DUMMYFUNCTION("GOOGLETRANSLATE(B2373, ""nl"", ""en"")"),"A dancing silhouette")</f>
        <v>A dancing silhouette</v>
      </c>
    </row>
    <row r="2374" ht="15.75" customHeight="1">
      <c r="A2374" s="3" t="s">
        <v>9</v>
      </c>
      <c r="B2374" s="3" t="s">
        <v>11</v>
      </c>
      <c r="D2374" s="3" t="str">
        <f>IFERROR(__xludf.DUMMYFUNCTION("GOOGLETRANSLATE(A2374, ""nl"", ""en"")"),"Psychological and Emotional Interpretations")</f>
        <v>Psychological and Emotional Interpretations</v>
      </c>
      <c r="E2374" s="3" t="str">
        <f>IFERROR(__xludf.DUMMYFUNCTION("GOOGLETRANSLATE(B2374, ""nl"", ""en"")"),"An emotion captured in abstraction")</f>
        <v>An emotion captured in abstraction</v>
      </c>
    </row>
    <row r="2375" ht="15.75" customHeight="1">
      <c r="A2375" s="3" t="s">
        <v>15</v>
      </c>
      <c r="B2375" s="3" t="s">
        <v>16</v>
      </c>
      <c r="D2375" s="3" t="str">
        <f>IFERROR(__xludf.DUMMYFUNCTION("GOOGLETRANSLATE(A2375, ""nl"", ""en"")"),"Animals and Organic Forms")</f>
        <v>Animals and Organic Forms</v>
      </c>
      <c r="E2375" s="3" t="str">
        <f>IFERROR(__xludf.DUMMYFUNCTION("GOOGLETRANSLATE(B2375, ""nl"", ""en"")"),"A butterfly in transformation")</f>
        <v>A butterfly in transformation</v>
      </c>
    </row>
    <row r="2376" ht="15.75" customHeight="1">
      <c r="A2376" s="3" t="s">
        <v>9</v>
      </c>
      <c r="B2376" s="3" t="s">
        <v>37</v>
      </c>
      <c r="D2376" s="3" t="str">
        <f>IFERROR(__xludf.DUMMYFUNCTION("GOOGLETRANSLATE(A2376, ""nl"", ""en"")"),"Psychological and Emotional Interpretations")</f>
        <v>Psychological and Emotional Interpretations</v>
      </c>
      <c r="E2376" s="3" t="str">
        <f>IFERROR(__xludf.DUMMYFUNCTION("GOOGLETRANSLATE(B2376, ""nl"", ""en"")"),"A figure looking through itself")</f>
        <v>A figure looking through itself</v>
      </c>
    </row>
    <row r="2377" ht="15.75" customHeight="1">
      <c r="A2377" s="3" t="s">
        <v>4</v>
      </c>
      <c r="B2377" s="3" t="s">
        <v>55</v>
      </c>
      <c r="D2377" s="3" t="str">
        <f>IFERROR(__xludf.DUMMYFUNCTION("GOOGLETRANSLATE(A2377, ""nl"", ""en"")"),"Architectural and Structural Associations")</f>
        <v>Architectural and Structural Associations</v>
      </c>
      <c r="E2377" s="3" t="str">
        <f>IFERROR(__xludf.DUMMYFUNCTION("GOOGLETRANSLATE(B2377, ""nl"", ""en"")"),"A prism that splits light into colors")</f>
        <v>A prism that splits light into colors</v>
      </c>
    </row>
    <row r="2378" ht="15.75" customHeight="1">
      <c r="A2378" s="3" t="s">
        <v>9</v>
      </c>
      <c r="B2378" s="3" t="s">
        <v>14</v>
      </c>
      <c r="D2378" s="3" t="str">
        <f>IFERROR(__xludf.DUMMYFUNCTION("GOOGLETRANSLATE(A2378, ""nl"", ""en"")"),"Psychological and Emotional Interpretations")</f>
        <v>Psychological and Emotional Interpretations</v>
      </c>
      <c r="E2378" s="3" t="str">
        <f>IFERROR(__xludf.DUMMYFUNCTION("GOOGLETRANSLATE(B2378, ""nl"", ""en"")"),"An unclear hug")</f>
        <v>An unclear hug</v>
      </c>
    </row>
    <row r="2379" ht="15.75" customHeight="1">
      <c r="A2379" s="3" t="s">
        <v>12</v>
      </c>
      <c r="B2379" s="3" t="s">
        <v>51</v>
      </c>
      <c r="D2379" s="3" t="str">
        <f>IFERROR(__xludf.DUMMYFUNCTION("GOOGLETRANSLATE(A2379, ""nl"", ""en"")"),"Nature and Elements")</f>
        <v>Nature and Elements</v>
      </c>
      <c r="E2379" s="3" t="str">
        <f>IFERROR(__xludf.DUMMYFUNCTION("GOOGLETRANSLATE(B2379, ""nl"", ""en"")"),"An evaporating puddle of water")</f>
        <v>An evaporating puddle of water</v>
      </c>
    </row>
    <row r="2380" ht="15.75" customHeight="1">
      <c r="A2380" s="3" t="s">
        <v>9</v>
      </c>
      <c r="B2380" s="3" t="s">
        <v>37</v>
      </c>
      <c r="D2380" s="3" t="str">
        <f>IFERROR(__xludf.DUMMYFUNCTION("GOOGLETRANSLATE(A2380, ""nl"", ""en"")"),"Psychological and Emotional Interpretations")</f>
        <v>Psychological and Emotional Interpretations</v>
      </c>
      <c r="E2380" s="3" t="str">
        <f>IFERROR(__xludf.DUMMYFUNCTION("GOOGLETRANSLATE(B2380, ""nl"", ""en"")"),"A figure looking through itself")</f>
        <v>A figure looking through itself</v>
      </c>
    </row>
    <row r="2381" ht="15.75" customHeight="1">
      <c r="A2381" s="3" t="s">
        <v>7</v>
      </c>
      <c r="B2381" s="3" t="s">
        <v>53</v>
      </c>
      <c r="D2381" s="3" t="str">
        <f>IFERROR(__xludf.DUMMYFUNCTION("GOOGLETRANSLATE(A2381, ""nl"", ""en"")"),"Human Figures and Physicality")</f>
        <v>Human Figures and Physicality</v>
      </c>
      <c r="E2381" s="3" t="str">
        <f>IFERROR(__xludf.DUMMYFUNCTION("GOOGLETRANSLATE(B2381, ""nl"", ""en"")"),"A face that both smiles and cries")</f>
        <v>A face that both smiles and cries</v>
      </c>
    </row>
    <row r="2382" ht="15.75" customHeight="1">
      <c r="A2382" s="3" t="s">
        <v>4</v>
      </c>
      <c r="B2382" s="3" t="s">
        <v>21</v>
      </c>
      <c r="D2382" s="3" t="str">
        <f>IFERROR(__xludf.DUMMYFUNCTION("GOOGLETRANSLATE(A2382, ""nl"", ""en"")"),"Architectural and Structural Associations")</f>
        <v>Architectural and Structural Associations</v>
      </c>
      <c r="E2382" s="3" t="str">
        <f>IFERROR(__xludf.DUMMYFUNCTION("GOOGLETRANSLATE(B2382, ""nl"", ""en"")"),"A bridge that leads nowhere")</f>
        <v>A bridge that leads nowhere</v>
      </c>
    </row>
    <row r="2383" ht="15.75" customHeight="1">
      <c r="A2383" s="3" t="s">
        <v>7</v>
      </c>
      <c r="B2383" s="3" t="s">
        <v>34</v>
      </c>
      <c r="D2383" s="3" t="str">
        <f>IFERROR(__xludf.DUMMYFUNCTION("GOOGLETRANSLATE(A2383, ""nl"", ""en"")"),"Human Figures and Physicality")</f>
        <v>Human Figures and Physicality</v>
      </c>
      <c r="E2383" s="3" t="str">
        <f>IFERROR(__xludf.DUMMYFUNCTION("GOOGLETRANSLATE(B2383, ""nl"", ""en"")"),"Hands almost touching")</f>
        <v>Hands almost touching</v>
      </c>
    </row>
    <row r="2384" ht="15.75" customHeight="1">
      <c r="A2384" s="3" t="s">
        <v>24</v>
      </c>
      <c r="B2384" s="3" t="s">
        <v>29</v>
      </c>
      <c r="D2384" s="3" t="str">
        <f>IFERROR(__xludf.DUMMYFUNCTION("GOOGLETRANSLATE(A2384, ""nl"", ""en"")"),"Cosmic and Abstract Patterns")</f>
        <v>Cosmic and Abstract Patterns</v>
      </c>
      <c r="E2384" s="3" t="str">
        <f>IFERROR(__xludf.DUMMYFUNCTION("GOOGLETRANSLATE(B2384, ""nl"", ""en"")"),"A galaxy unfolding")</f>
        <v>A galaxy unfolding</v>
      </c>
    </row>
    <row r="2385" ht="15.75" customHeight="1">
      <c r="A2385" s="3" t="s">
        <v>7</v>
      </c>
      <c r="B2385" s="3" t="s">
        <v>56</v>
      </c>
      <c r="D2385" s="3" t="str">
        <f>IFERROR(__xludf.DUMMYFUNCTION("GOOGLETRANSLATE(A2385, ""nl"", ""en"")"),"Human Figures and Physicality")</f>
        <v>Human Figures and Physicality</v>
      </c>
      <c r="E2385" s="3" t="str">
        <f>IFERROR(__xludf.DUMMYFUNCTION("GOOGLETRANSLATE(B2385, ""nl"", ""en"")"),"A shadow that seems to move")</f>
        <v>A shadow that seems to move</v>
      </c>
    </row>
    <row r="2386" ht="15.75" customHeight="1">
      <c r="A2386" s="3" t="s">
        <v>9</v>
      </c>
      <c r="B2386" s="3" t="s">
        <v>49</v>
      </c>
      <c r="D2386" s="3" t="str">
        <f>IFERROR(__xludf.DUMMYFUNCTION("GOOGLETRANSLATE(A2386, ""nl"", ""en"")"),"Psychological and Emotional Interpretations")</f>
        <v>Psychological and Emotional Interpretations</v>
      </c>
      <c r="E2386" s="3" t="str">
        <f>IFERROR(__xludf.DUMMYFUNCTION("GOOGLETRANSLATE(B2386, ""nl"", ""en"")"),"A spiral that turns inward")</f>
        <v>A spiral that turns inward</v>
      </c>
    </row>
    <row r="2387" ht="15.75" customHeight="1">
      <c r="A2387" s="3" t="s">
        <v>24</v>
      </c>
      <c r="B2387" s="3" t="s">
        <v>33</v>
      </c>
      <c r="D2387" s="3" t="str">
        <f>IFERROR(__xludf.DUMMYFUNCTION("GOOGLETRANSLATE(A2387, ""nl"", ""en"")"),"Cosmic and Abstract Patterns")</f>
        <v>Cosmic and Abstract Patterns</v>
      </c>
      <c r="E2387" s="3" t="str">
        <f>IFERROR(__xludf.DUMMYFUNCTION("GOOGLETRANSLATE(B2387, ""nl"", ""en"")"),"An eye that repeats itself in endless patterns")</f>
        <v>An eye that repeats itself in endless patterns</v>
      </c>
    </row>
    <row r="2388" ht="15.75" customHeight="1">
      <c r="A2388" s="3" t="s">
        <v>7</v>
      </c>
      <c r="B2388" s="3" t="s">
        <v>8</v>
      </c>
      <c r="D2388" s="3" t="str">
        <f>IFERROR(__xludf.DUMMYFUNCTION("GOOGLETRANSLATE(A2388, ""nl"", ""en"")"),"Human Figures and Physicality")</f>
        <v>Human Figures and Physicality</v>
      </c>
      <c r="E2388" s="3" t="str">
        <f>IFERROR(__xludf.DUMMYFUNCTION("GOOGLETRANSLATE(B2388, ""nl"", ""en"")"),"Two figures mirroring each other")</f>
        <v>Two figures mirroring each other</v>
      </c>
    </row>
    <row r="2389" ht="15.75" customHeight="1">
      <c r="A2389" s="3" t="s">
        <v>15</v>
      </c>
      <c r="B2389" s="3" t="s">
        <v>16</v>
      </c>
      <c r="D2389" s="3" t="str">
        <f>IFERROR(__xludf.DUMMYFUNCTION("GOOGLETRANSLATE(A2389, ""nl"", ""en"")"),"Animals and Organic Forms")</f>
        <v>Animals and Organic Forms</v>
      </c>
      <c r="E2389" s="3" t="str">
        <f>IFERROR(__xludf.DUMMYFUNCTION("GOOGLETRANSLATE(B2389, ""nl"", ""en"")"),"A butterfly in transformation")</f>
        <v>A butterfly in transformation</v>
      </c>
    </row>
    <row r="2390" ht="15.75" customHeight="1">
      <c r="A2390" s="3" t="s">
        <v>4</v>
      </c>
      <c r="B2390" s="3" t="s">
        <v>35</v>
      </c>
      <c r="D2390" s="3" t="str">
        <f>IFERROR(__xludf.DUMMYFUNCTION("GOOGLETRANSLATE(A2390, ""nl"", ""en"")"),"Architectural and Structural Associations")</f>
        <v>Architectural and Structural Associations</v>
      </c>
      <c r="E2390" s="3" t="str">
        <f>IFERROR(__xludf.DUMMYFUNCTION("GOOGLETRANSLATE(B2390, ""nl"", ""en"")"),"A floating building without a base")</f>
        <v>A floating building without a base</v>
      </c>
    </row>
    <row r="2391" ht="15.75" customHeight="1">
      <c r="A2391" s="3" t="s">
        <v>9</v>
      </c>
      <c r="B2391" s="3" t="s">
        <v>14</v>
      </c>
      <c r="D2391" s="3" t="str">
        <f>IFERROR(__xludf.DUMMYFUNCTION("GOOGLETRANSLATE(A2391, ""nl"", ""en"")"),"Psychological and Emotional Interpretations")</f>
        <v>Psychological and Emotional Interpretations</v>
      </c>
      <c r="E2391" s="3" t="str">
        <f>IFERROR(__xludf.DUMMYFUNCTION("GOOGLETRANSLATE(B2391, ""nl"", ""en"")"),"An unclear hug")</f>
        <v>An unclear hug</v>
      </c>
    </row>
    <row r="2392" ht="15.75" customHeight="1">
      <c r="A2392" s="3" t="s">
        <v>12</v>
      </c>
      <c r="B2392" s="3" t="s">
        <v>18</v>
      </c>
      <c r="D2392" s="3" t="str">
        <f>IFERROR(__xludf.DUMMYFUNCTION("GOOGLETRANSLATE(A2392, ""nl"", ""en"")"),"Nature and Elements")</f>
        <v>Nature and Elements</v>
      </c>
      <c r="E2392" s="3" t="str">
        <f>IFERROR(__xludf.DUMMYFUNCTION("GOOGLETRANSLATE(B2392, ""nl"", ""en"")"),"A tree with endless branches")</f>
        <v>A tree with endless branches</v>
      </c>
    </row>
    <row r="2393" ht="15.75" customHeight="1">
      <c r="A2393" s="3" t="s">
        <v>7</v>
      </c>
      <c r="B2393" s="3" t="s">
        <v>8</v>
      </c>
      <c r="D2393" s="3" t="str">
        <f>IFERROR(__xludf.DUMMYFUNCTION("GOOGLETRANSLATE(A2393, ""nl"", ""en"")"),"Human Figures and Physicality")</f>
        <v>Human Figures and Physicality</v>
      </c>
      <c r="E2393" s="3" t="str">
        <f>IFERROR(__xludf.DUMMYFUNCTION("GOOGLETRANSLATE(B2393, ""nl"", ""en"")"),"Two figures mirroring each other")</f>
        <v>Two figures mirroring each other</v>
      </c>
    </row>
    <row r="2394" ht="15.75" customHeight="1">
      <c r="A2394" s="3" t="s">
        <v>7</v>
      </c>
      <c r="B2394" s="3" t="s">
        <v>34</v>
      </c>
      <c r="D2394" s="3" t="str">
        <f>IFERROR(__xludf.DUMMYFUNCTION("GOOGLETRANSLATE(A2394, ""nl"", ""en"")"),"Human Figures and Physicality")</f>
        <v>Human Figures and Physicality</v>
      </c>
      <c r="E2394" s="3" t="str">
        <f>IFERROR(__xludf.DUMMYFUNCTION("GOOGLETRANSLATE(B2394, ""nl"", ""en"")"),"Hands almost touching")</f>
        <v>Hands almost touching</v>
      </c>
    </row>
    <row r="2395" ht="15.75" customHeight="1">
      <c r="A2395" s="3" t="s">
        <v>12</v>
      </c>
      <c r="B2395" s="3" t="s">
        <v>13</v>
      </c>
      <c r="D2395" s="3" t="str">
        <f>IFERROR(__xludf.DUMMYFUNCTION("GOOGLETRANSLATE(A2395, ""nl"", ""en"")"),"Nature and Elements")</f>
        <v>Nature and Elements</v>
      </c>
      <c r="E2395" s="3" t="str">
        <f>IFERROR(__xludf.DUMMYFUNCTION("GOOGLETRANSLATE(B2395, ""nl"", ""en"")"),"A lightning strike in slow motion")</f>
        <v>A lightning strike in slow motion</v>
      </c>
    </row>
    <row r="2396" ht="15.75" customHeight="1">
      <c r="A2396" s="3" t="s">
        <v>4</v>
      </c>
      <c r="B2396" s="3" t="s">
        <v>6</v>
      </c>
      <c r="D2396" s="3" t="str">
        <f>IFERROR(__xludf.DUMMYFUNCTION("GOOGLETRANSLATE(A2396, ""nl"", ""en"")"),"Architectural and Structural Associations")</f>
        <v>Architectural and Structural Associations</v>
      </c>
      <c r="E2396" s="3" t="str">
        <f>IFERROR(__xludf.DUMMYFUNCTION("GOOGLETRANSLATE(B2396, ""nl"", ""en"")"),"An endless labyrinth")</f>
        <v>An endless labyrinth</v>
      </c>
    </row>
    <row r="2397" ht="15.75" customHeight="1">
      <c r="A2397" s="3" t="s">
        <v>4</v>
      </c>
      <c r="B2397" s="3" t="s">
        <v>21</v>
      </c>
      <c r="D2397" s="3" t="str">
        <f>IFERROR(__xludf.DUMMYFUNCTION("GOOGLETRANSLATE(A2397, ""nl"", ""en"")"),"Architectural and Structural Associations")</f>
        <v>Architectural and Structural Associations</v>
      </c>
      <c r="E2397" s="3" t="str">
        <f>IFERROR(__xludf.DUMMYFUNCTION("GOOGLETRANSLATE(B2397, ""nl"", ""en"")"),"A bridge that leads nowhere")</f>
        <v>A bridge that leads nowhere</v>
      </c>
    </row>
    <row r="2398" ht="15.75" customHeight="1">
      <c r="A2398" s="3" t="s">
        <v>9</v>
      </c>
      <c r="B2398" s="3" t="s">
        <v>10</v>
      </c>
      <c r="D2398" s="3" t="str">
        <f>IFERROR(__xludf.DUMMYFUNCTION("GOOGLETRANSLATE(A2398, ""nl"", ""en"")"),"Psychological and Emotional Interpretations")</f>
        <v>Psychological and Emotional Interpretations</v>
      </c>
      <c r="E2398" s="3" t="str">
        <f>IFERROR(__xludf.DUMMYFUNCTION("GOOGLETRANSLATE(B2398, ""nl"", ""en"")"),"A face transforming in light")</f>
        <v>A face transforming in light</v>
      </c>
    </row>
    <row r="2399" ht="15.75" customHeight="1">
      <c r="A2399" s="3" t="s">
        <v>15</v>
      </c>
      <c r="B2399" s="3" t="s">
        <v>50</v>
      </c>
      <c r="D2399" s="3" t="str">
        <f>IFERROR(__xludf.DUMMYFUNCTION("GOOGLETRANSLATE(A2399, ""nl"", ""en"")"),"Animals and Organic Forms")</f>
        <v>Animals and Organic Forms</v>
      </c>
      <c r="E2399" s="3" t="str">
        <f>IFERROR(__xludf.DUMMYFUNCTION("GOOGLETRANSLATE(B2399, ""nl"", ""en"")"),"A squid with extended tentacles")</f>
        <v>A squid with extended tentacles</v>
      </c>
    </row>
    <row r="2400" ht="15.75" customHeight="1">
      <c r="A2400" s="3" t="s">
        <v>15</v>
      </c>
      <c r="B2400" s="3" t="s">
        <v>52</v>
      </c>
      <c r="D2400" s="3" t="str">
        <f>IFERROR(__xludf.DUMMYFUNCTION("GOOGLETRANSLATE(A2400, ""nl"", ""en"")"),"Animals and Organic Forms")</f>
        <v>Animals and Organic Forms</v>
      </c>
      <c r="E2400" s="3" t="str">
        <f>IFERROR(__xludf.DUMMYFUNCTION("GOOGLETRANSLATE(B2400, ""nl"", ""en"")"),"A mask made of leaves")</f>
        <v>A mask made of leaves</v>
      </c>
    </row>
    <row r="2401" ht="15.75" customHeight="1">
      <c r="A2401" s="3" t="s">
        <v>7</v>
      </c>
      <c r="B2401" s="3" t="s">
        <v>28</v>
      </c>
      <c r="D2401" s="3" t="str">
        <f>IFERROR(__xludf.DUMMYFUNCTION("GOOGLETRANSLATE(A2401, ""nl"", ""en"")"),"Human Figures and Physicality")</f>
        <v>Human Figures and Physicality</v>
      </c>
      <c r="E2401" s="3" t="str">
        <f>IFERROR(__xludf.DUMMYFUNCTION("GOOGLETRANSLATE(B2401, ""nl"", ""en"")"),"A dancing silhouette")</f>
        <v>A dancing silhouette</v>
      </c>
    </row>
    <row r="2402" ht="15.75" customHeight="1">
      <c r="A2402" s="3" t="s">
        <v>12</v>
      </c>
      <c r="B2402" s="3" t="s">
        <v>23</v>
      </c>
      <c r="D2402" s="3" t="str">
        <f>IFERROR(__xludf.DUMMYFUNCTION("GOOGLETRANSLATE(A2402, ""nl"", ""en"")"),"Nature and Elements")</f>
        <v>Nature and Elements</v>
      </c>
      <c r="E2402" s="3" t="str">
        <f>IFERROR(__xludf.DUMMYFUNCTION("GOOGLETRANSLATE(B2402, ""nl"", ""en"")"),"A storm cloud splitting in two")</f>
        <v>A storm cloud splitting in two</v>
      </c>
    </row>
    <row r="2403" ht="15.75" customHeight="1">
      <c r="A2403" s="3" t="s">
        <v>24</v>
      </c>
      <c r="B2403" s="3" t="s">
        <v>54</v>
      </c>
      <c r="D2403" s="3" t="str">
        <f>IFERROR(__xludf.DUMMYFUNCTION("GOOGLETRANSLATE(A2403, ""nl"", ""en"")"),"Cosmic and Abstract Patterns")</f>
        <v>Cosmic and Abstract Patterns</v>
      </c>
      <c r="E2403" s="3" t="str">
        <f>IFERROR(__xludf.DUMMYFUNCTION("GOOGLETRANSLATE(B2403, ""nl"", ""en"")"),"A quantum particle in superposition")</f>
        <v>A quantum particle in superposition</v>
      </c>
    </row>
    <row r="2404" ht="15.75" customHeight="1">
      <c r="A2404" s="3" t="s">
        <v>4</v>
      </c>
      <c r="B2404" s="3" t="s">
        <v>43</v>
      </c>
      <c r="D2404" s="3" t="str">
        <f>IFERROR(__xludf.DUMMYFUNCTION("GOOGLETRANSLATE(A2404, ""nl"", ""en"")"),"Architectural and Structural Associations")</f>
        <v>Architectural and Structural Associations</v>
      </c>
      <c r="E2404" s="3" t="str">
        <f>IFERROR(__xludf.DUMMYFUNCTION("GOOGLETRANSLATE(B2404, ""nl"", ""en"")"),"A network of tunnels and passages")</f>
        <v>A network of tunnels and passages</v>
      </c>
    </row>
    <row r="2405" ht="15.75" customHeight="1">
      <c r="A2405" s="3" t="s">
        <v>4</v>
      </c>
      <c r="B2405" s="3" t="s">
        <v>5</v>
      </c>
      <c r="D2405" s="3" t="str">
        <f>IFERROR(__xludf.DUMMYFUNCTION("GOOGLETRANSLATE(A2405, ""nl"", ""en"")"),"Architectural and Structural Associations")</f>
        <v>Architectural and Structural Associations</v>
      </c>
      <c r="E2405" s="3" t="str">
        <f>IFERROR(__xludf.DUMMYFUNCTION("GOOGLETRANSLATE(B2405, ""nl"", ""en"")"),"A cathedral shaped from mist")</f>
        <v>A cathedral shaped from mist</v>
      </c>
    </row>
    <row r="2406" ht="15.75" customHeight="1">
      <c r="A2406" s="3" t="s">
        <v>7</v>
      </c>
      <c r="B2406" s="3" t="s">
        <v>53</v>
      </c>
      <c r="D2406" s="3" t="str">
        <f>IFERROR(__xludf.DUMMYFUNCTION("GOOGLETRANSLATE(A2406, ""nl"", ""en"")"),"Human Figures and Physicality")</f>
        <v>Human Figures and Physicality</v>
      </c>
      <c r="E2406" s="3" t="str">
        <f>IFERROR(__xludf.DUMMYFUNCTION("GOOGLETRANSLATE(B2406, ""nl"", ""en"")"),"A face that both smiles and cries")</f>
        <v>A face that both smiles and cries</v>
      </c>
    </row>
    <row r="2407" ht="15.75" customHeight="1">
      <c r="A2407" s="3" t="s">
        <v>4</v>
      </c>
      <c r="B2407" s="3" t="s">
        <v>55</v>
      </c>
      <c r="D2407" s="3" t="str">
        <f>IFERROR(__xludf.DUMMYFUNCTION("GOOGLETRANSLATE(A2407, ""nl"", ""en"")"),"Architectural and Structural Associations")</f>
        <v>Architectural and Structural Associations</v>
      </c>
      <c r="E2407" s="3" t="str">
        <f>IFERROR(__xludf.DUMMYFUNCTION("GOOGLETRANSLATE(B2407, ""nl"", ""en"")"),"A prism that splits light into colors")</f>
        <v>A prism that splits light into colors</v>
      </c>
    </row>
    <row r="2408" ht="15.75" customHeight="1">
      <c r="A2408" s="3" t="s">
        <v>24</v>
      </c>
      <c r="B2408" s="3" t="s">
        <v>25</v>
      </c>
      <c r="D2408" s="3" t="str">
        <f>IFERROR(__xludf.DUMMYFUNCTION("GOOGLETRANSLATE(A2408, ""nl"", ""en"")"),"Cosmic and Abstract Patterns")</f>
        <v>Cosmic and Abstract Patterns</v>
      </c>
      <c r="E2408" s="3" t="str">
        <f>IFERROR(__xludf.DUMMYFUNCTION("GOOGLETRANSLATE(B2408, ""nl"", ""en"")"),"A meteor shower dissolving into each other")</f>
        <v>A meteor shower dissolving into each other</v>
      </c>
    </row>
    <row r="2409" ht="15.75" customHeight="1">
      <c r="A2409" s="3" t="s">
        <v>7</v>
      </c>
      <c r="B2409" s="3" t="s">
        <v>40</v>
      </c>
      <c r="D2409" s="3" t="str">
        <f>IFERROR(__xludf.DUMMYFUNCTION("GOOGLETRANSLATE(A2409, ""nl"", ""en"")"),"Human Figures and Physicality")</f>
        <v>Human Figures and Physicality</v>
      </c>
      <c r="E2409" s="3" t="str">
        <f>IFERROR(__xludf.DUMMYFUNCTION("GOOGLETRANSLATE(B2409, ""nl"", ""en"")"),"A figure who is withdrawn into himself")</f>
        <v>A figure who is withdrawn into himself</v>
      </c>
    </row>
    <row r="2410" ht="15.75" customHeight="1">
      <c r="A2410" s="3" t="s">
        <v>7</v>
      </c>
      <c r="B2410" s="3" t="s">
        <v>34</v>
      </c>
      <c r="D2410" s="3" t="str">
        <f>IFERROR(__xludf.DUMMYFUNCTION("GOOGLETRANSLATE(A2410, ""nl"", ""en"")"),"Human Figures and Physicality")</f>
        <v>Human Figures and Physicality</v>
      </c>
      <c r="E2410" s="3" t="str">
        <f>IFERROR(__xludf.DUMMYFUNCTION("GOOGLETRANSLATE(B2410, ""nl"", ""en"")"),"Hands almost touching")</f>
        <v>Hands almost touching</v>
      </c>
    </row>
    <row r="2411" ht="15.75" customHeight="1">
      <c r="A2411" s="3" t="s">
        <v>15</v>
      </c>
      <c r="B2411" s="3" t="s">
        <v>26</v>
      </c>
      <c r="D2411" s="3" t="str">
        <f>IFERROR(__xludf.DUMMYFUNCTION("GOOGLETRANSLATE(A2411, ""nl"", ""en"")"),"Animals and Organic Forms")</f>
        <v>Animals and Organic Forms</v>
      </c>
      <c r="E2411" s="3" t="str">
        <f>IFERROR(__xludf.DUMMYFUNCTION("GOOGLETRANSLATE(B2411, ""nl"", ""en"")"),"A frog preparing to jump")</f>
        <v>A frog preparing to jump</v>
      </c>
    </row>
    <row r="2412" ht="15.75" customHeight="1">
      <c r="A2412" s="3" t="s">
        <v>7</v>
      </c>
      <c r="B2412" s="3" t="s">
        <v>8</v>
      </c>
      <c r="D2412" s="3" t="str">
        <f>IFERROR(__xludf.DUMMYFUNCTION("GOOGLETRANSLATE(A2412, ""nl"", ""en"")"),"Human Figures and Physicality")</f>
        <v>Human Figures and Physicality</v>
      </c>
      <c r="E2412" s="3" t="str">
        <f>IFERROR(__xludf.DUMMYFUNCTION("GOOGLETRANSLATE(B2412, ""nl"", ""en"")"),"Two figures mirroring each other")</f>
        <v>Two figures mirroring each other</v>
      </c>
    </row>
    <row r="2413" ht="15.75" customHeight="1">
      <c r="A2413" s="3" t="s">
        <v>24</v>
      </c>
      <c r="B2413" s="3" t="s">
        <v>25</v>
      </c>
      <c r="D2413" s="3" t="str">
        <f>IFERROR(__xludf.DUMMYFUNCTION("GOOGLETRANSLATE(A2413, ""nl"", ""en"")"),"Cosmic and Abstract Patterns")</f>
        <v>Cosmic and Abstract Patterns</v>
      </c>
      <c r="E2413" s="3" t="str">
        <f>IFERROR(__xludf.DUMMYFUNCTION("GOOGLETRANSLATE(B2413, ""nl"", ""en"")"),"A meteor shower dissolving into each other")</f>
        <v>A meteor shower dissolving into each other</v>
      </c>
    </row>
    <row r="2414" ht="15.75" customHeight="1">
      <c r="A2414" s="3" t="s">
        <v>7</v>
      </c>
      <c r="B2414" s="3" t="s">
        <v>39</v>
      </c>
      <c r="D2414" s="3" t="str">
        <f>IFERROR(__xludf.DUMMYFUNCTION("GOOGLETRANSLATE(A2414, ""nl"", ""en"")"),"Human Figures and Physicality")</f>
        <v>Human Figures and Physicality</v>
      </c>
      <c r="E2414" s="3" t="str">
        <f>IFERROR(__xludf.DUMMYFUNCTION("GOOGLETRANSLATE(B2414, ""nl"", ""en"")"),"A torso without a head")</f>
        <v>A torso without a head</v>
      </c>
    </row>
    <row r="2415" ht="15.75" customHeight="1">
      <c r="A2415" s="3" t="s">
        <v>9</v>
      </c>
      <c r="B2415" s="3" t="s">
        <v>17</v>
      </c>
      <c r="D2415" s="3" t="str">
        <f>IFERROR(__xludf.DUMMYFUNCTION("GOOGLETRANSLATE(A2415, ""nl"", ""en"")"),"Psychological and Emotional Interpretations")</f>
        <v>Psychological and Emotional Interpretations</v>
      </c>
      <c r="E2415" s="3" t="str">
        <f>IFERROR(__xludf.DUMMYFUNCTION("GOOGLETRANSLATE(B2415, ""nl"", ""en"")"),"A figure that seems to melt")</f>
        <v>A figure that seems to melt</v>
      </c>
    </row>
    <row r="2416" ht="15.75" customHeight="1">
      <c r="A2416" s="3" t="s">
        <v>7</v>
      </c>
      <c r="B2416" s="3" t="s">
        <v>40</v>
      </c>
      <c r="D2416" s="3" t="str">
        <f>IFERROR(__xludf.DUMMYFUNCTION("GOOGLETRANSLATE(A2416, ""nl"", ""en"")"),"Human Figures and Physicality")</f>
        <v>Human Figures and Physicality</v>
      </c>
      <c r="E2416" s="3" t="str">
        <f>IFERROR(__xludf.DUMMYFUNCTION("GOOGLETRANSLATE(B2416, ""nl"", ""en"")"),"A figure who is withdrawn into himself")</f>
        <v>A figure who is withdrawn into himself</v>
      </c>
    </row>
    <row r="2417" ht="15.75" customHeight="1">
      <c r="A2417" s="3" t="s">
        <v>15</v>
      </c>
      <c r="B2417" s="3" t="s">
        <v>22</v>
      </c>
      <c r="D2417" s="3" t="str">
        <f>IFERROR(__xludf.DUMMYFUNCTION("GOOGLETRANSLATE(A2417, ""nl"", ""en"")"),"Animals and Organic Forms")</f>
        <v>Animals and Organic Forms</v>
      </c>
      <c r="E2417" s="3" t="str">
        <f>IFERROR(__xludf.DUMMYFUNCTION("GOOGLETRANSLATE(B2417, ""nl"", ""en"")"),"A bird taking off")</f>
        <v>A bird taking off</v>
      </c>
    </row>
    <row r="2418" ht="15.75" customHeight="1">
      <c r="A2418" s="3" t="s">
        <v>15</v>
      </c>
      <c r="B2418" s="3" t="s">
        <v>26</v>
      </c>
      <c r="D2418" s="3" t="str">
        <f>IFERROR(__xludf.DUMMYFUNCTION("GOOGLETRANSLATE(A2418, ""nl"", ""en"")"),"Animals and Organic Forms")</f>
        <v>Animals and Organic Forms</v>
      </c>
      <c r="E2418" s="3" t="str">
        <f>IFERROR(__xludf.DUMMYFUNCTION("GOOGLETRANSLATE(B2418, ""nl"", ""en"")"),"A frog preparing to jump")</f>
        <v>A frog preparing to jump</v>
      </c>
    </row>
    <row r="2419" ht="15.75" customHeight="1">
      <c r="A2419" s="3" t="s">
        <v>7</v>
      </c>
      <c r="B2419" s="3" t="s">
        <v>28</v>
      </c>
      <c r="D2419" s="3" t="str">
        <f>IFERROR(__xludf.DUMMYFUNCTION("GOOGLETRANSLATE(A2419, ""nl"", ""en"")"),"Human Figures and Physicality")</f>
        <v>Human Figures and Physicality</v>
      </c>
      <c r="E2419" s="3" t="str">
        <f>IFERROR(__xludf.DUMMYFUNCTION("GOOGLETRANSLATE(B2419, ""nl"", ""en"")"),"A dancing silhouette")</f>
        <v>A dancing silhouette</v>
      </c>
    </row>
    <row r="2420" ht="15.75" customHeight="1">
      <c r="A2420" s="3" t="s">
        <v>7</v>
      </c>
      <c r="B2420" s="3" t="s">
        <v>39</v>
      </c>
      <c r="D2420" s="3" t="str">
        <f>IFERROR(__xludf.DUMMYFUNCTION("GOOGLETRANSLATE(A2420, ""nl"", ""en"")"),"Human Figures and Physicality")</f>
        <v>Human Figures and Physicality</v>
      </c>
      <c r="E2420" s="3" t="str">
        <f>IFERROR(__xludf.DUMMYFUNCTION("GOOGLETRANSLATE(B2420, ""nl"", ""en"")"),"A torso without a head")</f>
        <v>A torso without a head</v>
      </c>
    </row>
    <row r="2421" ht="15.75" customHeight="1">
      <c r="A2421" s="3" t="s">
        <v>4</v>
      </c>
      <c r="B2421" s="3" t="s">
        <v>44</v>
      </c>
      <c r="D2421" s="3" t="str">
        <f>IFERROR(__xludf.DUMMYFUNCTION("GOOGLETRANSLATE(A2421, ""nl"", ""en"")"),"Architectural and Structural Associations")</f>
        <v>Architectural and Structural Associations</v>
      </c>
      <c r="E2421" s="3" t="str">
        <f>IFERROR(__xludf.DUMMYFUNCTION("GOOGLETRANSLATE(B2421, ""nl"", ""en"")"),"A structure that pulsates in waves")</f>
        <v>A structure that pulsates in waves</v>
      </c>
    </row>
    <row r="2422" ht="15.75" customHeight="1">
      <c r="A2422" s="3" t="s">
        <v>9</v>
      </c>
      <c r="B2422" s="3" t="s">
        <v>10</v>
      </c>
      <c r="D2422" s="3" t="str">
        <f>IFERROR(__xludf.DUMMYFUNCTION("GOOGLETRANSLATE(A2422, ""nl"", ""en"")"),"Psychological and Emotional Interpretations")</f>
        <v>Psychological and Emotional Interpretations</v>
      </c>
      <c r="E2422" s="3" t="str">
        <f>IFERROR(__xludf.DUMMYFUNCTION("GOOGLETRANSLATE(B2422, ""nl"", ""en"")"),"A face transforming in light")</f>
        <v>A face transforming in light</v>
      </c>
    </row>
    <row r="2423" ht="15.75" customHeight="1">
      <c r="A2423" s="3" t="s">
        <v>24</v>
      </c>
      <c r="B2423" s="3" t="s">
        <v>54</v>
      </c>
      <c r="D2423" s="3" t="str">
        <f>IFERROR(__xludf.DUMMYFUNCTION("GOOGLETRANSLATE(A2423, ""nl"", ""en"")"),"Cosmic and Abstract Patterns")</f>
        <v>Cosmic and Abstract Patterns</v>
      </c>
      <c r="E2423" s="3" t="str">
        <f>IFERROR(__xludf.DUMMYFUNCTION("GOOGLETRANSLATE(B2423, ""nl"", ""en"")"),"A quantum particle in superposition")</f>
        <v>A quantum particle in superposition</v>
      </c>
    </row>
    <row r="2424" ht="15.75" customHeight="1">
      <c r="A2424" s="3" t="s">
        <v>24</v>
      </c>
      <c r="B2424" s="3" t="s">
        <v>31</v>
      </c>
      <c r="D2424" s="3" t="str">
        <f>IFERROR(__xludf.DUMMYFUNCTION("GOOGLETRANSLATE(A2424, ""nl"", ""en"")"),"Cosmic and Abstract Patterns")</f>
        <v>Cosmic and Abstract Patterns</v>
      </c>
      <c r="E2424" s="3" t="str">
        <f>IFERROR(__xludf.DUMMYFUNCTION("GOOGLETRANSLATE(B2424, ""nl"", ""en"")"),"A planet with unusual rings")</f>
        <v>A planet with unusual rings</v>
      </c>
    </row>
    <row r="2425" ht="15.75" customHeight="1">
      <c r="A2425" s="3" t="s">
        <v>24</v>
      </c>
      <c r="B2425" s="3" t="s">
        <v>32</v>
      </c>
      <c r="D2425" s="3" t="str">
        <f>IFERROR(__xludf.DUMMYFUNCTION("GOOGLETRANSLATE(A2425, ""nl"", ""en"")"),"Cosmic and Abstract Patterns")</f>
        <v>Cosmic and Abstract Patterns</v>
      </c>
      <c r="E2425" s="3" t="str">
        <f>IFERROR(__xludf.DUMMYFUNCTION("GOOGLETRANSLATE(B2425, ""nl"", ""en"")"),"A time loop captured in image")</f>
        <v>A time loop captured in image</v>
      </c>
    </row>
    <row r="2426" ht="15.75" customHeight="1">
      <c r="A2426" s="3" t="s">
        <v>12</v>
      </c>
      <c r="B2426" s="3" t="s">
        <v>51</v>
      </c>
      <c r="D2426" s="3" t="str">
        <f>IFERROR(__xludf.DUMMYFUNCTION("GOOGLETRANSLATE(A2426, ""nl"", ""en"")"),"Nature and Elements")</f>
        <v>Nature and Elements</v>
      </c>
      <c r="E2426" s="3" t="str">
        <f>IFERROR(__xludf.DUMMYFUNCTION("GOOGLETRANSLATE(B2426, ""nl"", ""en"")"),"An evaporating puddle of water")</f>
        <v>An evaporating puddle of water</v>
      </c>
    </row>
    <row r="2427" ht="15.75" customHeight="1">
      <c r="A2427" s="3" t="s">
        <v>9</v>
      </c>
      <c r="B2427" s="3" t="s">
        <v>14</v>
      </c>
      <c r="D2427" s="3" t="str">
        <f>IFERROR(__xludf.DUMMYFUNCTION("GOOGLETRANSLATE(A2427, ""nl"", ""en"")"),"Psychological and Emotional Interpretations")</f>
        <v>Psychological and Emotional Interpretations</v>
      </c>
      <c r="E2427" s="3" t="str">
        <f>IFERROR(__xludf.DUMMYFUNCTION("GOOGLETRANSLATE(B2427, ""nl"", ""en"")"),"An unclear hug")</f>
        <v>An unclear hug</v>
      </c>
    </row>
    <row r="2428" ht="15.75" customHeight="1">
      <c r="A2428" s="3" t="s">
        <v>7</v>
      </c>
      <c r="B2428" s="3" t="s">
        <v>28</v>
      </c>
      <c r="D2428" s="3" t="str">
        <f>IFERROR(__xludf.DUMMYFUNCTION("GOOGLETRANSLATE(A2428, ""nl"", ""en"")"),"Human Figures and Physicality")</f>
        <v>Human Figures and Physicality</v>
      </c>
      <c r="E2428" s="3" t="str">
        <f>IFERROR(__xludf.DUMMYFUNCTION("GOOGLETRANSLATE(B2428, ""nl"", ""en"")"),"A dancing silhouette")</f>
        <v>A dancing silhouette</v>
      </c>
    </row>
    <row r="2429" ht="15.75" customHeight="1">
      <c r="A2429" s="3" t="s">
        <v>7</v>
      </c>
      <c r="B2429" s="3" t="s">
        <v>40</v>
      </c>
      <c r="D2429" s="3" t="str">
        <f>IFERROR(__xludf.DUMMYFUNCTION("GOOGLETRANSLATE(A2429, ""nl"", ""en"")"),"Human Figures and Physicality")</f>
        <v>Human Figures and Physicality</v>
      </c>
      <c r="E2429" s="3" t="str">
        <f>IFERROR(__xludf.DUMMYFUNCTION("GOOGLETRANSLATE(B2429, ""nl"", ""en"")"),"A figure who is withdrawn into himself")</f>
        <v>A figure who is withdrawn into himself</v>
      </c>
    </row>
    <row r="2430" ht="15.75" customHeight="1">
      <c r="A2430" s="3" t="s">
        <v>9</v>
      </c>
      <c r="B2430" s="3" t="s">
        <v>14</v>
      </c>
      <c r="D2430" s="3" t="str">
        <f>IFERROR(__xludf.DUMMYFUNCTION("GOOGLETRANSLATE(A2430, ""nl"", ""en"")"),"Psychological and Emotional Interpretations")</f>
        <v>Psychological and Emotional Interpretations</v>
      </c>
      <c r="E2430" s="3" t="str">
        <f>IFERROR(__xludf.DUMMYFUNCTION("GOOGLETRANSLATE(B2430, ""nl"", ""en"")"),"An unclear hug")</f>
        <v>An unclear hug</v>
      </c>
    </row>
    <row r="2431" ht="15.75" customHeight="1">
      <c r="A2431" s="3" t="s">
        <v>4</v>
      </c>
      <c r="B2431" s="3" t="s">
        <v>44</v>
      </c>
      <c r="D2431" s="3" t="str">
        <f>IFERROR(__xludf.DUMMYFUNCTION("GOOGLETRANSLATE(A2431, ""nl"", ""en"")"),"Architectural and Structural Associations")</f>
        <v>Architectural and Structural Associations</v>
      </c>
      <c r="E2431" s="3" t="str">
        <f>IFERROR(__xludf.DUMMYFUNCTION("GOOGLETRANSLATE(B2431, ""nl"", ""en"")"),"A structure that pulsates in waves")</f>
        <v>A structure that pulsates in waves</v>
      </c>
    </row>
    <row r="2432" ht="15.75" customHeight="1">
      <c r="A2432" s="3" t="s">
        <v>4</v>
      </c>
      <c r="B2432" s="3" t="s">
        <v>5</v>
      </c>
      <c r="D2432" s="3" t="str">
        <f>IFERROR(__xludf.DUMMYFUNCTION("GOOGLETRANSLATE(A2432, ""nl"", ""en"")"),"Architectural and Structural Associations")</f>
        <v>Architectural and Structural Associations</v>
      </c>
      <c r="E2432" s="3" t="str">
        <f>IFERROR(__xludf.DUMMYFUNCTION("GOOGLETRANSLATE(B2432, ""nl"", ""en"")"),"A cathedral shaped from mist")</f>
        <v>A cathedral shaped from mist</v>
      </c>
    </row>
    <row r="2433" ht="15.75" customHeight="1">
      <c r="A2433" s="3" t="s">
        <v>9</v>
      </c>
      <c r="B2433" s="3" t="s">
        <v>37</v>
      </c>
      <c r="D2433" s="3" t="str">
        <f>IFERROR(__xludf.DUMMYFUNCTION("GOOGLETRANSLATE(A2433, ""nl"", ""en"")"),"Psychological and Emotional Interpretations")</f>
        <v>Psychological and Emotional Interpretations</v>
      </c>
      <c r="E2433" s="3" t="str">
        <f>IFERROR(__xludf.DUMMYFUNCTION("GOOGLETRANSLATE(B2433, ""nl"", ""en"")"),"A figure looking through itself")</f>
        <v>A figure looking through itself</v>
      </c>
    </row>
    <row r="2434" ht="15.75" customHeight="1">
      <c r="A2434" s="3" t="s">
        <v>7</v>
      </c>
      <c r="B2434" s="3" t="s">
        <v>39</v>
      </c>
      <c r="D2434" s="3" t="str">
        <f>IFERROR(__xludf.DUMMYFUNCTION("GOOGLETRANSLATE(A2434, ""nl"", ""en"")"),"Human Figures and Physicality")</f>
        <v>Human Figures and Physicality</v>
      </c>
      <c r="E2434" s="3" t="str">
        <f>IFERROR(__xludf.DUMMYFUNCTION("GOOGLETRANSLATE(B2434, ""nl"", ""en"")"),"A torso without a head")</f>
        <v>A torso without a head</v>
      </c>
    </row>
    <row r="2435" ht="15.75" customHeight="1">
      <c r="A2435" s="3" t="s">
        <v>4</v>
      </c>
      <c r="B2435" s="3" t="s">
        <v>20</v>
      </c>
      <c r="D2435" s="3" t="str">
        <f>IFERROR(__xludf.DUMMYFUNCTION("GOOGLETRANSLATE(A2435, ""nl"", ""en"")"),"Architectural and Structural Associations")</f>
        <v>Architectural and Structural Associations</v>
      </c>
      <c r="E2435" s="3" t="str">
        <f>IFERROR(__xludf.DUMMYFUNCTION("GOOGLETRANSLATE(B2435, ""nl"", ""en"")"),"A tower that grows by itself")</f>
        <v>A tower that grows by itself</v>
      </c>
    </row>
    <row r="2436" ht="15.75" customHeight="1">
      <c r="A2436" s="3" t="s">
        <v>24</v>
      </c>
      <c r="B2436" s="3" t="s">
        <v>32</v>
      </c>
      <c r="D2436" s="3" t="str">
        <f>IFERROR(__xludf.DUMMYFUNCTION("GOOGLETRANSLATE(A2436, ""nl"", ""en"")"),"Cosmic and Abstract Patterns")</f>
        <v>Cosmic and Abstract Patterns</v>
      </c>
      <c r="E2436" s="3" t="str">
        <f>IFERROR(__xludf.DUMMYFUNCTION("GOOGLETRANSLATE(B2436, ""nl"", ""en"")"),"A time loop captured in image")</f>
        <v>A time loop captured in image</v>
      </c>
    </row>
    <row r="2437" ht="15.75" customHeight="1">
      <c r="A2437" s="3" t="s">
        <v>12</v>
      </c>
      <c r="B2437" s="3" t="s">
        <v>18</v>
      </c>
      <c r="D2437" s="3" t="str">
        <f>IFERROR(__xludf.DUMMYFUNCTION("GOOGLETRANSLATE(A2437, ""nl"", ""en"")"),"Nature and Elements")</f>
        <v>Nature and Elements</v>
      </c>
      <c r="E2437" s="3" t="str">
        <f>IFERROR(__xludf.DUMMYFUNCTION("GOOGLETRANSLATE(B2437, ""nl"", ""en"")"),"A tree with endless branches")</f>
        <v>A tree with endless branches</v>
      </c>
    </row>
    <row r="2438" ht="15.75" customHeight="1">
      <c r="A2438" s="3" t="s">
        <v>4</v>
      </c>
      <c r="B2438" s="3" t="s">
        <v>43</v>
      </c>
      <c r="D2438" s="3" t="str">
        <f>IFERROR(__xludf.DUMMYFUNCTION("GOOGLETRANSLATE(A2438, ""nl"", ""en"")"),"Architectural and Structural Associations")</f>
        <v>Architectural and Structural Associations</v>
      </c>
      <c r="E2438" s="3" t="str">
        <f>IFERROR(__xludf.DUMMYFUNCTION("GOOGLETRANSLATE(B2438, ""nl"", ""en"")"),"A network of tunnels and passages")</f>
        <v>A network of tunnels and passages</v>
      </c>
    </row>
    <row r="2439" ht="15.75" customHeight="1">
      <c r="A2439" s="3" t="s">
        <v>4</v>
      </c>
      <c r="B2439" s="3" t="s">
        <v>44</v>
      </c>
      <c r="D2439" s="3" t="str">
        <f>IFERROR(__xludf.DUMMYFUNCTION("GOOGLETRANSLATE(A2439, ""nl"", ""en"")"),"Architectural and Structural Associations")</f>
        <v>Architectural and Structural Associations</v>
      </c>
      <c r="E2439" s="3" t="str">
        <f>IFERROR(__xludf.DUMMYFUNCTION("GOOGLETRANSLATE(B2439, ""nl"", ""en"")"),"A structure that pulsates in waves")</f>
        <v>A structure that pulsates in waves</v>
      </c>
    </row>
    <row r="2440" ht="15.75" customHeight="1">
      <c r="A2440" s="3" t="s">
        <v>15</v>
      </c>
      <c r="B2440" s="3" t="s">
        <v>45</v>
      </c>
      <c r="D2440" s="3" t="str">
        <f>IFERROR(__xludf.DUMMYFUNCTION("GOOGLETRANSLATE(A2440, ""nl"", ""en"")"),"Animals and Organic Forms")</f>
        <v>Animals and Organic Forms</v>
      </c>
      <c r="E2440" s="3" t="str">
        <f>IFERROR(__xludf.DUMMYFUNCTION("GOOGLETRANSLATE(B2440, ""nl"", ""en"")"),"A snake biting its own tail")</f>
        <v>A snake biting its own tail</v>
      </c>
    </row>
    <row r="2441" ht="15.75" customHeight="1">
      <c r="A2441" s="3" t="s">
        <v>9</v>
      </c>
      <c r="B2441" s="3" t="s">
        <v>49</v>
      </c>
      <c r="D2441" s="3" t="str">
        <f>IFERROR(__xludf.DUMMYFUNCTION("GOOGLETRANSLATE(A2441, ""nl"", ""en"")"),"Psychological and Emotional Interpretations")</f>
        <v>Psychological and Emotional Interpretations</v>
      </c>
      <c r="E2441" s="3" t="str">
        <f>IFERROR(__xludf.DUMMYFUNCTION("GOOGLETRANSLATE(B2441, ""nl"", ""en"")"),"A spiral that turns inward")</f>
        <v>A spiral that turns inward</v>
      </c>
    </row>
    <row r="2442" ht="15.75" customHeight="1">
      <c r="A2442" s="3" t="s">
        <v>15</v>
      </c>
      <c r="B2442" s="3" t="s">
        <v>26</v>
      </c>
      <c r="D2442" s="3" t="str">
        <f>IFERROR(__xludf.DUMMYFUNCTION("GOOGLETRANSLATE(A2442, ""nl"", ""en"")"),"Animals and Organic Forms")</f>
        <v>Animals and Organic Forms</v>
      </c>
      <c r="E2442" s="3" t="str">
        <f>IFERROR(__xludf.DUMMYFUNCTION("GOOGLETRANSLATE(B2442, ""nl"", ""en"")"),"A frog preparing to jump")</f>
        <v>A frog preparing to jump</v>
      </c>
    </row>
    <row r="2443" ht="15.75" customHeight="1">
      <c r="A2443" s="3" t="s">
        <v>24</v>
      </c>
      <c r="B2443" s="3" t="s">
        <v>31</v>
      </c>
      <c r="D2443" s="3" t="str">
        <f>IFERROR(__xludf.DUMMYFUNCTION("GOOGLETRANSLATE(A2443, ""nl"", ""en"")"),"Cosmic and Abstract Patterns")</f>
        <v>Cosmic and Abstract Patterns</v>
      </c>
      <c r="E2443" s="3" t="str">
        <f>IFERROR(__xludf.DUMMYFUNCTION("GOOGLETRANSLATE(B2443, ""nl"", ""en"")"),"A planet with unusual rings")</f>
        <v>A planet with unusual rings</v>
      </c>
    </row>
    <row r="2444" ht="15.75" customHeight="1">
      <c r="A2444" s="3" t="s">
        <v>24</v>
      </c>
      <c r="B2444" s="3" t="s">
        <v>32</v>
      </c>
      <c r="D2444" s="3" t="str">
        <f>IFERROR(__xludf.DUMMYFUNCTION("GOOGLETRANSLATE(A2444, ""nl"", ""en"")"),"Cosmic and Abstract Patterns")</f>
        <v>Cosmic and Abstract Patterns</v>
      </c>
      <c r="E2444" s="3" t="str">
        <f>IFERROR(__xludf.DUMMYFUNCTION("GOOGLETRANSLATE(B2444, ""nl"", ""en"")"),"A time loop captured in image")</f>
        <v>A time loop captured in image</v>
      </c>
    </row>
    <row r="2445" ht="15.75" customHeight="1">
      <c r="A2445" s="3" t="s">
        <v>24</v>
      </c>
      <c r="B2445" s="3" t="s">
        <v>54</v>
      </c>
      <c r="D2445" s="3" t="str">
        <f>IFERROR(__xludf.DUMMYFUNCTION("GOOGLETRANSLATE(A2445, ""nl"", ""en"")"),"Cosmic and Abstract Patterns")</f>
        <v>Cosmic and Abstract Patterns</v>
      </c>
      <c r="E2445" s="3" t="str">
        <f>IFERROR(__xludf.DUMMYFUNCTION("GOOGLETRANSLATE(B2445, ""nl"", ""en"")"),"A quantum particle in superposition")</f>
        <v>A quantum particle in superposition</v>
      </c>
    </row>
    <row r="2446" ht="15.75" customHeight="1">
      <c r="A2446" s="3" t="s">
        <v>9</v>
      </c>
      <c r="B2446" s="3" t="s">
        <v>10</v>
      </c>
      <c r="D2446" s="3" t="str">
        <f>IFERROR(__xludf.DUMMYFUNCTION("GOOGLETRANSLATE(A2446, ""nl"", ""en"")"),"Psychological and Emotional Interpretations")</f>
        <v>Psychological and Emotional Interpretations</v>
      </c>
      <c r="E2446" s="3" t="str">
        <f>IFERROR(__xludf.DUMMYFUNCTION("GOOGLETRANSLATE(B2446, ""nl"", ""en"")"),"A face transforming in light")</f>
        <v>A face transforming in light</v>
      </c>
    </row>
    <row r="2447" ht="15.75" customHeight="1">
      <c r="A2447" s="3" t="s">
        <v>24</v>
      </c>
      <c r="B2447" s="3" t="s">
        <v>29</v>
      </c>
      <c r="D2447" s="3" t="str">
        <f>IFERROR(__xludf.DUMMYFUNCTION("GOOGLETRANSLATE(A2447, ""nl"", ""en"")"),"Cosmic and Abstract Patterns")</f>
        <v>Cosmic and Abstract Patterns</v>
      </c>
      <c r="E2447" s="3" t="str">
        <f>IFERROR(__xludf.DUMMYFUNCTION("GOOGLETRANSLATE(B2447, ""nl"", ""en"")"),"A galaxy unfolding")</f>
        <v>A galaxy unfolding</v>
      </c>
    </row>
    <row r="2448" ht="15.75" customHeight="1">
      <c r="A2448" s="3" t="s">
        <v>15</v>
      </c>
      <c r="B2448" s="3" t="s">
        <v>52</v>
      </c>
      <c r="D2448" s="3" t="str">
        <f>IFERROR(__xludf.DUMMYFUNCTION("GOOGLETRANSLATE(A2448, ""nl"", ""en"")"),"Animals and Organic Forms")</f>
        <v>Animals and Organic Forms</v>
      </c>
      <c r="E2448" s="3" t="str">
        <f>IFERROR(__xludf.DUMMYFUNCTION("GOOGLETRANSLATE(B2448, ""nl"", ""en"")"),"A mask made of leaves")</f>
        <v>A mask made of leaves</v>
      </c>
    </row>
    <row r="2449" ht="15.75" customHeight="1">
      <c r="A2449" s="3" t="s">
        <v>4</v>
      </c>
      <c r="B2449" s="3" t="s">
        <v>5</v>
      </c>
      <c r="D2449" s="3" t="str">
        <f>IFERROR(__xludf.DUMMYFUNCTION("GOOGLETRANSLATE(A2449, ""nl"", ""en"")"),"Architectural and Structural Associations")</f>
        <v>Architectural and Structural Associations</v>
      </c>
      <c r="E2449" s="3" t="str">
        <f>IFERROR(__xludf.DUMMYFUNCTION("GOOGLETRANSLATE(B2449, ""nl"", ""en"")"),"A cathedral shaped from mist")</f>
        <v>A cathedral shaped from mist</v>
      </c>
    </row>
    <row r="2450" ht="15.75" customHeight="1">
      <c r="A2450" s="3" t="s">
        <v>4</v>
      </c>
      <c r="B2450" s="3" t="s">
        <v>44</v>
      </c>
      <c r="D2450" s="3" t="str">
        <f>IFERROR(__xludf.DUMMYFUNCTION("GOOGLETRANSLATE(A2450, ""nl"", ""en"")"),"Architectural and Structural Associations")</f>
        <v>Architectural and Structural Associations</v>
      </c>
      <c r="E2450" s="3" t="str">
        <f>IFERROR(__xludf.DUMMYFUNCTION("GOOGLETRANSLATE(B2450, ""nl"", ""en"")"),"A structure that pulsates in waves")</f>
        <v>A structure that pulsates in waves</v>
      </c>
    </row>
    <row r="2451" ht="15.75" customHeight="1">
      <c r="A2451" s="3" t="s">
        <v>24</v>
      </c>
      <c r="B2451" s="3" t="s">
        <v>48</v>
      </c>
      <c r="D2451" s="3" t="str">
        <f>IFERROR(__xludf.DUMMYFUNCTION("GOOGLETRANSLATE(A2451, ""nl"", ""en"")"),"Cosmic and Abstract Patterns")</f>
        <v>Cosmic and Abstract Patterns</v>
      </c>
      <c r="E2451" s="3" t="str">
        <f>IFERROR(__xludf.DUMMYFUNCTION("GOOGLETRANSLATE(B2451, ""nl"", ""en"")"),"A fractal that repeats itself")</f>
        <v>A fractal that repeats itself</v>
      </c>
    </row>
    <row r="2452" ht="15.75" customHeight="1">
      <c r="A2452" s="3" t="s">
        <v>7</v>
      </c>
      <c r="B2452" s="3" t="s">
        <v>56</v>
      </c>
      <c r="D2452" s="3" t="str">
        <f>IFERROR(__xludf.DUMMYFUNCTION("GOOGLETRANSLATE(A2452, ""nl"", ""en"")"),"Human Figures and Physicality")</f>
        <v>Human Figures and Physicality</v>
      </c>
      <c r="E2452" s="3" t="str">
        <f>IFERROR(__xludf.DUMMYFUNCTION("GOOGLETRANSLATE(B2452, ""nl"", ""en"")"),"A shadow that seems to move")</f>
        <v>A shadow that seems to move</v>
      </c>
    </row>
    <row r="2453" ht="15.75" customHeight="1">
      <c r="A2453" s="3" t="s">
        <v>9</v>
      </c>
      <c r="B2453" s="3" t="s">
        <v>11</v>
      </c>
      <c r="D2453" s="3" t="str">
        <f>IFERROR(__xludf.DUMMYFUNCTION("GOOGLETRANSLATE(A2453, ""nl"", ""en"")"),"Psychological and Emotional Interpretations")</f>
        <v>Psychological and Emotional Interpretations</v>
      </c>
      <c r="E2453" s="3" t="str">
        <f>IFERROR(__xludf.DUMMYFUNCTION("GOOGLETRANSLATE(B2453, ""nl"", ""en"")"),"An emotion captured in abstraction")</f>
        <v>An emotion captured in abstraction</v>
      </c>
    </row>
    <row r="2454" ht="15.75" customHeight="1">
      <c r="A2454" s="3" t="s">
        <v>24</v>
      </c>
      <c r="B2454" s="3" t="s">
        <v>54</v>
      </c>
      <c r="D2454" s="3" t="str">
        <f>IFERROR(__xludf.DUMMYFUNCTION("GOOGLETRANSLATE(A2454, ""nl"", ""en"")"),"Cosmic and Abstract Patterns")</f>
        <v>Cosmic and Abstract Patterns</v>
      </c>
      <c r="E2454" s="3" t="str">
        <f>IFERROR(__xludf.DUMMYFUNCTION("GOOGLETRANSLATE(B2454, ""nl"", ""en"")"),"A quantum particle in superposition")</f>
        <v>A quantum particle in superposition</v>
      </c>
    </row>
    <row r="2455" ht="15.75" customHeight="1">
      <c r="A2455" s="3" t="s">
        <v>7</v>
      </c>
      <c r="B2455" s="3" t="s">
        <v>39</v>
      </c>
      <c r="D2455" s="3" t="str">
        <f>IFERROR(__xludf.DUMMYFUNCTION("GOOGLETRANSLATE(A2455, ""nl"", ""en"")"),"Human Figures and Physicality")</f>
        <v>Human Figures and Physicality</v>
      </c>
      <c r="E2455" s="3" t="str">
        <f>IFERROR(__xludf.DUMMYFUNCTION("GOOGLETRANSLATE(B2455, ""nl"", ""en"")"),"A torso without a head")</f>
        <v>A torso without a head</v>
      </c>
    </row>
    <row r="2456" ht="15.75" customHeight="1">
      <c r="A2456" s="3" t="s">
        <v>24</v>
      </c>
      <c r="B2456" s="3" t="s">
        <v>25</v>
      </c>
      <c r="D2456" s="3" t="str">
        <f>IFERROR(__xludf.DUMMYFUNCTION("GOOGLETRANSLATE(A2456, ""nl"", ""en"")"),"Cosmic and Abstract Patterns")</f>
        <v>Cosmic and Abstract Patterns</v>
      </c>
      <c r="E2456" s="3" t="str">
        <f>IFERROR(__xludf.DUMMYFUNCTION("GOOGLETRANSLATE(B2456, ""nl"", ""en"")"),"A meteor shower dissolving into each other")</f>
        <v>A meteor shower dissolving into each other</v>
      </c>
    </row>
    <row r="2457" ht="15.75" customHeight="1">
      <c r="A2457" s="3" t="s">
        <v>24</v>
      </c>
      <c r="B2457" s="3" t="s">
        <v>54</v>
      </c>
      <c r="D2457" s="3" t="str">
        <f>IFERROR(__xludf.DUMMYFUNCTION("GOOGLETRANSLATE(A2457, ""nl"", ""en"")"),"Cosmic and Abstract Patterns")</f>
        <v>Cosmic and Abstract Patterns</v>
      </c>
      <c r="E2457" s="3" t="str">
        <f>IFERROR(__xludf.DUMMYFUNCTION("GOOGLETRANSLATE(B2457, ""nl"", ""en"")"),"A quantum particle in superposition")</f>
        <v>A quantum particle in superposition</v>
      </c>
    </row>
    <row r="2458" ht="15.75" customHeight="1">
      <c r="A2458" s="3" t="s">
        <v>7</v>
      </c>
      <c r="B2458" s="3" t="s">
        <v>28</v>
      </c>
      <c r="D2458" s="3" t="str">
        <f>IFERROR(__xludf.DUMMYFUNCTION("GOOGLETRANSLATE(A2458, ""nl"", ""en"")"),"Human Figures and Physicality")</f>
        <v>Human Figures and Physicality</v>
      </c>
      <c r="E2458" s="3" t="str">
        <f>IFERROR(__xludf.DUMMYFUNCTION("GOOGLETRANSLATE(B2458, ""nl"", ""en"")"),"A dancing silhouette")</f>
        <v>A dancing silhouette</v>
      </c>
    </row>
    <row r="2459" ht="15.75" customHeight="1">
      <c r="A2459" s="3" t="s">
        <v>9</v>
      </c>
      <c r="B2459" s="3" t="s">
        <v>57</v>
      </c>
      <c r="D2459" s="3" t="str">
        <f>IFERROR(__xludf.DUMMYFUNCTION("GOOGLETRANSLATE(A2459, ""nl"", ""en"")"),"Psychological and Emotional Interpretations")</f>
        <v>Psychological and Emotional Interpretations</v>
      </c>
      <c r="E2459" s="3" t="str">
        <f>IFERROR(__xludf.DUMMYFUNCTION("GOOGLETRANSLATE(B2459, ""nl"", ""en"")"),"An explosion of colours and feelings")</f>
        <v>An explosion of colours and feelings</v>
      </c>
    </row>
    <row r="2460" ht="15.75" customHeight="1">
      <c r="A2460" s="3" t="s">
        <v>12</v>
      </c>
      <c r="B2460" s="3" t="s">
        <v>47</v>
      </c>
      <c r="D2460" s="3" t="str">
        <f>IFERROR(__xludf.DUMMYFUNCTION("GOOGLETRANSLATE(A2460, ""nl"", ""en"")"),"Nature and Elements")</f>
        <v>Nature and Elements</v>
      </c>
      <c r="E2460" s="3" t="str">
        <f>IFERROR(__xludf.DUMMYFUNCTION("GOOGLETRANSLATE(B2460, ""nl"", ""en"")"),"A desert landscape that slowly changes")</f>
        <v>A desert landscape that slowly changes</v>
      </c>
    </row>
    <row r="2461" ht="15.75" customHeight="1">
      <c r="A2461" s="3" t="s">
        <v>12</v>
      </c>
      <c r="B2461" s="3" t="s">
        <v>18</v>
      </c>
      <c r="D2461" s="3" t="str">
        <f>IFERROR(__xludf.DUMMYFUNCTION("GOOGLETRANSLATE(A2461, ""nl"", ""en"")"),"Nature and Elements")</f>
        <v>Nature and Elements</v>
      </c>
      <c r="E2461" s="3" t="str">
        <f>IFERROR(__xludf.DUMMYFUNCTION("GOOGLETRANSLATE(B2461, ""nl"", ""en"")"),"A tree with endless branches")</f>
        <v>A tree with endless branches</v>
      </c>
    </row>
    <row r="2462" ht="15.75" customHeight="1">
      <c r="A2462" s="3" t="s">
        <v>9</v>
      </c>
      <c r="B2462" s="3" t="s">
        <v>49</v>
      </c>
      <c r="D2462" s="3" t="str">
        <f>IFERROR(__xludf.DUMMYFUNCTION("GOOGLETRANSLATE(A2462, ""nl"", ""en"")"),"Psychological and Emotional Interpretations")</f>
        <v>Psychological and Emotional Interpretations</v>
      </c>
      <c r="E2462" s="3" t="str">
        <f>IFERROR(__xludf.DUMMYFUNCTION("GOOGLETRANSLATE(B2462, ""nl"", ""en"")"),"A spiral that turns inward")</f>
        <v>A spiral that turns inward</v>
      </c>
    </row>
    <row r="2463" ht="15.75" customHeight="1">
      <c r="A2463" s="3" t="s">
        <v>9</v>
      </c>
      <c r="B2463" s="3" t="s">
        <v>57</v>
      </c>
      <c r="D2463" s="3" t="str">
        <f>IFERROR(__xludf.DUMMYFUNCTION("GOOGLETRANSLATE(A2463, ""nl"", ""en"")"),"Psychological and Emotional Interpretations")</f>
        <v>Psychological and Emotional Interpretations</v>
      </c>
      <c r="E2463" s="3" t="str">
        <f>IFERROR(__xludf.DUMMYFUNCTION("GOOGLETRANSLATE(B2463, ""nl"", ""en"")"),"An explosion of colours and feelings")</f>
        <v>An explosion of colours and feelings</v>
      </c>
    </row>
    <row r="2464" ht="15.75" customHeight="1">
      <c r="A2464" s="3" t="s">
        <v>24</v>
      </c>
      <c r="B2464" s="3" t="s">
        <v>33</v>
      </c>
      <c r="D2464" s="3" t="str">
        <f>IFERROR(__xludf.DUMMYFUNCTION("GOOGLETRANSLATE(A2464, ""nl"", ""en"")"),"Cosmic and Abstract Patterns")</f>
        <v>Cosmic and Abstract Patterns</v>
      </c>
      <c r="E2464" s="3" t="str">
        <f>IFERROR(__xludf.DUMMYFUNCTION("GOOGLETRANSLATE(B2464, ""nl"", ""en"")"),"An eye that repeats itself in endless patterns")</f>
        <v>An eye that repeats itself in endless patterns</v>
      </c>
    </row>
    <row r="2465" ht="15.75" customHeight="1">
      <c r="A2465" s="3" t="s">
        <v>9</v>
      </c>
      <c r="B2465" s="3" t="s">
        <v>57</v>
      </c>
      <c r="D2465" s="3" t="str">
        <f>IFERROR(__xludf.DUMMYFUNCTION("GOOGLETRANSLATE(A2465, ""nl"", ""en"")"),"Psychological and Emotional Interpretations")</f>
        <v>Psychological and Emotional Interpretations</v>
      </c>
      <c r="E2465" s="3" t="str">
        <f>IFERROR(__xludf.DUMMYFUNCTION("GOOGLETRANSLATE(B2465, ""nl"", ""en"")"),"An explosion of colours and feelings")</f>
        <v>An explosion of colours and feelings</v>
      </c>
    </row>
    <row r="2466" ht="15.75" customHeight="1">
      <c r="A2466" s="3" t="s">
        <v>12</v>
      </c>
      <c r="B2466" s="3" t="s">
        <v>18</v>
      </c>
      <c r="D2466" s="3" t="str">
        <f>IFERROR(__xludf.DUMMYFUNCTION("GOOGLETRANSLATE(A2466, ""nl"", ""en"")"),"Nature and Elements")</f>
        <v>Nature and Elements</v>
      </c>
      <c r="E2466" s="3" t="str">
        <f>IFERROR(__xludf.DUMMYFUNCTION("GOOGLETRANSLATE(B2466, ""nl"", ""en"")"),"A tree with endless branches")</f>
        <v>A tree with endless branches</v>
      </c>
    </row>
    <row r="2467" ht="15.75" customHeight="1">
      <c r="A2467" s="3" t="s">
        <v>7</v>
      </c>
      <c r="B2467" s="3" t="s">
        <v>41</v>
      </c>
      <c r="D2467" s="3" t="str">
        <f>IFERROR(__xludf.DUMMYFUNCTION("GOOGLETRANSLATE(A2467, ""nl"", ""en"")"),"Human Figures and Physicality")</f>
        <v>Human Figures and Physicality</v>
      </c>
      <c r="E2467" s="3" t="str">
        <f>IFERROR(__xludf.DUMMYFUNCTION("GOOGLETRANSLATE(B2467, ""nl"", ""en"")"),"A face that fades into abstraction")</f>
        <v>A face that fades into abstraction</v>
      </c>
    </row>
    <row r="2468" ht="15.75" customHeight="1">
      <c r="A2468" s="3" t="s">
        <v>4</v>
      </c>
      <c r="B2468" s="3" t="s">
        <v>21</v>
      </c>
      <c r="D2468" s="3" t="str">
        <f>IFERROR(__xludf.DUMMYFUNCTION("GOOGLETRANSLATE(A2468, ""nl"", ""en"")"),"Architectural and Structural Associations")</f>
        <v>Architectural and Structural Associations</v>
      </c>
      <c r="E2468" s="3" t="str">
        <f>IFERROR(__xludf.DUMMYFUNCTION("GOOGLETRANSLATE(B2468, ""nl"", ""en"")"),"A bridge that leads nowhere")</f>
        <v>A bridge that leads nowhere</v>
      </c>
    </row>
    <row r="2469" ht="15.75" customHeight="1">
      <c r="A2469" s="3" t="s">
        <v>4</v>
      </c>
      <c r="B2469" s="3" t="s">
        <v>44</v>
      </c>
      <c r="D2469" s="3" t="str">
        <f>IFERROR(__xludf.DUMMYFUNCTION("GOOGLETRANSLATE(A2469, ""nl"", ""en"")"),"Architectural and Structural Associations")</f>
        <v>Architectural and Structural Associations</v>
      </c>
      <c r="E2469" s="3" t="str">
        <f>IFERROR(__xludf.DUMMYFUNCTION("GOOGLETRANSLATE(B2469, ""nl"", ""en"")"),"A structure that pulsates in waves")</f>
        <v>A structure that pulsates in waves</v>
      </c>
    </row>
    <row r="2470" ht="15.75" customHeight="1">
      <c r="A2470" s="3" t="s">
        <v>24</v>
      </c>
      <c r="B2470" s="3" t="s">
        <v>29</v>
      </c>
      <c r="D2470" s="3" t="str">
        <f>IFERROR(__xludf.DUMMYFUNCTION("GOOGLETRANSLATE(A2470, ""nl"", ""en"")"),"Cosmic and Abstract Patterns")</f>
        <v>Cosmic and Abstract Patterns</v>
      </c>
      <c r="E2470" s="3" t="str">
        <f>IFERROR(__xludf.DUMMYFUNCTION("GOOGLETRANSLATE(B2470, ""nl"", ""en"")"),"A galaxy unfolding")</f>
        <v>A galaxy unfolding</v>
      </c>
    </row>
    <row r="2471" ht="15.75" customHeight="1">
      <c r="A2471" s="3" t="s">
        <v>12</v>
      </c>
      <c r="B2471" s="3" t="s">
        <v>13</v>
      </c>
      <c r="D2471" s="3" t="str">
        <f>IFERROR(__xludf.DUMMYFUNCTION("GOOGLETRANSLATE(A2471, ""nl"", ""en"")"),"Nature and Elements")</f>
        <v>Nature and Elements</v>
      </c>
      <c r="E2471" s="3" t="str">
        <f>IFERROR(__xludf.DUMMYFUNCTION("GOOGLETRANSLATE(B2471, ""nl"", ""en"")"),"A lightning strike in slow motion")</f>
        <v>A lightning strike in slow motion</v>
      </c>
    </row>
    <row r="2472" ht="15.75" customHeight="1">
      <c r="A2472" s="3" t="s">
        <v>7</v>
      </c>
      <c r="B2472" s="3" t="s">
        <v>40</v>
      </c>
      <c r="D2472" s="3" t="str">
        <f>IFERROR(__xludf.DUMMYFUNCTION("GOOGLETRANSLATE(A2472, ""nl"", ""en"")"),"Human Figures and Physicality")</f>
        <v>Human Figures and Physicality</v>
      </c>
      <c r="E2472" s="3" t="str">
        <f>IFERROR(__xludf.DUMMYFUNCTION("GOOGLETRANSLATE(B2472, ""nl"", ""en"")"),"A figure who is withdrawn into himself")</f>
        <v>A figure who is withdrawn into himself</v>
      </c>
    </row>
    <row r="2473" ht="15.75" customHeight="1">
      <c r="A2473" s="3" t="s">
        <v>7</v>
      </c>
      <c r="B2473" s="3" t="s">
        <v>56</v>
      </c>
      <c r="D2473" s="3" t="str">
        <f>IFERROR(__xludf.DUMMYFUNCTION("GOOGLETRANSLATE(A2473, ""nl"", ""en"")"),"Human Figures and Physicality")</f>
        <v>Human Figures and Physicality</v>
      </c>
      <c r="E2473" s="3" t="str">
        <f>IFERROR(__xludf.DUMMYFUNCTION("GOOGLETRANSLATE(B2473, ""nl"", ""en"")"),"A shadow that seems to move")</f>
        <v>A shadow that seems to move</v>
      </c>
    </row>
    <row r="2474" ht="15.75" customHeight="1">
      <c r="A2474" s="3" t="s">
        <v>9</v>
      </c>
      <c r="B2474" s="3" t="s">
        <v>14</v>
      </c>
      <c r="D2474" s="3" t="str">
        <f>IFERROR(__xludf.DUMMYFUNCTION("GOOGLETRANSLATE(A2474, ""nl"", ""en"")"),"Psychological and Emotional Interpretations")</f>
        <v>Psychological and Emotional Interpretations</v>
      </c>
      <c r="E2474" s="3" t="str">
        <f>IFERROR(__xludf.DUMMYFUNCTION("GOOGLETRANSLATE(B2474, ""nl"", ""en"")"),"An unclear hug")</f>
        <v>An unclear hug</v>
      </c>
    </row>
    <row r="2475" ht="15.75" customHeight="1">
      <c r="A2475" s="3" t="s">
        <v>15</v>
      </c>
      <c r="B2475" s="3" t="s">
        <v>52</v>
      </c>
      <c r="D2475" s="3" t="str">
        <f>IFERROR(__xludf.DUMMYFUNCTION("GOOGLETRANSLATE(A2475, ""nl"", ""en"")"),"Animals and Organic Forms")</f>
        <v>Animals and Organic Forms</v>
      </c>
      <c r="E2475" s="3" t="str">
        <f>IFERROR(__xludf.DUMMYFUNCTION("GOOGLETRANSLATE(B2475, ""nl"", ""en"")"),"A mask made of leaves")</f>
        <v>A mask made of leaves</v>
      </c>
    </row>
    <row r="2476" ht="15.75" customHeight="1">
      <c r="A2476" s="3" t="s">
        <v>9</v>
      </c>
      <c r="B2476" s="3" t="s">
        <v>14</v>
      </c>
      <c r="D2476" s="3" t="str">
        <f>IFERROR(__xludf.DUMMYFUNCTION("GOOGLETRANSLATE(A2476, ""nl"", ""en"")"),"Psychological and Emotional Interpretations")</f>
        <v>Psychological and Emotional Interpretations</v>
      </c>
      <c r="E2476" s="3" t="str">
        <f>IFERROR(__xludf.DUMMYFUNCTION("GOOGLETRANSLATE(B2476, ""nl"", ""en"")"),"An unclear hug")</f>
        <v>An unclear hug</v>
      </c>
    </row>
    <row r="2477" ht="15.75" customHeight="1">
      <c r="A2477" s="3" t="s">
        <v>15</v>
      </c>
      <c r="B2477" s="3" t="s">
        <v>16</v>
      </c>
      <c r="D2477" s="3" t="str">
        <f>IFERROR(__xludf.DUMMYFUNCTION("GOOGLETRANSLATE(A2477, ""nl"", ""en"")"),"Animals and Organic Forms")</f>
        <v>Animals and Organic Forms</v>
      </c>
      <c r="E2477" s="3" t="str">
        <f>IFERROR(__xludf.DUMMYFUNCTION("GOOGLETRANSLATE(B2477, ""nl"", ""en"")"),"A butterfly in transformation")</f>
        <v>A butterfly in transformation</v>
      </c>
    </row>
    <row r="2478" ht="15.75" customHeight="1">
      <c r="A2478" s="3" t="s">
        <v>15</v>
      </c>
      <c r="B2478" s="3" t="s">
        <v>38</v>
      </c>
      <c r="D2478" s="3" t="str">
        <f>IFERROR(__xludf.DUMMYFUNCTION("GOOGLETRANSLATE(A2478, ""nl"", ""en"")"),"Animals and Organic Forms")</f>
        <v>Animals and Organic Forms</v>
      </c>
      <c r="E2478" s="3" t="str">
        <f>IFERROR(__xludf.DUMMYFUNCTION("GOOGLETRANSLATE(B2478, ""nl"", ""en"")"),"A lion with an open mouth")</f>
        <v>A lion with an open mouth</v>
      </c>
    </row>
    <row r="2479" ht="15.75" customHeight="1">
      <c r="A2479" s="3" t="s">
        <v>15</v>
      </c>
      <c r="B2479" s="3" t="s">
        <v>26</v>
      </c>
      <c r="D2479" s="3" t="str">
        <f>IFERROR(__xludf.DUMMYFUNCTION("GOOGLETRANSLATE(A2479, ""nl"", ""en"")"),"Animals and Organic Forms")</f>
        <v>Animals and Organic Forms</v>
      </c>
      <c r="E2479" s="3" t="str">
        <f>IFERROR(__xludf.DUMMYFUNCTION("GOOGLETRANSLATE(B2479, ""nl"", ""en"")"),"A frog preparing to jump")</f>
        <v>A frog preparing to jump</v>
      </c>
    </row>
    <row r="2480" ht="15.75" customHeight="1">
      <c r="A2480" s="3" t="s">
        <v>9</v>
      </c>
      <c r="B2480" s="3" t="s">
        <v>17</v>
      </c>
      <c r="D2480" s="3" t="str">
        <f>IFERROR(__xludf.DUMMYFUNCTION("GOOGLETRANSLATE(A2480, ""nl"", ""en"")"),"Psychological and Emotional Interpretations")</f>
        <v>Psychological and Emotional Interpretations</v>
      </c>
      <c r="E2480" s="3" t="str">
        <f>IFERROR(__xludf.DUMMYFUNCTION("GOOGLETRANSLATE(B2480, ""nl"", ""en"")"),"A figure that seems to melt")</f>
        <v>A figure that seems to melt</v>
      </c>
    </row>
    <row r="2481" ht="15.75" customHeight="1">
      <c r="A2481" s="3" t="s">
        <v>15</v>
      </c>
      <c r="B2481" s="3" t="s">
        <v>52</v>
      </c>
      <c r="D2481" s="3" t="str">
        <f>IFERROR(__xludf.DUMMYFUNCTION("GOOGLETRANSLATE(A2481, ""nl"", ""en"")"),"Animals and Organic Forms")</f>
        <v>Animals and Organic Forms</v>
      </c>
      <c r="E2481" s="3" t="str">
        <f>IFERROR(__xludf.DUMMYFUNCTION("GOOGLETRANSLATE(B2481, ""nl"", ""en"")"),"A mask made of leaves")</f>
        <v>A mask made of leaves</v>
      </c>
    </row>
    <row r="2482" ht="15.75" customHeight="1">
      <c r="A2482" s="3" t="s">
        <v>4</v>
      </c>
      <c r="B2482" s="3" t="s">
        <v>5</v>
      </c>
      <c r="D2482" s="3" t="str">
        <f>IFERROR(__xludf.DUMMYFUNCTION("GOOGLETRANSLATE(A2482, ""nl"", ""en"")"),"Architectural and Structural Associations")</f>
        <v>Architectural and Structural Associations</v>
      </c>
      <c r="E2482" s="3" t="str">
        <f>IFERROR(__xludf.DUMMYFUNCTION("GOOGLETRANSLATE(B2482, ""nl"", ""en"")"),"A cathedral shaped from mist")</f>
        <v>A cathedral shaped from mist</v>
      </c>
    </row>
    <row r="2483" ht="15.75" customHeight="1">
      <c r="A2483" s="3" t="s">
        <v>24</v>
      </c>
      <c r="B2483" s="3" t="s">
        <v>31</v>
      </c>
      <c r="D2483" s="3" t="str">
        <f>IFERROR(__xludf.DUMMYFUNCTION("GOOGLETRANSLATE(A2483, ""nl"", ""en"")"),"Cosmic and Abstract Patterns")</f>
        <v>Cosmic and Abstract Patterns</v>
      </c>
      <c r="E2483" s="3" t="str">
        <f>IFERROR(__xludf.DUMMYFUNCTION("GOOGLETRANSLATE(B2483, ""nl"", ""en"")"),"A planet with unusual rings")</f>
        <v>A planet with unusual rings</v>
      </c>
    </row>
    <row r="2484" ht="15.75" customHeight="1">
      <c r="A2484" s="3" t="s">
        <v>4</v>
      </c>
      <c r="B2484" s="3" t="s">
        <v>55</v>
      </c>
      <c r="D2484" s="3" t="str">
        <f>IFERROR(__xludf.DUMMYFUNCTION("GOOGLETRANSLATE(A2484, ""nl"", ""en"")"),"Architectural and Structural Associations")</f>
        <v>Architectural and Structural Associations</v>
      </c>
      <c r="E2484" s="3" t="str">
        <f>IFERROR(__xludf.DUMMYFUNCTION("GOOGLETRANSLATE(B2484, ""nl"", ""en"")"),"A prism that splits light into colors")</f>
        <v>A prism that splits light into colors</v>
      </c>
    </row>
    <row r="2485" ht="15.75" customHeight="1">
      <c r="A2485" s="3" t="s">
        <v>24</v>
      </c>
      <c r="B2485" s="3" t="s">
        <v>31</v>
      </c>
      <c r="D2485" s="3" t="str">
        <f>IFERROR(__xludf.DUMMYFUNCTION("GOOGLETRANSLATE(A2485, ""nl"", ""en"")"),"Cosmic and Abstract Patterns")</f>
        <v>Cosmic and Abstract Patterns</v>
      </c>
      <c r="E2485" s="3" t="str">
        <f>IFERROR(__xludf.DUMMYFUNCTION("GOOGLETRANSLATE(B2485, ""nl"", ""en"")"),"A planet with unusual rings")</f>
        <v>A planet with unusual rings</v>
      </c>
    </row>
    <row r="2486" ht="15.75" customHeight="1">
      <c r="A2486" s="3" t="s">
        <v>12</v>
      </c>
      <c r="B2486" s="3" t="s">
        <v>51</v>
      </c>
      <c r="D2486" s="3" t="str">
        <f>IFERROR(__xludf.DUMMYFUNCTION("GOOGLETRANSLATE(A2486, ""nl"", ""en"")"),"Nature and Elements")</f>
        <v>Nature and Elements</v>
      </c>
      <c r="E2486" s="3" t="str">
        <f>IFERROR(__xludf.DUMMYFUNCTION("GOOGLETRANSLATE(B2486, ""nl"", ""en"")"),"An evaporating puddle of water")</f>
        <v>An evaporating puddle of water</v>
      </c>
    </row>
    <row r="2487" ht="15.75" customHeight="1">
      <c r="A2487" s="3" t="s">
        <v>24</v>
      </c>
      <c r="B2487" s="3" t="s">
        <v>27</v>
      </c>
      <c r="D2487" s="3" t="str">
        <f>IFERROR(__xludf.DUMMYFUNCTION("GOOGLETRANSLATE(A2487, ""nl"", ""en"")"),"Cosmic and Abstract Patterns")</f>
        <v>Cosmic and Abstract Patterns</v>
      </c>
      <c r="E2487" s="3" t="str">
        <f>IFERROR(__xludf.DUMMYFUNCTION("GOOGLETRANSLATE(B2487, ""nl"", ""en"")"),"A pair of black holes in dance")</f>
        <v>A pair of black holes in dance</v>
      </c>
    </row>
    <row r="2488" ht="15.75" customHeight="1">
      <c r="A2488" s="3" t="s">
        <v>15</v>
      </c>
      <c r="B2488" s="3" t="s">
        <v>26</v>
      </c>
      <c r="D2488" s="3" t="str">
        <f>IFERROR(__xludf.DUMMYFUNCTION("GOOGLETRANSLATE(A2488, ""nl"", ""en"")"),"Animals and Organic Forms")</f>
        <v>Animals and Organic Forms</v>
      </c>
      <c r="E2488" s="3" t="str">
        <f>IFERROR(__xludf.DUMMYFUNCTION("GOOGLETRANSLATE(B2488, ""nl"", ""en"")"),"A frog preparing to jump")</f>
        <v>A frog preparing to jump</v>
      </c>
    </row>
    <row r="2489" ht="15.75" customHeight="1">
      <c r="A2489" s="3" t="s">
        <v>12</v>
      </c>
      <c r="B2489" s="3" t="s">
        <v>19</v>
      </c>
      <c r="D2489" s="3" t="str">
        <f>IFERROR(__xludf.DUMMYFUNCTION("GOOGLETRANSLATE(A2489, ""nl"", ""en"")"),"Nature and Elements")</f>
        <v>Nature and Elements</v>
      </c>
      <c r="E2489" s="3" t="str">
        <f>IFERROR(__xludf.DUMMYFUNCTION("GOOGLETRANSLATE(B2489, ""nl"", ""en"")"),"A mountain range that seems to breathe")</f>
        <v>A mountain range that seems to breathe</v>
      </c>
    </row>
    <row r="2490" ht="15.75" customHeight="1">
      <c r="A2490" s="3" t="s">
        <v>9</v>
      </c>
      <c r="B2490" s="3" t="s">
        <v>37</v>
      </c>
      <c r="D2490" s="3" t="str">
        <f>IFERROR(__xludf.DUMMYFUNCTION("GOOGLETRANSLATE(A2490, ""nl"", ""en"")"),"Psychological and Emotional Interpretations")</f>
        <v>Psychological and Emotional Interpretations</v>
      </c>
      <c r="E2490" s="3" t="str">
        <f>IFERROR(__xludf.DUMMYFUNCTION("GOOGLETRANSLATE(B2490, ""nl"", ""en"")"),"A figure looking through itself")</f>
        <v>A figure looking through itself</v>
      </c>
    </row>
    <row r="2491" ht="15.75" customHeight="1">
      <c r="A2491" s="3" t="s">
        <v>4</v>
      </c>
      <c r="B2491" s="3" t="s">
        <v>6</v>
      </c>
      <c r="D2491" s="3" t="str">
        <f>IFERROR(__xludf.DUMMYFUNCTION("GOOGLETRANSLATE(A2491, ""nl"", ""en"")"),"Architectural and Structural Associations")</f>
        <v>Architectural and Structural Associations</v>
      </c>
      <c r="E2491" s="3" t="str">
        <f>IFERROR(__xludf.DUMMYFUNCTION("GOOGLETRANSLATE(B2491, ""nl"", ""en"")"),"An endless labyrinth")</f>
        <v>An endless labyrinth</v>
      </c>
    </row>
    <row r="2492" ht="15.75" customHeight="1">
      <c r="A2492" s="3" t="s">
        <v>9</v>
      </c>
      <c r="B2492" s="3" t="s">
        <v>37</v>
      </c>
      <c r="D2492" s="3" t="str">
        <f>IFERROR(__xludf.DUMMYFUNCTION("GOOGLETRANSLATE(A2492, ""nl"", ""en"")"),"Psychological and Emotional Interpretations")</f>
        <v>Psychological and Emotional Interpretations</v>
      </c>
      <c r="E2492" s="3" t="str">
        <f>IFERROR(__xludf.DUMMYFUNCTION("GOOGLETRANSLATE(B2492, ""nl"", ""en"")"),"A figure looking through itself")</f>
        <v>A figure looking through itself</v>
      </c>
    </row>
    <row r="2493" ht="15.75" customHeight="1">
      <c r="A2493" s="3" t="s">
        <v>12</v>
      </c>
      <c r="B2493" s="3" t="s">
        <v>19</v>
      </c>
      <c r="D2493" s="3" t="str">
        <f>IFERROR(__xludf.DUMMYFUNCTION("GOOGLETRANSLATE(A2493, ""nl"", ""en"")"),"Nature and Elements")</f>
        <v>Nature and Elements</v>
      </c>
      <c r="E2493" s="3" t="str">
        <f>IFERROR(__xludf.DUMMYFUNCTION("GOOGLETRANSLATE(B2493, ""nl"", ""en"")"),"A mountain range that seems to breathe")</f>
        <v>A mountain range that seems to breathe</v>
      </c>
    </row>
    <row r="2494" ht="15.75" customHeight="1">
      <c r="A2494" s="3" t="s">
        <v>7</v>
      </c>
      <c r="B2494" s="3" t="s">
        <v>28</v>
      </c>
      <c r="D2494" s="3" t="str">
        <f>IFERROR(__xludf.DUMMYFUNCTION("GOOGLETRANSLATE(A2494, ""nl"", ""en"")"),"Human Figures and Physicality")</f>
        <v>Human Figures and Physicality</v>
      </c>
      <c r="E2494" s="3" t="str">
        <f>IFERROR(__xludf.DUMMYFUNCTION("GOOGLETRANSLATE(B2494, ""nl"", ""en"")"),"A dancing silhouette")</f>
        <v>A dancing silhouette</v>
      </c>
    </row>
    <row r="2495" ht="15.75" customHeight="1">
      <c r="A2495" s="3" t="s">
        <v>7</v>
      </c>
      <c r="B2495" s="3" t="s">
        <v>28</v>
      </c>
      <c r="D2495" s="3" t="str">
        <f>IFERROR(__xludf.DUMMYFUNCTION("GOOGLETRANSLATE(A2495, ""nl"", ""en"")"),"Human Figures and Physicality")</f>
        <v>Human Figures and Physicality</v>
      </c>
      <c r="E2495" s="3" t="str">
        <f>IFERROR(__xludf.DUMMYFUNCTION("GOOGLETRANSLATE(B2495, ""nl"", ""en"")"),"A dancing silhouette")</f>
        <v>A dancing silhouette</v>
      </c>
    </row>
    <row r="2496" ht="15.75" customHeight="1">
      <c r="A2496" s="3" t="s">
        <v>4</v>
      </c>
      <c r="B2496" s="3" t="s">
        <v>20</v>
      </c>
      <c r="D2496" s="3" t="str">
        <f>IFERROR(__xludf.DUMMYFUNCTION("GOOGLETRANSLATE(A2496, ""nl"", ""en"")"),"Architectural and Structural Associations")</f>
        <v>Architectural and Structural Associations</v>
      </c>
      <c r="E2496" s="3" t="str">
        <f>IFERROR(__xludf.DUMMYFUNCTION("GOOGLETRANSLATE(B2496, ""nl"", ""en"")"),"A tower that grows by itself")</f>
        <v>A tower that grows by itself</v>
      </c>
    </row>
    <row r="2497" ht="15.75" customHeight="1">
      <c r="A2497" s="3" t="s">
        <v>9</v>
      </c>
      <c r="B2497" s="3" t="s">
        <v>11</v>
      </c>
      <c r="D2497" s="3" t="str">
        <f>IFERROR(__xludf.DUMMYFUNCTION("GOOGLETRANSLATE(A2497, ""nl"", ""en"")"),"Psychological and Emotional Interpretations")</f>
        <v>Psychological and Emotional Interpretations</v>
      </c>
      <c r="E2497" s="3" t="str">
        <f>IFERROR(__xludf.DUMMYFUNCTION("GOOGLETRANSLATE(B2497, ""nl"", ""en"")"),"An emotion captured in abstraction")</f>
        <v>An emotion captured in abstraction</v>
      </c>
    </row>
    <row r="2498" ht="15.75" customHeight="1">
      <c r="A2498" s="3" t="s">
        <v>24</v>
      </c>
      <c r="B2498" s="3" t="s">
        <v>27</v>
      </c>
      <c r="D2498" s="3" t="str">
        <f>IFERROR(__xludf.DUMMYFUNCTION("GOOGLETRANSLATE(A2498, ""nl"", ""en"")"),"Cosmic and Abstract Patterns")</f>
        <v>Cosmic and Abstract Patterns</v>
      </c>
      <c r="E2498" s="3" t="str">
        <f>IFERROR(__xludf.DUMMYFUNCTION("GOOGLETRANSLATE(B2498, ""nl"", ""en"")"),"A pair of black holes in dance")</f>
        <v>A pair of black holes in dance</v>
      </c>
    </row>
    <row r="2499" ht="15.75" customHeight="1">
      <c r="A2499" s="3" t="s">
        <v>4</v>
      </c>
      <c r="B2499" s="3" t="s">
        <v>55</v>
      </c>
      <c r="D2499" s="3" t="str">
        <f>IFERROR(__xludf.DUMMYFUNCTION("GOOGLETRANSLATE(A2499, ""nl"", ""en"")"),"Architectural and Structural Associations")</f>
        <v>Architectural and Structural Associations</v>
      </c>
      <c r="E2499" s="3" t="str">
        <f>IFERROR(__xludf.DUMMYFUNCTION("GOOGLETRANSLATE(B2499, ""nl"", ""en"")"),"A prism that splits light into colors")</f>
        <v>A prism that splits light into colors</v>
      </c>
    </row>
    <row r="2500" ht="15.75" customHeight="1">
      <c r="A2500" s="3" t="s">
        <v>7</v>
      </c>
      <c r="B2500" s="3" t="s">
        <v>53</v>
      </c>
      <c r="D2500" s="3" t="str">
        <f>IFERROR(__xludf.DUMMYFUNCTION("GOOGLETRANSLATE(A2500, ""nl"", ""en"")"),"Human Figures and Physicality")</f>
        <v>Human Figures and Physicality</v>
      </c>
      <c r="E2500" s="3" t="str">
        <f>IFERROR(__xludf.DUMMYFUNCTION("GOOGLETRANSLATE(B2500, ""nl"", ""en"")"),"A face that both smiles and cries")</f>
        <v>A face that both smiles and cries</v>
      </c>
    </row>
    <row r="2501" ht="15.75" customHeight="1">
      <c r="A2501" s="3" t="s">
        <v>7</v>
      </c>
      <c r="B2501" s="3" t="s">
        <v>8</v>
      </c>
      <c r="D2501" s="3" t="str">
        <f>IFERROR(__xludf.DUMMYFUNCTION("GOOGLETRANSLATE(A2501, ""nl"", ""en"")"),"Human Figures and Physicality")</f>
        <v>Human Figures and Physicality</v>
      </c>
      <c r="E2501" s="3" t="str">
        <f>IFERROR(__xludf.DUMMYFUNCTION("GOOGLETRANSLATE(B2501, ""nl"", ""en"")"),"Two figures mirroring each other")</f>
        <v>Two figures mirroring each other</v>
      </c>
    </row>
    <row r="2502" ht="15.75" customHeight="1">
      <c r="A2502" s="3" t="s">
        <v>4</v>
      </c>
      <c r="B2502" s="3" t="s">
        <v>35</v>
      </c>
      <c r="D2502" s="3" t="str">
        <f>IFERROR(__xludf.DUMMYFUNCTION("GOOGLETRANSLATE(A2502, ""nl"", ""en"")"),"Architectural and Structural Associations")</f>
        <v>Architectural and Structural Associations</v>
      </c>
      <c r="E2502" s="3" t="str">
        <f>IFERROR(__xludf.DUMMYFUNCTION("GOOGLETRANSLATE(B2502, ""nl"", ""en"")"),"A floating building without a base")</f>
        <v>A floating building without a base</v>
      </c>
    </row>
    <row r="2503" ht="15.75" customHeight="1">
      <c r="A2503" s="3" t="s">
        <v>24</v>
      </c>
      <c r="B2503" s="3" t="s">
        <v>48</v>
      </c>
      <c r="D2503" s="3" t="str">
        <f>IFERROR(__xludf.DUMMYFUNCTION("GOOGLETRANSLATE(A2503, ""nl"", ""en"")"),"Cosmic and Abstract Patterns")</f>
        <v>Cosmic and Abstract Patterns</v>
      </c>
      <c r="E2503" s="3" t="str">
        <f>IFERROR(__xludf.DUMMYFUNCTION("GOOGLETRANSLATE(B2503, ""nl"", ""en"")"),"A fractal that repeats itself")</f>
        <v>A fractal that repeats itself</v>
      </c>
    </row>
    <row r="2504" ht="15.75" customHeight="1">
      <c r="A2504" s="3" t="s">
        <v>4</v>
      </c>
      <c r="B2504" s="3" t="s">
        <v>44</v>
      </c>
      <c r="D2504" s="3" t="str">
        <f>IFERROR(__xludf.DUMMYFUNCTION("GOOGLETRANSLATE(A2504, ""nl"", ""en"")"),"Architectural and Structural Associations")</f>
        <v>Architectural and Structural Associations</v>
      </c>
      <c r="E2504" s="3" t="str">
        <f>IFERROR(__xludf.DUMMYFUNCTION("GOOGLETRANSLATE(B2504, ""nl"", ""en"")"),"A structure that pulsates in waves")</f>
        <v>A structure that pulsates in waves</v>
      </c>
    </row>
    <row r="2505" ht="15.75" customHeight="1">
      <c r="A2505" s="3" t="s">
        <v>15</v>
      </c>
      <c r="B2505" s="3" t="s">
        <v>46</v>
      </c>
      <c r="D2505" s="3" t="str">
        <f>IFERROR(__xludf.DUMMYFUNCTION("GOOGLETRANSLATE(A2505, ""nl"", ""en"")"),"Animals and Organic Forms")</f>
        <v>Animals and Organic Forms</v>
      </c>
      <c r="E2505" s="3" t="str">
        <f>IFERROR(__xludf.DUMMYFUNCTION("GOOGLETRANSLATE(B2505, ""nl"", ""en"")"),"A flock of fish moving as one")</f>
        <v>A flock of fish moving as one</v>
      </c>
    </row>
    <row r="2506" ht="15.75" customHeight="1">
      <c r="A2506" s="3" t="s">
        <v>24</v>
      </c>
      <c r="B2506" s="3" t="s">
        <v>29</v>
      </c>
      <c r="D2506" s="3" t="str">
        <f>IFERROR(__xludf.DUMMYFUNCTION("GOOGLETRANSLATE(A2506, ""nl"", ""en"")"),"Cosmic and Abstract Patterns")</f>
        <v>Cosmic and Abstract Patterns</v>
      </c>
      <c r="E2506" s="3" t="str">
        <f>IFERROR(__xludf.DUMMYFUNCTION("GOOGLETRANSLATE(B2506, ""nl"", ""en"")"),"A galaxy unfolding")</f>
        <v>A galaxy unfolding</v>
      </c>
    </row>
    <row r="2507" ht="15.75" customHeight="1">
      <c r="A2507" s="3" t="s">
        <v>15</v>
      </c>
      <c r="B2507" s="3" t="s">
        <v>46</v>
      </c>
      <c r="D2507" s="3" t="str">
        <f>IFERROR(__xludf.DUMMYFUNCTION("GOOGLETRANSLATE(A2507, ""nl"", ""en"")"),"Animals and Organic Forms")</f>
        <v>Animals and Organic Forms</v>
      </c>
      <c r="E2507" s="3" t="str">
        <f>IFERROR(__xludf.DUMMYFUNCTION("GOOGLETRANSLATE(B2507, ""nl"", ""en"")"),"A flock of fish moving as one")</f>
        <v>A flock of fish moving as one</v>
      </c>
    </row>
    <row r="2508" ht="15.75" customHeight="1">
      <c r="A2508" s="3" t="s">
        <v>9</v>
      </c>
      <c r="B2508" s="3" t="s">
        <v>57</v>
      </c>
      <c r="D2508" s="3" t="str">
        <f>IFERROR(__xludf.DUMMYFUNCTION("GOOGLETRANSLATE(A2508, ""nl"", ""en"")"),"Psychological and Emotional Interpretations")</f>
        <v>Psychological and Emotional Interpretations</v>
      </c>
      <c r="E2508" s="3" t="str">
        <f>IFERROR(__xludf.DUMMYFUNCTION("GOOGLETRANSLATE(B2508, ""nl"", ""en"")"),"An explosion of colours and feelings")</f>
        <v>An explosion of colours and feelings</v>
      </c>
    </row>
    <row r="2509" ht="15.75" customHeight="1">
      <c r="A2509" s="3" t="s">
        <v>9</v>
      </c>
      <c r="B2509" s="3" t="s">
        <v>14</v>
      </c>
      <c r="D2509" s="3" t="str">
        <f>IFERROR(__xludf.DUMMYFUNCTION("GOOGLETRANSLATE(A2509, ""nl"", ""en"")"),"Psychological and Emotional Interpretations")</f>
        <v>Psychological and Emotional Interpretations</v>
      </c>
      <c r="E2509" s="3" t="str">
        <f>IFERROR(__xludf.DUMMYFUNCTION("GOOGLETRANSLATE(B2509, ""nl"", ""en"")"),"An unclear hug")</f>
        <v>An unclear hug</v>
      </c>
    </row>
    <row r="2510" ht="15.75" customHeight="1">
      <c r="A2510" s="3" t="s">
        <v>24</v>
      </c>
      <c r="B2510" s="3" t="s">
        <v>31</v>
      </c>
      <c r="D2510" s="3" t="str">
        <f>IFERROR(__xludf.DUMMYFUNCTION("GOOGLETRANSLATE(A2510, ""nl"", ""en"")"),"Cosmic and Abstract Patterns")</f>
        <v>Cosmic and Abstract Patterns</v>
      </c>
      <c r="E2510" s="3" t="str">
        <f>IFERROR(__xludf.DUMMYFUNCTION("GOOGLETRANSLATE(B2510, ""nl"", ""en"")"),"A planet with unusual rings")</f>
        <v>A planet with unusual rings</v>
      </c>
    </row>
    <row r="2511" ht="15.75" customHeight="1">
      <c r="A2511" s="3" t="s">
        <v>7</v>
      </c>
      <c r="B2511" s="3" t="s">
        <v>8</v>
      </c>
      <c r="D2511" s="3" t="str">
        <f>IFERROR(__xludf.DUMMYFUNCTION("GOOGLETRANSLATE(A2511, ""nl"", ""en"")"),"Human Figures and Physicality")</f>
        <v>Human Figures and Physicality</v>
      </c>
      <c r="E2511" s="3" t="str">
        <f>IFERROR(__xludf.DUMMYFUNCTION("GOOGLETRANSLATE(B2511, ""nl"", ""en"")"),"Two figures mirroring each other")</f>
        <v>Two figures mirroring each other</v>
      </c>
    </row>
    <row r="2512" ht="15.75" customHeight="1">
      <c r="A2512" s="3" t="s">
        <v>12</v>
      </c>
      <c r="B2512" s="3" t="s">
        <v>51</v>
      </c>
      <c r="D2512" s="3" t="str">
        <f>IFERROR(__xludf.DUMMYFUNCTION("GOOGLETRANSLATE(A2512, ""nl"", ""en"")"),"Nature and Elements")</f>
        <v>Nature and Elements</v>
      </c>
      <c r="E2512" s="3" t="str">
        <f>IFERROR(__xludf.DUMMYFUNCTION("GOOGLETRANSLATE(B2512, ""nl"", ""en"")"),"An evaporating puddle of water")</f>
        <v>An evaporating puddle of water</v>
      </c>
    </row>
    <row r="2513" ht="15.75" customHeight="1">
      <c r="A2513" s="3" t="s">
        <v>24</v>
      </c>
      <c r="B2513" s="3" t="s">
        <v>31</v>
      </c>
      <c r="D2513" s="3" t="str">
        <f>IFERROR(__xludf.DUMMYFUNCTION("GOOGLETRANSLATE(A2513, ""nl"", ""en"")"),"Cosmic and Abstract Patterns")</f>
        <v>Cosmic and Abstract Patterns</v>
      </c>
      <c r="E2513" s="3" t="str">
        <f>IFERROR(__xludf.DUMMYFUNCTION("GOOGLETRANSLATE(B2513, ""nl"", ""en"")"),"A planet with unusual rings")</f>
        <v>A planet with unusual rings</v>
      </c>
    </row>
    <row r="2514" ht="15.75" customHeight="1">
      <c r="A2514" s="3" t="s">
        <v>4</v>
      </c>
      <c r="B2514" s="3" t="s">
        <v>6</v>
      </c>
      <c r="D2514" s="3" t="str">
        <f>IFERROR(__xludf.DUMMYFUNCTION("GOOGLETRANSLATE(A2514, ""nl"", ""en"")"),"Architectural and Structural Associations")</f>
        <v>Architectural and Structural Associations</v>
      </c>
      <c r="E2514" s="3" t="str">
        <f>IFERROR(__xludf.DUMMYFUNCTION("GOOGLETRANSLATE(B2514, ""nl"", ""en"")"),"An endless labyrinth")</f>
        <v>An endless labyrinth</v>
      </c>
    </row>
    <row r="2515" ht="15.75" customHeight="1">
      <c r="A2515" s="3" t="s">
        <v>24</v>
      </c>
      <c r="B2515" s="3" t="s">
        <v>33</v>
      </c>
      <c r="D2515" s="3" t="str">
        <f>IFERROR(__xludf.DUMMYFUNCTION("GOOGLETRANSLATE(A2515, ""nl"", ""en"")"),"Cosmic and Abstract Patterns")</f>
        <v>Cosmic and Abstract Patterns</v>
      </c>
      <c r="E2515" s="3" t="str">
        <f>IFERROR(__xludf.DUMMYFUNCTION("GOOGLETRANSLATE(B2515, ""nl"", ""en"")"),"An eye that repeats itself in endless patterns")</f>
        <v>An eye that repeats itself in endless patterns</v>
      </c>
    </row>
    <row r="2516" ht="15.75" customHeight="1">
      <c r="A2516" s="3" t="s">
        <v>24</v>
      </c>
      <c r="B2516" s="3" t="s">
        <v>32</v>
      </c>
      <c r="D2516" s="3" t="str">
        <f>IFERROR(__xludf.DUMMYFUNCTION("GOOGLETRANSLATE(A2516, ""nl"", ""en"")"),"Cosmic and Abstract Patterns")</f>
        <v>Cosmic and Abstract Patterns</v>
      </c>
      <c r="E2516" s="3" t="str">
        <f>IFERROR(__xludf.DUMMYFUNCTION("GOOGLETRANSLATE(B2516, ""nl"", ""en"")"),"A time loop captured in image")</f>
        <v>A time loop captured in image</v>
      </c>
    </row>
    <row r="2517" ht="15.75" customHeight="1">
      <c r="A2517" s="3" t="s">
        <v>12</v>
      </c>
      <c r="B2517" s="3" t="s">
        <v>47</v>
      </c>
      <c r="D2517" s="3" t="str">
        <f>IFERROR(__xludf.DUMMYFUNCTION("GOOGLETRANSLATE(A2517, ""nl"", ""en"")"),"Nature and Elements")</f>
        <v>Nature and Elements</v>
      </c>
      <c r="E2517" s="3" t="str">
        <f>IFERROR(__xludf.DUMMYFUNCTION("GOOGLETRANSLATE(B2517, ""nl"", ""en"")"),"A desert landscape that slowly changes")</f>
        <v>A desert landscape that slowly changes</v>
      </c>
    </row>
    <row r="2518" ht="15.75" customHeight="1">
      <c r="A2518" s="3" t="s">
        <v>15</v>
      </c>
      <c r="B2518" s="3" t="s">
        <v>46</v>
      </c>
      <c r="D2518" s="3" t="str">
        <f>IFERROR(__xludf.DUMMYFUNCTION("GOOGLETRANSLATE(A2518, ""nl"", ""en"")"),"Animals and Organic Forms")</f>
        <v>Animals and Organic Forms</v>
      </c>
      <c r="E2518" s="3" t="str">
        <f>IFERROR(__xludf.DUMMYFUNCTION("GOOGLETRANSLATE(B2518, ""nl"", ""en"")"),"A flock of fish moving as one")</f>
        <v>A flock of fish moving as one</v>
      </c>
    </row>
    <row r="2519" ht="15.75" customHeight="1">
      <c r="A2519" s="3" t="s">
        <v>15</v>
      </c>
      <c r="B2519" s="3" t="s">
        <v>26</v>
      </c>
      <c r="D2519" s="3" t="str">
        <f>IFERROR(__xludf.DUMMYFUNCTION("GOOGLETRANSLATE(A2519, ""nl"", ""en"")"),"Animals and Organic Forms")</f>
        <v>Animals and Organic Forms</v>
      </c>
      <c r="E2519" s="3" t="str">
        <f>IFERROR(__xludf.DUMMYFUNCTION("GOOGLETRANSLATE(B2519, ""nl"", ""en"")"),"A frog preparing to jump")</f>
        <v>A frog preparing to jump</v>
      </c>
    </row>
    <row r="2520" ht="15.75" customHeight="1">
      <c r="A2520" s="3" t="s">
        <v>7</v>
      </c>
      <c r="B2520" s="3" t="s">
        <v>28</v>
      </c>
      <c r="D2520" s="3" t="str">
        <f>IFERROR(__xludf.DUMMYFUNCTION("GOOGLETRANSLATE(A2520, ""nl"", ""en"")"),"Human Figures and Physicality")</f>
        <v>Human Figures and Physicality</v>
      </c>
      <c r="E2520" s="3" t="str">
        <f>IFERROR(__xludf.DUMMYFUNCTION("GOOGLETRANSLATE(B2520, ""nl"", ""en"")"),"A dancing silhouette")</f>
        <v>A dancing silhouette</v>
      </c>
    </row>
    <row r="2521" ht="15.75" customHeight="1">
      <c r="A2521" s="3" t="s">
        <v>9</v>
      </c>
      <c r="B2521" s="3" t="s">
        <v>42</v>
      </c>
      <c r="D2521" s="3" t="str">
        <f>IFERROR(__xludf.DUMMYFUNCTION("GOOGLETRANSLATE(A2521, ""nl"", ""en"")"),"Psychological and Emotional Interpretations")</f>
        <v>Psychological and Emotional Interpretations</v>
      </c>
      <c r="E2521" s="3" t="str">
        <f>IFERROR(__xludf.DUMMYFUNCTION("GOOGLETRANSLATE(B2521, ""nl"", ""en"")"),"A mask that slowly disappears")</f>
        <v>A mask that slowly disappears</v>
      </c>
    </row>
    <row r="2522" ht="15.75" customHeight="1">
      <c r="A2522" s="3" t="s">
        <v>4</v>
      </c>
      <c r="B2522" s="3" t="s">
        <v>20</v>
      </c>
      <c r="D2522" s="3" t="str">
        <f>IFERROR(__xludf.DUMMYFUNCTION("GOOGLETRANSLATE(A2522, ""nl"", ""en"")"),"Architectural and Structural Associations")</f>
        <v>Architectural and Structural Associations</v>
      </c>
      <c r="E2522" s="3" t="str">
        <f>IFERROR(__xludf.DUMMYFUNCTION("GOOGLETRANSLATE(B2522, ""nl"", ""en"")"),"A tower that grows by itself")</f>
        <v>A tower that grows by itself</v>
      </c>
    </row>
    <row r="2523" ht="15.75" customHeight="1">
      <c r="A2523" s="3" t="s">
        <v>7</v>
      </c>
      <c r="B2523" s="3" t="s">
        <v>28</v>
      </c>
      <c r="D2523" s="3" t="str">
        <f>IFERROR(__xludf.DUMMYFUNCTION("GOOGLETRANSLATE(A2523, ""nl"", ""en"")"),"Human Figures and Physicality")</f>
        <v>Human Figures and Physicality</v>
      </c>
      <c r="E2523" s="3" t="str">
        <f>IFERROR(__xludf.DUMMYFUNCTION("GOOGLETRANSLATE(B2523, ""nl"", ""en"")"),"A dancing silhouette")</f>
        <v>A dancing silhouette</v>
      </c>
    </row>
    <row r="2524" ht="15.75" customHeight="1">
      <c r="A2524" s="3" t="s">
        <v>15</v>
      </c>
      <c r="B2524" s="3" t="s">
        <v>45</v>
      </c>
      <c r="D2524" s="3" t="str">
        <f>IFERROR(__xludf.DUMMYFUNCTION("GOOGLETRANSLATE(A2524, ""nl"", ""en"")"),"Animals and Organic Forms")</f>
        <v>Animals and Organic Forms</v>
      </c>
      <c r="E2524" s="3" t="str">
        <f>IFERROR(__xludf.DUMMYFUNCTION("GOOGLETRANSLATE(B2524, ""nl"", ""en"")"),"A snake biting its own tail")</f>
        <v>A snake biting its own tail</v>
      </c>
    </row>
    <row r="2525" ht="15.75" customHeight="1">
      <c r="A2525" s="3" t="s">
        <v>12</v>
      </c>
      <c r="B2525" s="3" t="s">
        <v>36</v>
      </c>
      <c r="D2525" s="3" t="str">
        <f>IFERROR(__xludf.DUMMYFUNCTION("GOOGLETRANSLATE(A2525, ""nl"", ""en"")"),"Nature and Elements")</f>
        <v>Nature and Elements</v>
      </c>
      <c r="E2525" s="3" t="str">
        <f>IFERROR(__xludf.DUMMYFUNCTION("GOOGLETRANSLATE(B2525, ""nl"", ""en"")"),"A river delta from a bird's-eye view")</f>
        <v>A river delta from a bird's-eye view</v>
      </c>
    </row>
    <row r="2526" ht="15.75" customHeight="1">
      <c r="A2526" s="3" t="s">
        <v>7</v>
      </c>
      <c r="B2526" s="3" t="s">
        <v>40</v>
      </c>
      <c r="D2526" s="3" t="str">
        <f>IFERROR(__xludf.DUMMYFUNCTION("GOOGLETRANSLATE(A2526, ""nl"", ""en"")"),"Human Figures and Physicality")</f>
        <v>Human Figures and Physicality</v>
      </c>
      <c r="E2526" s="3" t="str">
        <f>IFERROR(__xludf.DUMMYFUNCTION("GOOGLETRANSLATE(B2526, ""nl"", ""en"")"),"A figure who is withdrawn into himself")</f>
        <v>A figure who is withdrawn into himself</v>
      </c>
    </row>
    <row r="2527" ht="15.75" customHeight="1">
      <c r="A2527" s="3" t="s">
        <v>4</v>
      </c>
      <c r="B2527" s="3" t="s">
        <v>43</v>
      </c>
      <c r="D2527" s="3" t="str">
        <f>IFERROR(__xludf.DUMMYFUNCTION("GOOGLETRANSLATE(A2527, ""nl"", ""en"")"),"Architectural and Structural Associations")</f>
        <v>Architectural and Structural Associations</v>
      </c>
      <c r="E2527" s="3" t="str">
        <f>IFERROR(__xludf.DUMMYFUNCTION("GOOGLETRANSLATE(B2527, ""nl"", ""en"")"),"A network of tunnels and passages")</f>
        <v>A network of tunnels and passages</v>
      </c>
    </row>
    <row r="2528" ht="15.75" customHeight="1">
      <c r="A2528" s="3" t="s">
        <v>4</v>
      </c>
      <c r="B2528" s="3" t="s">
        <v>21</v>
      </c>
      <c r="D2528" s="3" t="str">
        <f>IFERROR(__xludf.DUMMYFUNCTION("GOOGLETRANSLATE(A2528, ""nl"", ""en"")"),"Architectural and Structural Associations")</f>
        <v>Architectural and Structural Associations</v>
      </c>
      <c r="E2528" s="3" t="str">
        <f>IFERROR(__xludf.DUMMYFUNCTION("GOOGLETRANSLATE(B2528, ""nl"", ""en"")"),"A bridge that leads nowhere")</f>
        <v>A bridge that leads nowhere</v>
      </c>
    </row>
    <row r="2529" ht="15.75" customHeight="1">
      <c r="A2529" s="3" t="s">
        <v>4</v>
      </c>
      <c r="B2529" s="3" t="s">
        <v>43</v>
      </c>
      <c r="D2529" s="3" t="str">
        <f>IFERROR(__xludf.DUMMYFUNCTION("GOOGLETRANSLATE(A2529, ""nl"", ""en"")"),"Architectural and Structural Associations")</f>
        <v>Architectural and Structural Associations</v>
      </c>
      <c r="E2529" s="3" t="str">
        <f>IFERROR(__xludf.DUMMYFUNCTION("GOOGLETRANSLATE(B2529, ""nl"", ""en"")"),"A network of tunnels and passages")</f>
        <v>A network of tunnels and passages</v>
      </c>
    </row>
    <row r="2530" ht="15.75" customHeight="1">
      <c r="A2530" s="3" t="s">
        <v>9</v>
      </c>
      <c r="B2530" s="3" t="s">
        <v>42</v>
      </c>
      <c r="D2530" s="3" t="str">
        <f>IFERROR(__xludf.DUMMYFUNCTION("GOOGLETRANSLATE(A2530, ""nl"", ""en"")"),"Psychological and Emotional Interpretations")</f>
        <v>Psychological and Emotional Interpretations</v>
      </c>
      <c r="E2530" s="3" t="str">
        <f>IFERROR(__xludf.DUMMYFUNCTION("GOOGLETRANSLATE(B2530, ""nl"", ""en"")"),"A mask that slowly disappears")</f>
        <v>A mask that slowly disappears</v>
      </c>
    </row>
    <row r="2531" ht="15.75" customHeight="1">
      <c r="A2531" s="3" t="s">
        <v>15</v>
      </c>
      <c r="B2531" s="3" t="s">
        <v>22</v>
      </c>
      <c r="D2531" s="3" t="str">
        <f>IFERROR(__xludf.DUMMYFUNCTION("GOOGLETRANSLATE(A2531, ""nl"", ""en"")"),"Animals and Organic Forms")</f>
        <v>Animals and Organic Forms</v>
      </c>
      <c r="E2531" s="3" t="str">
        <f>IFERROR(__xludf.DUMMYFUNCTION("GOOGLETRANSLATE(B2531, ""nl"", ""en"")"),"A bird taking off")</f>
        <v>A bird taking off</v>
      </c>
    </row>
    <row r="2532" ht="15.75" customHeight="1">
      <c r="A2532" s="3" t="s">
        <v>9</v>
      </c>
      <c r="B2532" s="3" t="s">
        <v>10</v>
      </c>
      <c r="D2532" s="3" t="str">
        <f>IFERROR(__xludf.DUMMYFUNCTION("GOOGLETRANSLATE(A2532, ""nl"", ""en"")"),"Psychological and Emotional Interpretations")</f>
        <v>Psychological and Emotional Interpretations</v>
      </c>
      <c r="E2532" s="3" t="str">
        <f>IFERROR(__xludf.DUMMYFUNCTION("GOOGLETRANSLATE(B2532, ""nl"", ""en"")"),"A face transforming in light")</f>
        <v>A face transforming in light</v>
      </c>
    </row>
    <row r="2533" ht="15.75" customHeight="1">
      <c r="A2533" s="3" t="s">
        <v>15</v>
      </c>
      <c r="B2533" s="3" t="s">
        <v>26</v>
      </c>
      <c r="D2533" s="3" t="str">
        <f>IFERROR(__xludf.DUMMYFUNCTION("GOOGLETRANSLATE(A2533, ""nl"", ""en"")"),"Animals and Organic Forms")</f>
        <v>Animals and Organic Forms</v>
      </c>
      <c r="E2533" s="3" t="str">
        <f>IFERROR(__xludf.DUMMYFUNCTION("GOOGLETRANSLATE(B2533, ""nl"", ""en"")"),"A frog preparing to jump")</f>
        <v>A frog preparing to jump</v>
      </c>
    </row>
    <row r="2534" ht="15.75" customHeight="1">
      <c r="A2534" s="3" t="s">
        <v>24</v>
      </c>
      <c r="B2534" s="3" t="s">
        <v>32</v>
      </c>
      <c r="D2534" s="3" t="str">
        <f>IFERROR(__xludf.DUMMYFUNCTION("GOOGLETRANSLATE(A2534, ""nl"", ""en"")"),"Cosmic and Abstract Patterns")</f>
        <v>Cosmic and Abstract Patterns</v>
      </c>
      <c r="E2534" s="3" t="str">
        <f>IFERROR(__xludf.DUMMYFUNCTION("GOOGLETRANSLATE(B2534, ""nl"", ""en"")"),"A time loop captured in image")</f>
        <v>A time loop captured in image</v>
      </c>
    </row>
    <row r="2535" ht="15.75" customHeight="1">
      <c r="A2535" s="3" t="s">
        <v>15</v>
      </c>
      <c r="B2535" s="3" t="s">
        <v>26</v>
      </c>
      <c r="D2535" s="3" t="str">
        <f>IFERROR(__xludf.DUMMYFUNCTION("GOOGLETRANSLATE(A2535, ""nl"", ""en"")"),"Animals and Organic Forms")</f>
        <v>Animals and Organic Forms</v>
      </c>
      <c r="E2535" s="3" t="str">
        <f>IFERROR(__xludf.DUMMYFUNCTION("GOOGLETRANSLATE(B2535, ""nl"", ""en"")"),"A frog preparing to jump")</f>
        <v>A frog preparing to jump</v>
      </c>
    </row>
    <row r="2536" ht="15.75" customHeight="1">
      <c r="A2536" s="3" t="s">
        <v>9</v>
      </c>
      <c r="B2536" s="3" t="s">
        <v>42</v>
      </c>
      <c r="D2536" s="3" t="str">
        <f>IFERROR(__xludf.DUMMYFUNCTION("GOOGLETRANSLATE(A2536, ""nl"", ""en"")"),"Psychological and Emotional Interpretations")</f>
        <v>Psychological and Emotional Interpretations</v>
      </c>
      <c r="E2536" s="3" t="str">
        <f>IFERROR(__xludf.DUMMYFUNCTION("GOOGLETRANSLATE(B2536, ""nl"", ""en"")"),"A mask that slowly disappears")</f>
        <v>A mask that slowly disappears</v>
      </c>
    </row>
    <row r="2537" ht="15.75" customHeight="1">
      <c r="A2537" s="3" t="s">
        <v>9</v>
      </c>
      <c r="B2537" s="3" t="s">
        <v>57</v>
      </c>
      <c r="D2537" s="3" t="str">
        <f>IFERROR(__xludf.DUMMYFUNCTION("GOOGLETRANSLATE(A2537, ""nl"", ""en"")"),"Psychological and Emotional Interpretations")</f>
        <v>Psychological and Emotional Interpretations</v>
      </c>
      <c r="E2537" s="3" t="str">
        <f>IFERROR(__xludf.DUMMYFUNCTION("GOOGLETRANSLATE(B2537, ""nl"", ""en"")"),"An explosion of colours and feelings")</f>
        <v>An explosion of colours and feelings</v>
      </c>
    </row>
    <row r="2538" ht="15.75" customHeight="1">
      <c r="A2538" s="3" t="s">
        <v>4</v>
      </c>
      <c r="B2538" s="3" t="s">
        <v>5</v>
      </c>
      <c r="D2538" s="3" t="str">
        <f>IFERROR(__xludf.DUMMYFUNCTION("GOOGLETRANSLATE(A2538, ""nl"", ""en"")"),"Architectural and Structural Associations")</f>
        <v>Architectural and Structural Associations</v>
      </c>
      <c r="E2538" s="3" t="str">
        <f>IFERROR(__xludf.DUMMYFUNCTION("GOOGLETRANSLATE(B2538, ""nl"", ""en"")"),"A cathedral shaped from mist")</f>
        <v>A cathedral shaped from mist</v>
      </c>
    </row>
    <row r="2539" ht="15.75" customHeight="1">
      <c r="A2539" s="3" t="s">
        <v>4</v>
      </c>
      <c r="B2539" s="3" t="s">
        <v>21</v>
      </c>
      <c r="D2539" s="3" t="str">
        <f>IFERROR(__xludf.DUMMYFUNCTION("GOOGLETRANSLATE(A2539, ""nl"", ""en"")"),"Architectural and Structural Associations")</f>
        <v>Architectural and Structural Associations</v>
      </c>
      <c r="E2539" s="3" t="str">
        <f>IFERROR(__xludf.DUMMYFUNCTION("GOOGLETRANSLATE(B2539, ""nl"", ""en"")"),"A bridge that leads nowhere")</f>
        <v>A bridge that leads nowhere</v>
      </c>
    </row>
    <row r="2540" ht="15.75" customHeight="1">
      <c r="A2540" s="3" t="s">
        <v>12</v>
      </c>
      <c r="B2540" s="3" t="s">
        <v>19</v>
      </c>
      <c r="D2540" s="3" t="str">
        <f>IFERROR(__xludf.DUMMYFUNCTION("GOOGLETRANSLATE(A2540, ""nl"", ""en"")"),"Nature and Elements")</f>
        <v>Nature and Elements</v>
      </c>
      <c r="E2540" s="3" t="str">
        <f>IFERROR(__xludf.DUMMYFUNCTION("GOOGLETRANSLATE(B2540, ""nl"", ""en"")"),"A mountain range that seems to breathe")</f>
        <v>A mountain range that seems to breathe</v>
      </c>
    </row>
    <row r="2541" ht="15.75" customHeight="1">
      <c r="A2541" s="3" t="s">
        <v>4</v>
      </c>
      <c r="B2541" s="3" t="s">
        <v>6</v>
      </c>
      <c r="D2541" s="3" t="str">
        <f>IFERROR(__xludf.DUMMYFUNCTION("GOOGLETRANSLATE(A2541, ""nl"", ""en"")"),"Architectural and Structural Associations")</f>
        <v>Architectural and Structural Associations</v>
      </c>
      <c r="E2541" s="3" t="str">
        <f>IFERROR(__xludf.DUMMYFUNCTION("GOOGLETRANSLATE(B2541, ""nl"", ""en"")"),"An endless labyrinth")</f>
        <v>An endless labyrinth</v>
      </c>
    </row>
    <row r="2542" ht="15.75" customHeight="1">
      <c r="A2542" s="3" t="s">
        <v>15</v>
      </c>
      <c r="B2542" s="3" t="s">
        <v>22</v>
      </c>
      <c r="D2542" s="3" t="str">
        <f>IFERROR(__xludf.DUMMYFUNCTION("GOOGLETRANSLATE(A2542, ""nl"", ""en"")"),"Animals and Organic Forms")</f>
        <v>Animals and Organic Forms</v>
      </c>
      <c r="E2542" s="3" t="str">
        <f>IFERROR(__xludf.DUMMYFUNCTION("GOOGLETRANSLATE(B2542, ""nl"", ""en"")"),"A bird taking off")</f>
        <v>A bird taking off</v>
      </c>
    </row>
    <row r="2543" ht="15.75" customHeight="1">
      <c r="A2543" s="3" t="s">
        <v>9</v>
      </c>
      <c r="B2543" s="3" t="s">
        <v>37</v>
      </c>
      <c r="D2543" s="3" t="str">
        <f>IFERROR(__xludf.DUMMYFUNCTION("GOOGLETRANSLATE(A2543, ""nl"", ""en"")"),"Psychological and Emotional Interpretations")</f>
        <v>Psychological and Emotional Interpretations</v>
      </c>
      <c r="E2543" s="3" t="str">
        <f>IFERROR(__xludf.DUMMYFUNCTION("GOOGLETRANSLATE(B2543, ""nl"", ""en"")"),"A figure looking through itself")</f>
        <v>A figure looking through itself</v>
      </c>
    </row>
    <row r="2544" ht="15.75" customHeight="1">
      <c r="A2544" s="3" t="s">
        <v>15</v>
      </c>
      <c r="B2544" s="3" t="s">
        <v>46</v>
      </c>
      <c r="D2544" s="3" t="str">
        <f>IFERROR(__xludf.DUMMYFUNCTION("GOOGLETRANSLATE(A2544, ""nl"", ""en"")"),"Animals and Organic Forms")</f>
        <v>Animals and Organic Forms</v>
      </c>
      <c r="E2544" s="3" t="str">
        <f>IFERROR(__xludf.DUMMYFUNCTION("GOOGLETRANSLATE(B2544, ""nl"", ""en"")"),"A flock of fish moving as one")</f>
        <v>A flock of fish moving as one</v>
      </c>
    </row>
    <row r="2545" ht="15.75" customHeight="1">
      <c r="A2545" s="3" t="s">
        <v>7</v>
      </c>
      <c r="B2545" s="3" t="s">
        <v>28</v>
      </c>
      <c r="D2545" s="3" t="str">
        <f>IFERROR(__xludf.DUMMYFUNCTION("GOOGLETRANSLATE(A2545, ""nl"", ""en"")"),"Human Figures and Physicality")</f>
        <v>Human Figures and Physicality</v>
      </c>
      <c r="E2545" s="3" t="str">
        <f>IFERROR(__xludf.DUMMYFUNCTION("GOOGLETRANSLATE(B2545, ""nl"", ""en"")"),"A dancing silhouette")</f>
        <v>A dancing silhouette</v>
      </c>
    </row>
    <row r="2546" ht="15.75" customHeight="1">
      <c r="A2546" s="3" t="s">
        <v>7</v>
      </c>
      <c r="B2546" s="3" t="s">
        <v>40</v>
      </c>
      <c r="D2546" s="3" t="str">
        <f>IFERROR(__xludf.DUMMYFUNCTION("GOOGLETRANSLATE(A2546, ""nl"", ""en"")"),"Human Figures and Physicality")</f>
        <v>Human Figures and Physicality</v>
      </c>
      <c r="E2546" s="3" t="str">
        <f>IFERROR(__xludf.DUMMYFUNCTION("GOOGLETRANSLATE(B2546, ""nl"", ""en"")"),"A figure who is withdrawn into himself")</f>
        <v>A figure who is withdrawn into himself</v>
      </c>
    </row>
    <row r="2547" ht="15.75" customHeight="1">
      <c r="A2547" s="3" t="s">
        <v>12</v>
      </c>
      <c r="B2547" s="3" t="s">
        <v>47</v>
      </c>
      <c r="D2547" s="3" t="str">
        <f>IFERROR(__xludf.DUMMYFUNCTION("GOOGLETRANSLATE(A2547, ""nl"", ""en"")"),"Nature and Elements")</f>
        <v>Nature and Elements</v>
      </c>
      <c r="E2547" s="3" t="str">
        <f>IFERROR(__xludf.DUMMYFUNCTION("GOOGLETRANSLATE(B2547, ""nl"", ""en"")"),"A desert landscape that slowly changes")</f>
        <v>A desert landscape that slowly changes</v>
      </c>
    </row>
    <row r="2548" ht="15.75" customHeight="1">
      <c r="A2548" s="3" t="s">
        <v>24</v>
      </c>
      <c r="B2548" s="3" t="s">
        <v>25</v>
      </c>
      <c r="D2548" s="3" t="str">
        <f>IFERROR(__xludf.DUMMYFUNCTION("GOOGLETRANSLATE(A2548, ""nl"", ""en"")"),"Cosmic and Abstract Patterns")</f>
        <v>Cosmic and Abstract Patterns</v>
      </c>
      <c r="E2548" s="3" t="str">
        <f>IFERROR(__xludf.DUMMYFUNCTION("GOOGLETRANSLATE(B2548, ""nl"", ""en"")"),"A meteor shower dissolving into each other")</f>
        <v>A meteor shower dissolving into each other</v>
      </c>
    </row>
    <row r="2549" ht="15.75" customHeight="1">
      <c r="A2549" s="3" t="s">
        <v>24</v>
      </c>
      <c r="B2549" s="3" t="s">
        <v>29</v>
      </c>
      <c r="D2549" s="3" t="str">
        <f>IFERROR(__xludf.DUMMYFUNCTION("GOOGLETRANSLATE(A2549, ""nl"", ""en"")"),"Cosmic and Abstract Patterns")</f>
        <v>Cosmic and Abstract Patterns</v>
      </c>
      <c r="E2549" s="3" t="str">
        <f>IFERROR(__xludf.DUMMYFUNCTION("GOOGLETRANSLATE(B2549, ""nl"", ""en"")"),"A galaxy unfolding")</f>
        <v>A galaxy unfolding</v>
      </c>
    </row>
    <row r="2550" ht="15.75" customHeight="1">
      <c r="A2550" s="3" t="s">
        <v>12</v>
      </c>
      <c r="B2550" s="3" t="s">
        <v>51</v>
      </c>
      <c r="D2550" s="3" t="str">
        <f>IFERROR(__xludf.DUMMYFUNCTION("GOOGLETRANSLATE(A2550, ""nl"", ""en"")"),"Nature and Elements")</f>
        <v>Nature and Elements</v>
      </c>
      <c r="E2550" s="3" t="str">
        <f>IFERROR(__xludf.DUMMYFUNCTION("GOOGLETRANSLATE(B2550, ""nl"", ""en"")"),"An evaporating puddle of water")</f>
        <v>An evaporating puddle of water</v>
      </c>
    </row>
    <row r="2551" ht="15.75" customHeight="1">
      <c r="A2551" s="3" t="s">
        <v>15</v>
      </c>
      <c r="B2551" s="3" t="s">
        <v>26</v>
      </c>
      <c r="D2551" s="3" t="str">
        <f>IFERROR(__xludf.DUMMYFUNCTION("GOOGLETRANSLATE(A2551, ""nl"", ""en"")"),"Animals and Organic Forms")</f>
        <v>Animals and Organic Forms</v>
      </c>
      <c r="E2551" s="3" t="str">
        <f>IFERROR(__xludf.DUMMYFUNCTION("GOOGLETRANSLATE(B2551, ""nl"", ""en"")"),"A frog preparing to jump")</f>
        <v>A frog preparing to jump</v>
      </c>
    </row>
    <row r="2552" ht="15.75" customHeight="1">
      <c r="A2552" s="3" t="s">
        <v>24</v>
      </c>
      <c r="B2552" s="3" t="s">
        <v>32</v>
      </c>
      <c r="D2552" s="3" t="str">
        <f>IFERROR(__xludf.DUMMYFUNCTION("GOOGLETRANSLATE(A2552, ""nl"", ""en"")"),"Cosmic and Abstract Patterns")</f>
        <v>Cosmic and Abstract Patterns</v>
      </c>
      <c r="E2552" s="3" t="str">
        <f>IFERROR(__xludf.DUMMYFUNCTION("GOOGLETRANSLATE(B2552, ""nl"", ""en"")"),"A time loop captured in image")</f>
        <v>A time loop captured in image</v>
      </c>
    </row>
    <row r="2553" ht="15.75" customHeight="1">
      <c r="A2553" s="3" t="s">
        <v>15</v>
      </c>
      <c r="B2553" s="3" t="s">
        <v>16</v>
      </c>
      <c r="D2553" s="3" t="str">
        <f>IFERROR(__xludf.DUMMYFUNCTION("GOOGLETRANSLATE(A2553, ""nl"", ""en"")"),"Animals and Organic Forms")</f>
        <v>Animals and Organic Forms</v>
      </c>
      <c r="E2553" s="3" t="str">
        <f>IFERROR(__xludf.DUMMYFUNCTION("GOOGLETRANSLATE(B2553, ""nl"", ""en"")"),"A butterfly in transformation")</f>
        <v>A butterfly in transformation</v>
      </c>
    </row>
    <row r="2554" ht="15.75" customHeight="1">
      <c r="A2554" s="3" t="s">
        <v>15</v>
      </c>
      <c r="B2554" s="3" t="s">
        <v>52</v>
      </c>
      <c r="D2554" s="3" t="str">
        <f>IFERROR(__xludf.DUMMYFUNCTION("GOOGLETRANSLATE(A2554, ""nl"", ""en"")"),"Animals and Organic Forms")</f>
        <v>Animals and Organic Forms</v>
      </c>
      <c r="E2554" s="3" t="str">
        <f>IFERROR(__xludf.DUMMYFUNCTION("GOOGLETRANSLATE(B2554, ""nl"", ""en"")"),"A mask made of leaves")</f>
        <v>A mask made of leaves</v>
      </c>
    </row>
    <row r="2555" ht="15.75" customHeight="1">
      <c r="A2555" s="3" t="s">
        <v>12</v>
      </c>
      <c r="B2555" s="3" t="s">
        <v>13</v>
      </c>
      <c r="D2555" s="3" t="str">
        <f>IFERROR(__xludf.DUMMYFUNCTION("GOOGLETRANSLATE(A2555, ""nl"", ""en"")"),"Nature and Elements")</f>
        <v>Nature and Elements</v>
      </c>
      <c r="E2555" s="3" t="str">
        <f>IFERROR(__xludf.DUMMYFUNCTION("GOOGLETRANSLATE(B2555, ""nl"", ""en"")"),"A lightning strike in slow motion")</f>
        <v>A lightning strike in slow motion</v>
      </c>
    </row>
    <row r="2556" ht="15.75" customHeight="1">
      <c r="A2556" s="3" t="s">
        <v>15</v>
      </c>
      <c r="B2556" s="3" t="s">
        <v>26</v>
      </c>
      <c r="D2556" s="3" t="str">
        <f>IFERROR(__xludf.DUMMYFUNCTION("GOOGLETRANSLATE(A2556, ""nl"", ""en"")"),"Animals and Organic Forms")</f>
        <v>Animals and Organic Forms</v>
      </c>
      <c r="E2556" s="3" t="str">
        <f>IFERROR(__xludf.DUMMYFUNCTION("GOOGLETRANSLATE(B2556, ""nl"", ""en"")"),"A frog preparing to jump")</f>
        <v>A frog preparing to jump</v>
      </c>
    </row>
    <row r="2557" ht="15.75" customHeight="1">
      <c r="A2557" s="3" t="s">
        <v>12</v>
      </c>
      <c r="B2557" s="3" t="s">
        <v>18</v>
      </c>
      <c r="D2557" s="3" t="str">
        <f>IFERROR(__xludf.DUMMYFUNCTION("GOOGLETRANSLATE(A2557, ""nl"", ""en"")"),"Nature and Elements")</f>
        <v>Nature and Elements</v>
      </c>
      <c r="E2557" s="3" t="str">
        <f>IFERROR(__xludf.DUMMYFUNCTION("GOOGLETRANSLATE(B2557, ""nl"", ""en"")"),"A tree with endless branches")</f>
        <v>A tree with endless branches</v>
      </c>
    </row>
    <row r="2558" ht="15.75" customHeight="1">
      <c r="A2558" s="3" t="s">
        <v>15</v>
      </c>
      <c r="B2558" s="3" t="s">
        <v>45</v>
      </c>
      <c r="D2558" s="3" t="str">
        <f>IFERROR(__xludf.DUMMYFUNCTION("GOOGLETRANSLATE(A2558, ""nl"", ""en"")"),"Animals and Organic Forms")</f>
        <v>Animals and Organic Forms</v>
      </c>
      <c r="E2558" s="3" t="str">
        <f>IFERROR(__xludf.DUMMYFUNCTION("GOOGLETRANSLATE(B2558, ""nl"", ""en"")"),"A snake biting its own tail")</f>
        <v>A snake biting its own tail</v>
      </c>
    </row>
    <row r="2559" ht="15.75" customHeight="1">
      <c r="A2559" s="3" t="s">
        <v>24</v>
      </c>
      <c r="B2559" s="3" t="s">
        <v>27</v>
      </c>
      <c r="D2559" s="3" t="str">
        <f>IFERROR(__xludf.DUMMYFUNCTION("GOOGLETRANSLATE(A2559, ""nl"", ""en"")"),"Cosmic and Abstract Patterns")</f>
        <v>Cosmic and Abstract Patterns</v>
      </c>
      <c r="E2559" s="3" t="str">
        <f>IFERROR(__xludf.DUMMYFUNCTION("GOOGLETRANSLATE(B2559, ""nl"", ""en"")"),"A pair of black holes in dance")</f>
        <v>A pair of black holes in dance</v>
      </c>
    </row>
    <row r="2560" ht="15.75" customHeight="1">
      <c r="A2560" s="3" t="s">
        <v>9</v>
      </c>
      <c r="B2560" s="3" t="s">
        <v>42</v>
      </c>
      <c r="D2560" s="3" t="str">
        <f>IFERROR(__xludf.DUMMYFUNCTION("GOOGLETRANSLATE(A2560, ""nl"", ""en"")"),"Psychological and Emotional Interpretations")</f>
        <v>Psychological and Emotional Interpretations</v>
      </c>
      <c r="E2560" s="3" t="str">
        <f>IFERROR(__xludf.DUMMYFUNCTION("GOOGLETRANSLATE(B2560, ""nl"", ""en"")"),"A mask that slowly disappears")</f>
        <v>A mask that slowly disappears</v>
      </c>
    </row>
    <row r="2561" ht="15.75" customHeight="1">
      <c r="A2561" s="3" t="s">
        <v>4</v>
      </c>
      <c r="B2561" s="3" t="s">
        <v>6</v>
      </c>
      <c r="D2561" s="3" t="str">
        <f>IFERROR(__xludf.DUMMYFUNCTION("GOOGLETRANSLATE(A2561, ""nl"", ""en"")"),"Architectural and Structural Associations")</f>
        <v>Architectural and Structural Associations</v>
      </c>
      <c r="E2561" s="3" t="str">
        <f>IFERROR(__xludf.DUMMYFUNCTION("GOOGLETRANSLATE(B2561, ""nl"", ""en"")"),"An endless labyrinth")</f>
        <v>An endless labyrinth</v>
      </c>
    </row>
    <row r="2562" ht="15.75" customHeight="1">
      <c r="A2562" s="3" t="s">
        <v>12</v>
      </c>
      <c r="B2562" s="3" t="s">
        <v>19</v>
      </c>
      <c r="D2562" s="3" t="str">
        <f>IFERROR(__xludf.DUMMYFUNCTION("GOOGLETRANSLATE(A2562, ""nl"", ""en"")"),"Nature and Elements")</f>
        <v>Nature and Elements</v>
      </c>
      <c r="E2562" s="3" t="str">
        <f>IFERROR(__xludf.DUMMYFUNCTION("GOOGLETRANSLATE(B2562, ""nl"", ""en"")"),"A mountain range that seems to breathe")</f>
        <v>A mountain range that seems to breathe</v>
      </c>
    </row>
    <row r="2563" ht="15.75" customHeight="1">
      <c r="A2563" s="3" t="s">
        <v>24</v>
      </c>
      <c r="B2563" s="3" t="s">
        <v>32</v>
      </c>
      <c r="D2563" s="3" t="str">
        <f>IFERROR(__xludf.DUMMYFUNCTION("GOOGLETRANSLATE(A2563, ""nl"", ""en"")"),"Cosmic and Abstract Patterns")</f>
        <v>Cosmic and Abstract Patterns</v>
      </c>
      <c r="E2563" s="3" t="str">
        <f>IFERROR(__xludf.DUMMYFUNCTION("GOOGLETRANSLATE(B2563, ""nl"", ""en"")"),"A time loop captured in image")</f>
        <v>A time loop captured in image</v>
      </c>
    </row>
    <row r="2564" ht="15.75" customHeight="1">
      <c r="A2564" s="3" t="s">
        <v>7</v>
      </c>
      <c r="B2564" s="3" t="s">
        <v>8</v>
      </c>
      <c r="D2564" s="3" t="str">
        <f>IFERROR(__xludf.DUMMYFUNCTION("GOOGLETRANSLATE(A2564, ""nl"", ""en"")"),"Human Figures and Physicality")</f>
        <v>Human Figures and Physicality</v>
      </c>
      <c r="E2564" s="3" t="str">
        <f>IFERROR(__xludf.DUMMYFUNCTION("GOOGLETRANSLATE(B2564, ""nl"", ""en"")"),"Two figures mirroring each other")</f>
        <v>Two figures mirroring each other</v>
      </c>
    </row>
    <row r="2565" ht="15.75" customHeight="1">
      <c r="A2565" s="3" t="s">
        <v>9</v>
      </c>
      <c r="B2565" s="3" t="s">
        <v>11</v>
      </c>
      <c r="D2565" s="3" t="str">
        <f>IFERROR(__xludf.DUMMYFUNCTION("GOOGLETRANSLATE(A2565, ""nl"", ""en"")"),"Psychological and Emotional Interpretations")</f>
        <v>Psychological and Emotional Interpretations</v>
      </c>
      <c r="E2565" s="3" t="str">
        <f>IFERROR(__xludf.DUMMYFUNCTION("GOOGLETRANSLATE(B2565, ""nl"", ""en"")"),"An emotion captured in abstraction")</f>
        <v>An emotion captured in abstraction</v>
      </c>
    </row>
    <row r="2566" ht="15.75" customHeight="1">
      <c r="A2566" s="3" t="s">
        <v>9</v>
      </c>
      <c r="B2566" s="3" t="s">
        <v>14</v>
      </c>
      <c r="D2566" s="3" t="str">
        <f>IFERROR(__xludf.DUMMYFUNCTION("GOOGLETRANSLATE(A2566, ""nl"", ""en"")"),"Psychological and Emotional Interpretations")</f>
        <v>Psychological and Emotional Interpretations</v>
      </c>
      <c r="E2566" s="3" t="str">
        <f>IFERROR(__xludf.DUMMYFUNCTION("GOOGLETRANSLATE(B2566, ""nl"", ""en"")"),"An unclear hug")</f>
        <v>An unclear hug</v>
      </c>
    </row>
    <row r="2567" ht="15.75" customHeight="1">
      <c r="A2567" s="3" t="s">
        <v>12</v>
      </c>
      <c r="B2567" s="3" t="s">
        <v>36</v>
      </c>
      <c r="D2567" s="3" t="str">
        <f>IFERROR(__xludf.DUMMYFUNCTION("GOOGLETRANSLATE(A2567, ""nl"", ""en"")"),"Nature and Elements")</f>
        <v>Nature and Elements</v>
      </c>
      <c r="E2567" s="3" t="str">
        <f>IFERROR(__xludf.DUMMYFUNCTION("GOOGLETRANSLATE(B2567, ""nl"", ""en"")"),"A river delta from a bird's-eye view")</f>
        <v>A river delta from a bird's-eye view</v>
      </c>
    </row>
    <row r="2568" ht="15.75" customHeight="1">
      <c r="A2568" s="3" t="s">
        <v>7</v>
      </c>
      <c r="B2568" s="3" t="s">
        <v>53</v>
      </c>
      <c r="D2568" s="3" t="str">
        <f>IFERROR(__xludf.DUMMYFUNCTION("GOOGLETRANSLATE(A2568, ""nl"", ""en"")"),"Human Figures and Physicality")</f>
        <v>Human Figures and Physicality</v>
      </c>
      <c r="E2568" s="3" t="str">
        <f>IFERROR(__xludf.DUMMYFUNCTION("GOOGLETRANSLATE(B2568, ""nl"", ""en"")"),"A face that both smiles and cries")</f>
        <v>A face that both smiles and cries</v>
      </c>
    </row>
    <row r="2569" ht="15.75" customHeight="1">
      <c r="A2569" s="3" t="s">
        <v>9</v>
      </c>
      <c r="B2569" s="3" t="s">
        <v>42</v>
      </c>
      <c r="D2569" s="3" t="str">
        <f>IFERROR(__xludf.DUMMYFUNCTION("GOOGLETRANSLATE(A2569, ""nl"", ""en"")"),"Psychological and Emotional Interpretations")</f>
        <v>Psychological and Emotional Interpretations</v>
      </c>
      <c r="E2569" s="3" t="str">
        <f>IFERROR(__xludf.DUMMYFUNCTION("GOOGLETRANSLATE(B2569, ""nl"", ""en"")"),"A mask that slowly disappears")</f>
        <v>A mask that slowly disappears</v>
      </c>
    </row>
    <row r="2570" ht="15.75" customHeight="1">
      <c r="A2570" s="3" t="s">
        <v>9</v>
      </c>
      <c r="B2570" s="3" t="s">
        <v>10</v>
      </c>
      <c r="D2570" s="3" t="str">
        <f>IFERROR(__xludf.DUMMYFUNCTION("GOOGLETRANSLATE(A2570, ""nl"", ""en"")"),"Psychological and Emotional Interpretations")</f>
        <v>Psychological and Emotional Interpretations</v>
      </c>
      <c r="E2570" s="3" t="str">
        <f>IFERROR(__xludf.DUMMYFUNCTION("GOOGLETRANSLATE(B2570, ""nl"", ""en"")"),"A face transforming in light")</f>
        <v>A face transforming in light</v>
      </c>
    </row>
    <row r="2571" ht="15.75" customHeight="1">
      <c r="A2571" s="3" t="s">
        <v>24</v>
      </c>
      <c r="B2571" s="3" t="s">
        <v>33</v>
      </c>
      <c r="D2571" s="3" t="str">
        <f>IFERROR(__xludf.DUMMYFUNCTION("GOOGLETRANSLATE(A2571, ""nl"", ""en"")"),"Cosmic and Abstract Patterns")</f>
        <v>Cosmic and Abstract Patterns</v>
      </c>
      <c r="E2571" s="3" t="str">
        <f>IFERROR(__xludf.DUMMYFUNCTION("GOOGLETRANSLATE(B2571, ""nl"", ""en"")"),"An eye that repeats itself in endless patterns")</f>
        <v>An eye that repeats itself in endless patterns</v>
      </c>
    </row>
    <row r="2572" ht="15.75" customHeight="1">
      <c r="A2572" s="3" t="s">
        <v>9</v>
      </c>
      <c r="B2572" s="3" t="s">
        <v>17</v>
      </c>
      <c r="D2572" s="3" t="str">
        <f>IFERROR(__xludf.DUMMYFUNCTION("GOOGLETRANSLATE(A2572, ""nl"", ""en"")"),"Psychological and Emotional Interpretations")</f>
        <v>Psychological and Emotional Interpretations</v>
      </c>
      <c r="E2572" s="3" t="str">
        <f>IFERROR(__xludf.DUMMYFUNCTION("GOOGLETRANSLATE(B2572, ""nl"", ""en"")"),"A figure that seems to melt")</f>
        <v>A figure that seems to melt</v>
      </c>
    </row>
    <row r="2573" ht="15.75" customHeight="1">
      <c r="A2573" s="3" t="s">
        <v>4</v>
      </c>
      <c r="B2573" s="3" t="s">
        <v>35</v>
      </c>
      <c r="D2573" s="3" t="str">
        <f>IFERROR(__xludf.DUMMYFUNCTION("GOOGLETRANSLATE(A2573, ""nl"", ""en"")"),"Architectural and Structural Associations")</f>
        <v>Architectural and Structural Associations</v>
      </c>
      <c r="E2573" s="3" t="str">
        <f>IFERROR(__xludf.DUMMYFUNCTION("GOOGLETRANSLATE(B2573, ""nl"", ""en"")"),"A floating building without a base")</f>
        <v>A floating building without a base</v>
      </c>
    </row>
    <row r="2574" ht="15.75" customHeight="1">
      <c r="A2574" s="3" t="s">
        <v>9</v>
      </c>
      <c r="B2574" s="3" t="s">
        <v>49</v>
      </c>
      <c r="D2574" s="3" t="str">
        <f>IFERROR(__xludf.DUMMYFUNCTION("GOOGLETRANSLATE(A2574, ""nl"", ""en"")"),"Psychological and Emotional Interpretations")</f>
        <v>Psychological and Emotional Interpretations</v>
      </c>
      <c r="E2574" s="3" t="str">
        <f>IFERROR(__xludf.DUMMYFUNCTION("GOOGLETRANSLATE(B2574, ""nl"", ""en"")"),"A spiral that turns inward")</f>
        <v>A spiral that turns inward</v>
      </c>
    </row>
    <row r="2575" ht="15.75" customHeight="1">
      <c r="A2575" s="3" t="s">
        <v>15</v>
      </c>
      <c r="B2575" s="3" t="s">
        <v>46</v>
      </c>
      <c r="D2575" s="3" t="str">
        <f>IFERROR(__xludf.DUMMYFUNCTION("GOOGLETRANSLATE(A2575, ""nl"", ""en"")"),"Animals and Organic Forms")</f>
        <v>Animals and Organic Forms</v>
      </c>
      <c r="E2575" s="3" t="str">
        <f>IFERROR(__xludf.DUMMYFUNCTION("GOOGLETRANSLATE(B2575, ""nl"", ""en"")"),"A flock of fish moving as one")</f>
        <v>A flock of fish moving as one</v>
      </c>
    </row>
    <row r="2576" ht="15.75" customHeight="1">
      <c r="A2576" s="3" t="s">
        <v>7</v>
      </c>
      <c r="B2576" s="3" t="s">
        <v>39</v>
      </c>
      <c r="D2576" s="3" t="str">
        <f>IFERROR(__xludf.DUMMYFUNCTION("GOOGLETRANSLATE(A2576, ""nl"", ""en"")"),"Human Figures and Physicality")</f>
        <v>Human Figures and Physicality</v>
      </c>
      <c r="E2576" s="3" t="str">
        <f>IFERROR(__xludf.DUMMYFUNCTION("GOOGLETRANSLATE(B2576, ""nl"", ""en"")"),"A torso without a head")</f>
        <v>A torso without a head</v>
      </c>
    </row>
    <row r="2577" ht="15.75" customHeight="1">
      <c r="A2577" s="3" t="s">
        <v>12</v>
      </c>
      <c r="B2577" s="3" t="s">
        <v>19</v>
      </c>
      <c r="D2577" s="3" t="str">
        <f>IFERROR(__xludf.DUMMYFUNCTION("GOOGLETRANSLATE(A2577, ""nl"", ""en"")"),"Nature and Elements")</f>
        <v>Nature and Elements</v>
      </c>
      <c r="E2577" s="3" t="str">
        <f>IFERROR(__xludf.DUMMYFUNCTION("GOOGLETRANSLATE(B2577, ""nl"", ""en"")"),"A mountain range that seems to breathe")</f>
        <v>A mountain range that seems to breathe</v>
      </c>
    </row>
    <row r="2578" ht="15.75" customHeight="1">
      <c r="A2578" s="3" t="s">
        <v>4</v>
      </c>
      <c r="B2578" s="3" t="s">
        <v>43</v>
      </c>
      <c r="D2578" s="3" t="str">
        <f>IFERROR(__xludf.DUMMYFUNCTION("GOOGLETRANSLATE(A2578, ""nl"", ""en"")"),"Architectural and Structural Associations")</f>
        <v>Architectural and Structural Associations</v>
      </c>
      <c r="E2578" s="3" t="str">
        <f>IFERROR(__xludf.DUMMYFUNCTION("GOOGLETRANSLATE(B2578, ""nl"", ""en"")"),"A network of tunnels and passages")</f>
        <v>A network of tunnels and passages</v>
      </c>
    </row>
    <row r="2579" ht="15.75" customHeight="1">
      <c r="A2579" s="3" t="s">
        <v>4</v>
      </c>
      <c r="B2579" s="3" t="s">
        <v>44</v>
      </c>
      <c r="D2579" s="3" t="str">
        <f>IFERROR(__xludf.DUMMYFUNCTION("GOOGLETRANSLATE(A2579, ""nl"", ""en"")"),"Architectural and Structural Associations")</f>
        <v>Architectural and Structural Associations</v>
      </c>
      <c r="E2579" s="3" t="str">
        <f>IFERROR(__xludf.DUMMYFUNCTION("GOOGLETRANSLATE(B2579, ""nl"", ""en"")"),"A structure that pulsates in waves")</f>
        <v>A structure that pulsates in waves</v>
      </c>
    </row>
    <row r="2580" ht="15.75" customHeight="1">
      <c r="A2580" s="3" t="s">
        <v>7</v>
      </c>
      <c r="B2580" s="3" t="s">
        <v>34</v>
      </c>
      <c r="D2580" s="3" t="str">
        <f>IFERROR(__xludf.DUMMYFUNCTION("GOOGLETRANSLATE(A2580, ""nl"", ""en"")"),"Human Figures and Physicality")</f>
        <v>Human Figures and Physicality</v>
      </c>
      <c r="E2580" s="3" t="str">
        <f>IFERROR(__xludf.DUMMYFUNCTION("GOOGLETRANSLATE(B2580, ""nl"", ""en"")"),"Hands almost touching")</f>
        <v>Hands almost touching</v>
      </c>
    </row>
    <row r="2581" ht="15.75" customHeight="1">
      <c r="A2581" s="3" t="s">
        <v>7</v>
      </c>
      <c r="B2581" s="3" t="s">
        <v>39</v>
      </c>
      <c r="D2581" s="3" t="str">
        <f>IFERROR(__xludf.DUMMYFUNCTION("GOOGLETRANSLATE(A2581, ""nl"", ""en"")"),"Human Figures and Physicality")</f>
        <v>Human Figures and Physicality</v>
      </c>
      <c r="E2581" s="3" t="str">
        <f>IFERROR(__xludf.DUMMYFUNCTION("GOOGLETRANSLATE(B2581, ""nl"", ""en"")"),"A torso without a head")</f>
        <v>A torso without a head</v>
      </c>
    </row>
    <row r="2582" ht="15.75" customHeight="1">
      <c r="A2582" s="3" t="s">
        <v>15</v>
      </c>
      <c r="B2582" s="3" t="s">
        <v>38</v>
      </c>
      <c r="D2582" s="3" t="str">
        <f>IFERROR(__xludf.DUMMYFUNCTION("GOOGLETRANSLATE(A2582, ""nl"", ""en"")"),"Animals and Organic Forms")</f>
        <v>Animals and Organic Forms</v>
      </c>
      <c r="E2582" s="3" t="str">
        <f>IFERROR(__xludf.DUMMYFUNCTION("GOOGLETRANSLATE(B2582, ""nl"", ""en"")"),"A lion with an open mouth")</f>
        <v>A lion with an open mouth</v>
      </c>
    </row>
    <row r="2583" ht="15.75" customHeight="1">
      <c r="A2583" s="3" t="s">
        <v>7</v>
      </c>
      <c r="B2583" s="3" t="s">
        <v>40</v>
      </c>
      <c r="D2583" s="3" t="str">
        <f>IFERROR(__xludf.DUMMYFUNCTION("GOOGLETRANSLATE(A2583, ""nl"", ""en"")"),"Human Figures and Physicality")</f>
        <v>Human Figures and Physicality</v>
      </c>
      <c r="E2583" s="3" t="str">
        <f>IFERROR(__xludf.DUMMYFUNCTION("GOOGLETRANSLATE(B2583, ""nl"", ""en"")"),"A figure who is withdrawn into himself")</f>
        <v>A figure who is withdrawn into himself</v>
      </c>
    </row>
    <row r="2584" ht="15.75" customHeight="1">
      <c r="A2584" s="3" t="s">
        <v>9</v>
      </c>
      <c r="B2584" s="3" t="s">
        <v>17</v>
      </c>
      <c r="D2584" s="3" t="str">
        <f>IFERROR(__xludf.DUMMYFUNCTION("GOOGLETRANSLATE(A2584, ""nl"", ""en"")"),"Psychological and Emotional Interpretations")</f>
        <v>Psychological and Emotional Interpretations</v>
      </c>
      <c r="E2584" s="3" t="str">
        <f>IFERROR(__xludf.DUMMYFUNCTION("GOOGLETRANSLATE(B2584, ""nl"", ""en"")"),"A figure that seems to melt")</f>
        <v>A figure that seems to melt</v>
      </c>
    </row>
    <row r="2585" ht="15.75" customHeight="1">
      <c r="A2585" s="3" t="s">
        <v>24</v>
      </c>
      <c r="B2585" s="3" t="s">
        <v>31</v>
      </c>
      <c r="D2585" s="3" t="str">
        <f>IFERROR(__xludf.DUMMYFUNCTION("GOOGLETRANSLATE(A2585, ""nl"", ""en"")"),"Cosmic and Abstract Patterns")</f>
        <v>Cosmic and Abstract Patterns</v>
      </c>
      <c r="E2585" s="3" t="str">
        <f>IFERROR(__xludf.DUMMYFUNCTION("GOOGLETRANSLATE(B2585, ""nl"", ""en"")"),"A planet with unusual rings")</f>
        <v>A planet with unusual rings</v>
      </c>
    </row>
    <row r="2586" ht="15.75" customHeight="1">
      <c r="A2586" s="3" t="s">
        <v>4</v>
      </c>
      <c r="B2586" s="3" t="s">
        <v>6</v>
      </c>
      <c r="D2586" s="3" t="str">
        <f>IFERROR(__xludf.DUMMYFUNCTION("GOOGLETRANSLATE(A2586, ""nl"", ""en"")"),"Architectural and Structural Associations")</f>
        <v>Architectural and Structural Associations</v>
      </c>
      <c r="E2586" s="3" t="str">
        <f>IFERROR(__xludf.DUMMYFUNCTION("GOOGLETRANSLATE(B2586, ""nl"", ""en"")"),"An endless labyrinth")</f>
        <v>An endless labyrinth</v>
      </c>
    </row>
    <row r="2587" ht="15.75" customHeight="1">
      <c r="A2587" s="3" t="s">
        <v>15</v>
      </c>
      <c r="B2587" s="3" t="s">
        <v>45</v>
      </c>
      <c r="D2587" s="3" t="str">
        <f>IFERROR(__xludf.DUMMYFUNCTION("GOOGLETRANSLATE(A2587, ""nl"", ""en"")"),"Animals and Organic Forms")</f>
        <v>Animals and Organic Forms</v>
      </c>
      <c r="E2587" s="3" t="str">
        <f>IFERROR(__xludf.DUMMYFUNCTION("GOOGLETRANSLATE(B2587, ""nl"", ""en"")"),"A snake biting its own tail")</f>
        <v>A snake biting its own tail</v>
      </c>
    </row>
    <row r="2588" ht="15.75" customHeight="1">
      <c r="A2588" s="3" t="s">
        <v>24</v>
      </c>
      <c r="B2588" s="3" t="s">
        <v>25</v>
      </c>
      <c r="D2588" s="3" t="str">
        <f>IFERROR(__xludf.DUMMYFUNCTION("GOOGLETRANSLATE(A2588, ""nl"", ""en"")"),"Cosmic and Abstract Patterns")</f>
        <v>Cosmic and Abstract Patterns</v>
      </c>
      <c r="E2588" s="3" t="str">
        <f>IFERROR(__xludf.DUMMYFUNCTION("GOOGLETRANSLATE(B2588, ""nl"", ""en"")"),"A meteor shower dissolving into each other")</f>
        <v>A meteor shower dissolving into each other</v>
      </c>
    </row>
    <row r="2589" ht="15.75" customHeight="1">
      <c r="A2589" s="3" t="s">
        <v>9</v>
      </c>
      <c r="B2589" s="3" t="s">
        <v>14</v>
      </c>
      <c r="D2589" s="3" t="str">
        <f>IFERROR(__xludf.DUMMYFUNCTION("GOOGLETRANSLATE(A2589, ""nl"", ""en"")"),"Psychological and Emotional Interpretations")</f>
        <v>Psychological and Emotional Interpretations</v>
      </c>
      <c r="E2589" s="3" t="str">
        <f>IFERROR(__xludf.DUMMYFUNCTION("GOOGLETRANSLATE(B2589, ""nl"", ""en"")"),"An unclear hug")</f>
        <v>An unclear hug</v>
      </c>
    </row>
    <row r="2590" ht="15.75" customHeight="1">
      <c r="A2590" s="3" t="s">
        <v>9</v>
      </c>
      <c r="B2590" s="3" t="s">
        <v>37</v>
      </c>
      <c r="D2590" s="3" t="str">
        <f>IFERROR(__xludf.DUMMYFUNCTION("GOOGLETRANSLATE(A2590, ""nl"", ""en"")"),"Psychological and Emotional Interpretations")</f>
        <v>Psychological and Emotional Interpretations</v>
      </c>
      <c r="E2590" s="3" t="str">
        <f>IFERROR(__xludf.DUMMYFUNCTION("GOOGLETRANSLATE(B2590, ""nl"", ""en"")"),"A figure looking through itself")</f>
        <v>A figure looking through itself</v>
      </c>
    </row>
    <row r="2591" ht="15.75" customHeight="1">
      <c r="A2591" s="3" t="s">
        <v>12</v>
      </c>
      <c r="B2591" s="3" t="s">
        <v>36</v>
      </c>
      <c r="D2591" s="3" t="str">
        <f>IFERROR(__xludf.DUMMYFUNCTION("GOOGLETRANSLATE(A2591, ""nl"", ""en"")"),"Nature and Elements")</f>
        <v>Nature and Elements</v>
      </c>
      <c r="E2591" s="3" t="str">
        <f>IFERROR(__xludf.DUMMYFUNCTION("GOOGLETRANSLATE(B2591, ""nl"", ""en"")"),"A river delta from a bird's-eye view")</f>
        <v>A river delta from a bird's-eye view</v>
      </c>
    </row>
    <row r="2592" ht="15.75" customHeight="1">
      <c r="A2592" s="3" t="s">
        <v>15</v>
      </c>
      <c r="B2592" s="3" t="s">
        <v>26</v>
      </c>
      <c r="D2592" s="3" t="str">
        <f>IFERROR(__xludf.DUMMYFUNCTION("GOOGLETRANSLATE(A2592, ""nl"", ""en"")"),"Animals and Organic Forms")</f>
        <v>Animals and Organic Forms</v>
      </c>
      <c r="E2592" s="3" t="str">
        <f>IFERROR(__xludf.DUMMYFUNCTION("GOOGLETRANSLATE(B2592, ""nl"", ""en"")"),"A frog preparing to jump")</f>
        <v>A frog preparing to jump</v>
      </c>
    </row>
    <row r="2593" ht="15.75" customHeight="1">
      <c r="A2593" s="3" t="s">
        <v>4</v>
      </c>
      <c r="B2593" s="3" t="s">
        <v>21</v>
      </c>
      <c r="D2593" s="3" t="str">
        <f>IFERROR(__xludf.DUMMYFUNCTION("GOOGLETRANSLATE(A2593, ""nl"", ""en"")"),"Architectural and Structural Associations")</f>
        <v>Architectural and Structural Associations</v>
      </c>
      <c r="E2593" s="3" t="str">
        <f>IFERROR(__xludf.DUMMYFUNCTION("GOOGLETRANSLATE(B2593, ""nl"", ""en"")"),"A bridge that leads nowhere")</f>
        <v>A bridge that leads nowhere</v>
      </c>
    </row>
    <row r="2594" ht="15.75" customHeight="1">
      <c r="A2594" s="3" t="s">
        <v>9</v>
      </c>
      <c r="B2594" s="3" t="s">
        <v>42</v>
      </c>
      <c r="D2594" s="3" t="str">
        <f>IFERROR(__xludf.DUMMYFUNCTION("GOOGLETRANSLATE(A2594, ""nl"", ""en"")"),"Psychological and Emotional Interpretations")</f>
        <v>Psychological and Emotional Interpretations</v>
      </c>
      <c r="E2594" s="3" t="str">
        <f>IFERROR(__xludf.DUMMYFUNCTION("GOOGLETRANSLATE(B2594, ""nl"", ""en"")"),"A mask that slowly disappears")</f>
        <v>A mask that slowly disappears</v>
      </c>
    </row>
    <row r="2595" ht="15.75" customHeight="1">
      <c r="A2595" s="3" t="s">
        <v>24</v>
      </c>
      <c r="B2595" s="3" t="s">
        <v>33</v>
      </c>
      <c r="D2595" s="3" t="str">
        <f>IFERROR(__xludf.DUMMYFUNCTION("GOOGLETRANSLATE(A2595, ""nl"", ""en"")"),"Cosmic and Abstract Patterns")</f>
        <v>Cosmic and Abstract Patterns</v>
      </c>
      <c r="E2595" s="3" t="str">
        <f>IFERROR(__xludf.DUMMYFUNCTION("GOOGLETRANSLATE(B2595, ""nl"", ""en"")"),"An eye that repeats itself in endless patterns")</f>
        <v>An eye that repeats itself in endless patterns</v>
      </c>
    </row>
    <row r="2596" ht="15.75" customHeight="1">
      <c r="A2596" s="3" t="s">
        <v>15</v>
      </c>
      <c r="B2596" s="3" t="s">
        <v>16</v>
      </c>
      <c r="D2596" s="3" t="str">
        <f>IFERROR(__xludf.DUMMYFUNCTION("GOOGLETRANSLATE(A2596, ""nl"", ""en"")"),"Animals and Organic Forms")</f>
        <v>Animals and Organic Forms</v>
      </c>
      <c r="E2596" s="3" t="str">
        <f>IFERROR(__xludf.DUMMYFUNCTION("GOOGLETRANSLATE(B2596, ""nl"", ""en"")"),"A butterfly in transformation")</f>
        <v>A butterfly in transformation</v>
      </c>
    </row>
    <row r="2597" ht="15.75" customHeight="1">
      <c r="A2597" s="3" t="s">
        <v>15</v>
      </c>
      <c r="B2597" s="3" t="s">
        <v>22</v>
      </c>
      <c r="D2597" s="3" t="str">
        <f>IFERROR(__xludf.DUMMYFUNCTION("GOOGLETRANSLATE(A2597, ""nl"", ""en"")"),"Animals and Organic Forms")</f>
        <v>Animals and Organic Forms</v>
      </c>
      <c r="E2597" s="3" t="str">
        <f>IFERROR(__xludf.DUMMYFUNCTION("GOOGLETRANSLATE(B2597, ""nl"", ""en"")"),"A bird taking off")</f>
        <v>A bird taking off</v>
      </c>
    </row>
    <row r="2598" ht="15.75" customHeight="1">
      <c r="A2598" s="3" t="s">
        <v>24</v>
      </c>
      <c r="B2598" s="3" t="s">
        <v>29</v>
      </c>
      <c r="D2598" s="3" t="str">
        <f>IFERROR(__xludf.DUMMYFUNCTION("GOOGLETRANSLATE(A2598, ""nl"", ""en"")"),"Cosmic and Abstract Patterns")</f>
        <v>Cosmic and Abstract Patterns</v>
      </c>
      <c r="E2598" s="3" t="str">
        <f>IFERROR(__xludf.DUMMYFUNCTION("GOOGLETRANSLATE(B2598, ""nl"", ""en"")"),"A galaxy unfolding")</f>
        <v>A galaxy unfolding</v>
      </c>
    </row>
    <row r="2599" ht="15.75" customHeight="1">
      <c r="A2599" s="3" t="s">
        <v>12</v>
      </c>
      <c r="B2599" s="3" t="s">
        <v>51</v>
      </c>
      <c r="D2599" s="3" t="str">
        <f>IFERROR(__xludf.DUMMYFUNCTION("GOOGLETRANSLATE(A2599, ""nl"", ""en"")"),"Nature and Elements")</f>
        <v>Nature and Elements</v>
      </c>
      <c r="E2599" s="3" t="str">
        <f>IFERROR(__xludf.DUMMYFUNCTION("GOOGLETRANSLATE(B2599, ""nl"", ""en"")"),"An evaporating puddle of water")</f>
        <v>An evaporating puddle of water</v>
      </c>
    </row>
    <row r="2600" ht="15.75" customHeight="1">
      <c r="A2600" s="3" t="s">
        <v>15</v>
      </c>
      <c r="B2600" s="3" t="s">
        <v>50</v>
      </c>
      <c r="D2600" s="3" t="str">
        <f>IFERROR(__xludf.DUMMYFUNCTION("GOOGLETRANSLATE(A2600, ""nl"", ""en"")"),"Animals and Organic Forms")</f>
        <v>Animals and Organic Forms</v>
      </c>
      <c r="E2600" s="3" t="str">
        <f>IFERROR(__xludf.DUMMYFUNCTION("GOOGLETRANSLATE(B2600, ""nl"", ""en"")"),"A squid with extended tentacles")</f>
        <v>A squid with extended tentacles</v>
      </c>
    </row>
    <row r="2601" ht="15.75" customHeight="1">
      <c r="A2601" s="3" t="s">
        <v>15</v>
      </c>
      <c r="B2601" s="3" t="s">
        <v>46</v>
      </c>
      <c r="D2601" s="3" t="str">
        <f>IFERROR(__xludf.DUMMYFUNCTION("GOOGLETRANSLATE(A2601, ""nl"", ""en"")"),"Animals and Organic Forms")</f>
        <v>Animals and Organic Forms</v>
      </c>
      <c r="E2601" s="3" t="str">
        <f>IFERROR(__xludf.DUMMYFUNCTION("GOOGLETRANSLATE(B2601, ""nl"", ""en"")"),"A flock of fish moving as one")</f>
        <v>A flock of fish moving as one</v>
      </c>
    </row>
    <row r="2602" ht="15.75" customHeight="1">
      <c r="A2602" s="3" t="s">
        <v>12</v>
      </c>
      <c r="B2602" s="3" t="s">
        <v>18</v>
      </c>
      <c r="D2602" s="3" t="str">
        <f>IFERROR(__xludf.DUMMYFUNCTION("GOOGLETRANSLATE(A2602, ""nl"", ""en"")"),"Nature and Elements")</f>
        <v>Nature and Elements</v>
      </c>
      <c r="E2602" s="3" t="str">
        <f>IFERROR(__xludf.DUMMYFUNCTION("GOOGLETRANSLATE(B2602, ""nl"", ""en"")"),"A tree with endless branches")</f>
        <v>A tree with endless branches</v>
      </c>
    </row>
    <row r="2603" ht="15.75" customHeight="1">
      <c r="A2603" s="3" t="s">
        <v>12</v>
      </c>
      <c r="B2603" s="3" t="s">
        <v>51</v>
      </c>
      <c r="D2603" s="3" t="str">
        <f>IFERROR(__xludf.DUMMYFUNCTION("GOOGLETRANSLATE(A2603, ""nl"", ""en"")"),"Nature and Elements")</f>
        <v>Nature and Elements</v>
      </c>
      <c r="E2603" s="3" t="str">
        <f>IFERROR(__xludf.DUMMYFUNCTION("GOOGLETRANSLATE(B2603, ""nl"", ""en"")"),"An evaporating puddle of water")</f>
        <v>An evaporating puddle of water</v>
      </c>
    </row>
    <row r="2604" ht="15.75" customHeight="1">
      <c r="A2604" s="3" t="s">
        <v>12</v>
      </c>
      <c r="B2604" s="3" t="s">
        <v>18</v>
      </c>
      <c r="D2604" s="3" t="str">
        <f>IFERROR(__xludf.DUMMYFUNCTION("GOOGLETRANSLATE(A2604, ""nl"", ""en"")"),"Nature and Elements")</f>
        <v>Nature and Elements</v>
      </c>
      <c r="E2604" s="3" t="str">
        <f>IFERROR(__xludf.DUMMYFUNCTION("GOOGLETRANSLATE(B2604, ""nl"", ""en"")"),"A tree with endless branches")</f>
        <v>A tree with endless branches</v>
      </c>
    </row>
    <row r="2605" ht="15.75" customHeight="1">
      <c r="A2605" s="3" t="s">
        <v>24</v>
      </c>
      <c r="B2605" s="3" t="s">
        <v>33</v>
      </c>
      <c r="D2605" s="3" t="str">
        <f>IFERROR(__xludf.DUMMYFUNCTION("GOOGLETRANSLATE(A2605, ""nl"", ""en"")"),"Cosmic and Abstract Patterns")</f>
        <v>Cosmic and Abstract Patterns</v>
      </c>
      <c r="E2605" s="3" t="str">
        <f>IFERROR(__xludf.DUMMYFUNCTION("GOOGLETRANSLATE(B2605, ""nl"", ""en"")"),"An eye that repeats itself in endless patterns")</f>
        <v>An eye that repeats itself in endless patterns</v>
      </c>
    </row>
    <row r="2606" ht="15.75" customHeight="1">
      <c r="A2606" s="3" t="s">
        <v>7</v>
      </c>
      <c r="B2606" s="3" t="s">
        <v>40</v>
      </c>
      <c r="D2606" s="3" t="str">
        <f>IFERROR(__xludf.DUMMYFUNCTION("GOOGLETRANSLATE(A2606, ""nl"", ""en"")"),"Human Figures and Physicality")</f>
        <v>Human Figures and Physicality</v>
      </c>
      <c r="E2606" s="3" t="str">
        <f>IFERROR(__xludf.DUMMYFUNCTION("GOOGLETRANSLATE(B2606, ""nl"", ""en"")"),"A figure who is withdrawn into himself")</f>
        <v>A figure who is withdrawn into himself</v>
      </c>
    </row>
    <row r="2607" ht="15.75" customHeight="1">
      <c r="A2607" s="3" t="s">
        <v>24</v>
      </c>
      <c r="B2607" s="3" t="s">
        <v>54</v>
      </c>
      <c r="D2607" s="3" t="str">
        <f>IFERROR(__xludf.DUMMYFUNCTION("GOOGLETRANSLATE(A2607, ""nl"", ""en"")"),"Cosmic and Abstract Patterns")</f>
        <v>Cosmic and Abstract Patterns</v>
      </c>
      <c r="E2607" s="3" t="str">
        <f>IFERROR(__xludf.DUMMYFUNCTION("GOOGLETRANSLATE(B2607, ""nl"", ""en"")"),"A quantum particle in superposition")</f>
        <v>A quantum particle in superposition</v>
      </c>
    </row>
    <row r="2608" ht="15.75" customHeight="1">
      <c r="A2608" s="3" t="s">
        <v>7</v>
      </c>
      <c r="B2608" s="3" t="s">
        <v>8</v>
      </c>
      <c r="D2608" s="3" t="str">
        <f>IFERROR(__xludf.DUMMYFUNCTION("GOOGLETRANSLATE(A2608, ""nl"", ""en"")"),"Human Figures and Physicality")</f>
        <v>Human Figures and Physicality</v>
      </c>
      <c r="E2608" s="3" t="str">
        <f>IFERROR(__xludf.DUMMYFUNCTION("GOOGLETRANSLATE(B2608, ""nl"", ""en"")"),"Two figures mirroring each other")</f>
        <v>Two figures mirroring each other</v>
      </c>
    </row>
    <row r="2609" ht="15.75" customHeight="1">
      <c r="A2609" s="3" t="s">
        <v>15</v>
      </c>
      <c r="B2609" s="3" t="s">
        <v>45</v>
      </c>
      <c r="D2609" s="3" t="str">
        <f>IFERROR(__xludf.DUMMYFUNCTION("GOOGLETRANSLATE(A2609, ""nl"", ""en"")"),"Animals and Organic Forms")</f>
        <v>Animals and Organic Forms</v>
      </c>
      <c r="E2609" s="3" t="str">
        <f>IFERROR(__xludf.DUMMYFUNCTION("GOOGLETRANSLATE(B2609, ""nl"", ""en"")"),"A snake biting its own tail")</f>
        <v>A snake biting its own tail</v>
      </c>
    </row>
    <row r="2610" ht="15.75" customHeight="1">
      <c r="A2610" s="3" t="s">
        <v>24</v>
      </c>
      <c r="B2610" s="3" t="s">
        <v>31</v>
      </c>
      <c r="D2610" s="3" t="str">
        <f>IFERROR(__xludf.DUMMYFUNCTION("GOOGLETRANSLATE(A2610, ""nl"", ""en"")"),"Cosmic and Abstract Patterns")</f>
        <v>Cosmic and Abstract Patterns</v>
      </c>
      <c r="E2610" s="3" t="str">
        <f>IFERROR(__xludf.DUMMYFUNCTION("GOOGLETRANSLATE(B2610, ""nl"", ""en"")"),"A planet with unusual rings")</f>
        <v>A planet with unusual rings</v>
      </c>
    </row>
    <row r="2611" ht="15.75" customHeight="1">
      <c r="A2611" s="3" t="s">
        <v>15</v>
      </c>
      <c r="B2611" s="3" t="s">
        <v>38</v>
      </c>
      <c r="D2611" s="3" t="str">
        <f>IFERROR(__xludf.DUMMYFUNCTION("GOOGLETRANSLATE(A2611, ""nl"", ""en"")"),"Animals and Organic Forms")</f>
        <v>Animals and Organic Forms</v>
      </c>
      <c r="E2611" s="3" t="str">
        <f>IFERROR(__xludf.DUMMYFUNCTION("GOOGLETRANSLATE(B2611, ""nl"", ""en"")"),"A lion with an open mouth")</f>
        <v>A lion with an open mouth</v>
      </c>
    </row>
    <row r="2612" ht="15.75" customHeight="1">
      <c r="A2612" s="3" t="s">
        <v>9</v>
      </c>
      <c r="B2612" s="3" t="s">
        <v>14</v>
      </c>
      <c r="D2612" s="3" t="str">
        <f>IFERROR(__xludf.DUMMYFUNCTION("GOOGLETRANSLATE(A2612, ""nl"", ""en"")"),"Psychological and Emotional Interpretations")</f>
        <v>Psychological and Emotional Interpretations</v>
      </c>
      <c r="E2612" s="3" t="str">
        <f>IFERROR(__xludf.DUMMYFUNCTION("GOOGLETRANSLATE(B2612, ""nl"", ""en"")"),"An unclear hug")</f>
        <v>An unclear hug</v>
      </c>
    </row>
    <row r="2613" ht="15.75" customHeight="1">
      <c r="A2613" s="3" t="s">
        <v>4</v>
      </c>
      <c r="B2613" s="3" t="s">
        <v>21</v>
      </c>
      <c r="D2613" s="3" t="str">
        <f>IFERROR(__xludf.DUMMYFUNCTION("GOOGLETRANSLATE(A2613, ""nl"", ""en"")"),"Architectural and Structural Associations")</f>
        <v>Architectural and Structural Associations</v>
      </c>
      <c r="E2613" s="3" t="str">
        <f>IFERROR(__xludf.DUMMYFUNCTION("GOOGLETRANSLATE(B2613, ""nl"", ""en"")"),"A bridge that leads nowhere")</f>
        <v>A bridge that leads nowhere</v>
      </c>
    </row>
    <row r="2614" ht="15.75" customHeight="1">
      <c r="A2614" s="3" t="s">
        <v>7</v>
      </c>
      <c r="B2614" s="3" t="s">
        <v>41</v>
      </c>
      <c r="D2614" s="3" t="str">
        <f>IFERROR(__xludf.DUMMYFUNCTION("GOOGLETRANSLATE(A2614, ""nl"", ""en"")"),"Human Figures and Physicality")</f>
        <v>Human Figures and Physicality</v>
      </c>
      <c r="E2614" s="3" t="str">
        <f>IFERROR(__xludf.DUMMYFUNCTION("GOOGLETRANSLATE(B2614, ""nl"", ""en"")"),"A face that fades into abstraction")</f>
        <v>A face that fades into abstraction</v>
      </c>
    </row>
    <row r="2615" ht="15.75" customHeight="1">
      <c r="A2615" s="3" t="s">
        <v>4</v>
      </c>
      <c r="B2615" s="3" t="s">
        <v>55</v>
      </c>
      <c r="D2615" s="3" t="str">
        <f>IFERROR(__xludf.DUMMYFUNCTION("GOOGLETRANSLATE(A2615, ""nl"", ""en"")"),"Architectural and Structural Associations")</f>
        <v>Architectural and Structural Associations</v>
      </c>
      <c r="E2615" s="3" t="str">
        <f>IFERROR(__xludf.DUMMYFUNCTION("GOOGLETRANSLATE(B2615, ""nl"", ""en"")"),"A prism that splits light into colors")</f>
        <v>A prism that splits light into colors</v>
      </c>
    </row>
    <row r="2616" ht="15.75" customHeight="1">
      <c r="A2616" s="3" t="s">
        <v>9</v>
      </c>
      <c r="B2616" s="3" t="s">
        <v>37</v>
      </c>
      <c r="D2616" s="3" t="str">
        <f>IFERROR(__xludf.DUMMYFUNCTION("GOOGLETRANSLATE(A2616, ""nl"", ""en"")"),"Psychological and Emotional Interpretations")</f>
        <v>Psychological and Emotional Interpretations</v>
      </c>
      <c r="E2616" s="3" t="str">
        <f>IFERROR(__xludf.DUMMYFUNCTION("GOOGLETRANSLATE(B2616, ""nl"", ""en"")"),"A figure looking through itself")</f>
        <v>A figure looking through itself</v>
      </c>
    </row>
    <row r="2617" ht="15.75" customHeight="1">
      <c r="A2617" s="3" t="s">
        <v>24</v>
      </c>
      <c r="B2617" s="3" t="s">
        <v>31</v>
      </c>
      <c r="D2617" s="3" t="str">
        <f>IFERROR(__xludf.DUMMYFUNCTION("GOOGLETRANSLATE(A2617, ""nl"", ""en"")"),"Cosmic and Abstract Patterns")</f>
        <v>Cosmic and Abstract Patterns</v>
      </c>
      <c r="E2617" s="3" t="str">
        <f>IFERROR(__xludf.DUMMYFUNCTION("GOOGLETRANSLATE(B2617, ""nl"", ""en"")"),"A planet with unusual rings")</f>
        <v>A planet with unusual rings</v>
      </c>
    </row>
    <row r="2618" ht="15.75" customHeight="1">
      <c r="A2618" s="3" t="s">
        <v>7</v>
      </c>
      <c r="B2618" s="3" t="s">
        <v>39</v>
      </c>
      <c r="D2618" s="3" t="str">
        <f>IFERROR(__xludf.DUMMYFUNCTION("GOOGLETRANSLATE(A2618, ""nl"", ""en"")"),"Human Figures and Physicality")</f>
        <v>Human Figures and Physicality</v>
      </c>
      <c r="E2618" s="3" t="str">
        <f>IFERROR(__xludf.DUMMYFUNCTION("GOOGLETRANSLATE(B2618, ""nl"", ""en"")"),"A torso without a head")</f>
        <v>A torso without a head</v>
      </c>
    </row>
    <row r="2619" ht="15.75" customHeight="1">
      <c r="A2619" s="3" t="s">
        <v>12</v>
      </c>
      <c r="B2619" s="3" t="s">
        <v>30</v>
      </c>
      <c r="D2619" s="3" t="str">
        <f>IFERROR(__xludf.DUMMYFUNCTION("GOOGLETRANSLATE(A2619, ""nl"", ""en"")"),"Nature and Elements")</f>
        <v>Nature and Elements</v>
      </c>
      <c r="E2619" s="3" t="str">
        <f>IFERROR(__xludf.DUMMYFUNCTION("GOOGLETRANSLATE(B2619, ""nl"", ""en"")"),"Waves breaking in fractal patterns")</f>
        <v>Waves breaking in fractal patterns</v>
      </c>
    </row>
    <row r="2620" ht="15.75" customHeight="1">
      <c r="A2620" s="3" t="s">
        <v>4</v>
      </c>
      <c r="B2620" s="3" t="s">
        <v>21</v>
      </c>
      <c r="D2620" s="3" t="str">
        <f>IFERROR(__xludf.DUMMYFUNCTION("GOOGLETRANSLATE(A2620, ""nl"", ""en"")"),"Architectural and Structural Associations")</f>
        <v>Architectural and Structural Associations</v>
      </c>
      <c r="E2620" s="3" t="str">
        <f>IFERROR(__xludf.DUMMYFUNCTION("GOOGLETRANSLATE(B2620, ""nl"", ""en"")"),"A bridge that leads nowhere")</f>
        <v>A bridge that leads nowhere</v>
      </c>
    </row>
    <row r="2621" ht="15.75" customHeight="1">
      <c r="A2621" s="3" t="s">
        <v>15</v>
      </c>
      <c r="B2621" s="3" t="s">
        <v>22</v>
      </c>
      <c r="D2621" s="3" t="str">
        <f>IFERROR(__xludf.DUMMYFUNCTION("GOOGLETRANSLATE(A2621, ""nl"", ""en"")"),"Animals and Organic Forms")</f>
        <v>Animals and Organic Forms</v>
      </c>
      <c r="E2621" s="3" t="str">
        <f>IFERROR(__xludf.DUMMYFUNCTION("GOOGLETRANSLATE(B2621, ""nl"", ""en"")"),"A bird taking off")</f>
        <v>A bird taking off</v>
      </c>
    </row>
    <row r="2622" ht="15.75" customHeight="1">
      <c r="A2622" s="3" t="s">
        <v>15</v>
      </c>
      <c r="B2622" s="3" t="s">
        <v>38</v>
      </c>
      <c r="D2622" s="3" t="str">
        <f>IFERROR(__xludf.DUMMYFUNCTION("GOOGLETRANSLATE(A2622, ""nl"", ""en"")"),"Animals and Organic Forms")</f>
        <v>Animals and Organic Forms</v>
      </c>
      <c r="E2622" s="3" t="str">
        <f>IFERROR(__xludf.DUMMYFUNCTION("GOOGLETRANSLATE(B2622, ""nl"", ""en"")"),"A lion with an open mouth")</f>
        <v>A lion with an open mouth</v>
      </c>
    </row>
    <row r="2623" ht="15.75" customHeight="1">
      <c r="A2623" s="3" t="s">
        <v>4</v>
      </c>
      <c r="B2623" s="3" t="s">
        <v>20</v>
      </c>
      <c r="D2623" s="3" t="str">
        <f>IFERROR(__xludf.DUMMYFUNCTION("GOOGLETRANSLATE(A2623, ""nl"", ""en"")"),"Architectural and Structural Associations")</f>
        <v>Architectural and Structural Associations</v>
      </c>
      <c r="E2623" s="3" t="str">
        <f>IFERROR(__xludf.DUMMYFUNCTION("GOOGLETRANSLATE(B2623, ""nl"", ""en"")"),"A tower that grows by itself")</f>
        <v>A tower that grows by itself</v>
      </c>
    </row>
    <row r="2624" ht="15.75" customHeight="1">
      <c r="A2624" s="3" t="s">
        <v>9</v>
      </c>
      <c r="B2624" s="3" t="s">
        <v>49</v>
      </c>
      <c r="D2624" s="3" t="str">
        <f>IFERROR(__xludf.DUMMYFUNCTION("GOOGLETRANSLATE(A2624, ""nl"", ""en"")"),"Psychological and Emotional Interpretations")</f>
        <v>Psychological and Emotional Interpretations</v>
      </c>
      <c r="E2624" s="3" t="str">
        <f>IFERROR(__xludf.DUMMYFUNCTION("GOOGLETRANSLATE(B2624, ""nl"", ""en"")"),"A spiral that turns inward")</f>
        <v>A spiral that turns inward</v>
      </c>
    </row>
    <row r="2625" ht="15.75" customHeight="1">
      <c r="A2625" s="3" t="s">
        <v>24</v>
      </c>
      <c r="B2625" s="3" t="s">
        <v>54</v>
      </c>
      <c r="D2625" s="3" t="str">
        <f>IFERROR(__xludf.DUMMYFUNCTION("GOOGLETRANSLATE(A2625, ""nl"", ""en"")"),"Cosmic and Abstract Patterns")</f>
        <v>Cosmic and Abstract Patterns</v>
      </c>
      <c r="E2625" s="3" t="str">
        <f>IFERROR(__xludf.DUMMYFUNCTION("GOOGLETRANSLATE(B2625, ""nl"", ""en"")"),"A quantum particle in superposition")</f>
        <v>A quantum particle in superposition</v>
      </c>
    </row>
    <row r="2626" ht="15.75" customHeight="1">
      <c r="A2626" s="3" t="s">
        <v>7</v>
      </c>
      <c r="B2626" s="3" t="s">
        <v>8</v>
      </c>
      <c r="D2626" s="3" t="str">
        <f>IFERROR(__xludf.DUMMYFUNCTION("GOOGLETRANSLATE(A2626, ""nl"", ""en"")"),"Human Figures and Physicality")</f>
        <v>Human Figures and Physicality</v>
      </c>
      <c r="E2626" s="3" t="str">
        <f>IFERROR(__xludf.DUMMYFUNCTION("GOOGLETRANSLATE(B2626, ""nl"", ""en"")"),"Two figures mirroring each other")</f>
        <v>Two figures mirroring each other</v>
      </c>
    </row>
    <row r="2627" ht="15.75" customHeight="1">
      <c r="A2627" s="3" t="s">
        <v>4</v>
      </c>
      <c r="B2627" s="3" t="s">
        <v>43</v>
      </c>
      <c r="D2627" s="3" t="str">
        <f>IFERROR(__xludf.DUMMYFUNCTION("GOOGLETRANSLATE(A2627, ""nl"", ""en"")"),"Architectural and Structural Associations")</f>
        <v>Architectural and Structural Associations</v>
      </c>
      <c r="E2627" s="3" t="str">
        <f>IFERROR(__xludf.DUMMYFUNCTION("GOOGLETRANSLATE(B2627, ""nl"", ""en"")"),"A network of tunnels and passages")</f>
        <v>A network of tunnels and passages</v>
      </c>
    </row>
    <row r="2628" ht="15.75" customHeight="1">
      <c r="A2628" s="3" t="s">
        <v>15</v>
      </c>
      <c r="B2628" s="3" t="s">
        <v>22</v>
      </c>
      <c r="D2628" s="3" t="str">
        <f>IFERROR(__xludf.DUMMYFUNCTION("GOOGLETRANSLATE(A2628, ""nl"", ""en"")"),"Animals and Organic Forms")</f>
        <v>Animals and Organic Forms</v>
      </c>
      <c r="E2628" s="3" t="str">
        <f>IFERROR(__xludf.DUMMYFUNCTION("GOOGLETRANSLATE(B2628, ""nl"", ""en"")"),"A bird taking off")</f>
        <v>A bird taking off</v>
      </c>
    </row>
    <row r="2629" ht="15.75" customHeight="1">
      <c r="A2629" s="3" t="s">
        <v>7</v>
      </c>
      <c r="B2629" s="3" t="s">
        <v>40</v>
      </c>
      <c r="D2629" s="3" t="str">
        <f>IFERROR(__xludf.DUMMYFUNCTION("GOOGLETRANSLATE(A2629, ""nl"", ""en"")"),"Human Figures and Physicality")</f>
        <v>Human Figures and Physicality</v>
      </c>
      <c r="E2629" s="3" t="str">
        <f>IFERROR(__xludf.DUMMYFUNCTION("GOOGLETRANSLATE(B2629, ""nl"", ""en"")"),"A figure who is withdrawn into himself")</f>
        <v>A figure who is withdrawn into himself</v>
      </c>
    </row>
    <row r="2630" ht="15.75" customHeight="1">
      <c r="A2630" s="3" t="s">
        <v>15</v>
      </c>
      <c r="B2630" s="3" t="s">
        <v>16</v>
      </c>
      <c r="D2630" s="3" t="str">
        <f>IFERROR(__xludf.DUMMYFUNCTION("GOOGLETRANSLATE(A2630, ""nl"", ""en"")"),"Animals and Organic Forms")</f>
        <v>Animals and Organic Forms</v>
      </c>
      <c r="E2630" s="3" t="str">
        <f>IFERROR(__xludf.DUMMYFUNCTION("GOOGLETRANSLATE(B2630, ""nl"", ""en"")"),"A butterfly in transformation")</f>
        <v>A butterfly in transformation</v>
      </c>
    </row>
    <row r="2631" ht="15.75" customHeight="1">
      <c r="A2631" s="3" t="s">
        <v>7</v>
      </c>
      <c r="B2631" s="3" t="s">
        <v>40</v>
      </c>
      <c r="D2631" s="3" t="str">
        <f>IFERROR(__xludf.DUMMYFUNCTION("GOOGLETRANSLATE(A2631, ""nl"", ""en"")"),"Human Figures and Physicality")</f>
        <v>Human Figures and Physicality</v>
      </c>
      <c r="E2631" s="3" t="str">
        <f>IFERROR(__xludf.DUMMYFUNCTION("GOOGLETRANSLATE(B2631, ""nl"", ""en"")"),"A figure who is withdrawn into himself")</f>
        <v>A figure who is withdrawn into himself</v>
      </c>
    </row>
    <row r="2632" ht="15.75" customHeight="1">
      <c r="A2632" s="3" t="s">
        <v>15</v>
      </c>
      <c r="B2632" s="3" t="s">
        <v>38</v>
      </c>
      <c r="D2632" s="3" t="str">
        <f>IFERROR(__xludf.DUMMYFUNCTION("GOOGLETRANSLATE(A2632, ""nl"", ""en"")"),"Animals and Organic Forms")</f>
        <v>Animals and Organic Forms</v>
      </c>
      <c r="E2632" s="3" t="str">
        <f>IFERROR(__xludf.DUMMYFUNCTION("GOOGLETRANSLATE(B2632, ""nl"", ""en"")"),"A lion with an open mouth")</f>
        <v>A lion with an open mouth</v>
      </c>
    </row>
    <row r="2633" ht="15.75" customHeight="1">
      <c r="A2633" s="3" t="s">
        <v>12</v>
      </c>
      <c r="B2633" s="3" t="s">
        <v>47</v>
      </c>
      <c r="D2633" s="3" t="str">
        <f>IFERROR(__xludf.DUMMYFUNCTION("GOOGLETRANSLATE(A2633, ""nl"", ""en"")"),"Nature and Elements")</f>
        <v>Nature and Elements</v>
      </c>
      <c r="E2633" s="3" t="str">
        <f>IFERROR(__xludf.DUMMYFUNCTION("GOOGLETRANSLATE(B2633, ""nl"", ""en"")"),"A desert landscape that slowly changes")</f>
        <v>A desert landscape that slowly changes</v>
      </c>
    </row>
    <row r="2634" ht="15.75" customHeight="1">
      <c r="A2634" s="3" t="s">
        <v>7</v>
      </c>
      <c r="B2634" s="3" t="s">
        <v>53</v>
      </c>
      <c r="D2634" s="3" t="str">
        <f>IFERROR(__xludf.DUMMYFUNCTION("GOOGLETRANSLATE(A2634, ""nl"", ""en"")"),"Human Figures and Physicality")</f>
        <v>Human Figures and Physicality</v>
      </c>
      <c r="E2634" s="3" t="str">
        <f>IFERROR(__xludf.DUMMYFUNCTION("GOOGLETRANSLATE(B2634, ""nl"", ""en"")"),"A face that both smiles and cries")</f>
        <v>A face that both smiles and cries</v>
      </c>
    </row>
    <row r="2635" ht="15.75" customHeight="1">
      <c r="A2635" s="3" t="s">
        <v>24</v>
      </c>
      <c r="B2635" s="3" t="s">
        <v>27</v>
      </c>
      <c r="D2635" s="3" t="str">
        <f>IFERROR(__xludf.DUMMYFUNCTION("GOOGLETRANSLATE(A2635, ""nl"", ""en"")"),"Cosmic and Abstract Patterns")</f>
        <v>Cosmic and Abstract Patterns</v>
      </c>
      <c r="E2635" s="3" t="str">
        <f>IFERROR(__xludf.DUMMYFUNCTION("GOOGLETRANSLATE(B2635, ""nl"", ""en"")"),"A pair of black holes in dance")</f>
        <v>A pair of black holes in dance</v>
      </c>
    </row>
    <row r="2636" ht="15.75" customHeight="1">
      <c r="A2636" s="3" t="s">
        <v>7</v>
      </c>
      <c r="B2636" s="3" t="s">
        <v>56</v>
      </c>
      <c r="D2636" s="3" t="str">
        <f>IFERROR(__xludf.DUMMYFUNCTION("GOOGLETRANSLATE(A2636, ""nl"", ""en"")"),"Human Figures and Physicality")</f>
        <v>Human Figures and Physicality</v>
      </c>
      <c r="E2636" s="3" t="str">
        <f>IFERROR(__xludf.DUMMYFUNCTION("GOOGLETRANSLATE(B2636, ""nl"", ""en"")"),"A shadow that seems to move")</f>
        <v>A shadow that seems to move</v>
      </c>
    </row>
    <row r="2637" ht="15.75" customHeight="1">
      <c r="A2637" s="3" t="s">
        <v>24</v>
      </c>
      <c r="B2637" s="3" t="s">
        <v>54</v>
      </c>
      <c r="D2637" s="3" t="str">
        <f>IFERROR(__xludf.DUMMYFUNCTION("GOOGLETRANSLATE(A2637, ""nl"", ""en"")"),"Cosmic and Abstract Patterns")</f>
        <v>Cosmic and Abstract Patterns</v>
      </c>
      <c r="E2637" s="3" t="str">
        <f>IFERROR(__xludf.DUMMYFUNCTION("GOOGLETRANSLATE(B2637, ""nl"", ""en"")"),"A quantum particle in superposition")</f>
        <v>A quantum particle in superposition</v>
      </c>
    </row>
    <row r="2638" ht="15.75" customHeight="1">
      <c r="A2638" s="3" t="s">
        <v>9</v>
      </c>
      <c r="B2638" s="3" t="s">
        <v>17</v>
      </c>
      <c r="D2638" s="3" t="str">
        <f>IFERROR(__xludf.DUMMYFUNCTION("GOOGLETRANSLATE(A2638, ""nl"", ""en"")"),"Psychological and Emotional Interpretations")</f>
        <v>Psychological and Emotional Interpretations</v>
      </c>
      <c r="E2638" s="3" t="str">
        <f>IFERROR(__xludf.DUMMYFUNCTION("GOOGLETRANSLATE(B2638, ""nl"", ""en"")"),"A figure that seems to melt")</f>
        <v>A figure that seems to melt</v>
      </c>
    </row>
    <row r="2639" ht="15.75" customHeight="1">
      <c r="A2639" s="3" t="s">
        <v>4</v>
      </c>
      <c r="B2639" s="3" t="s">
        <v>44</v>
      </c>
      <c r="D2639" s="3" t="str">
        <f>IFERROR(__xludf.DUMMYFUNCTION("GOOGLETRANSLATE(A2639, ""nl"", ""en"")"),"Architectural and Structural Associations")</f>
        <v>Architectural and Structural Associations</v>
      </c>
      <c r="E2639" s="3" t="str">
        <f>IFERROR(__xludf.DUMMYFUNCTION("GOOGLETRANSLATE(B2639, ""nl"", ""en"")"),"A structure that pulsates in waves")</f>
        <v>A structure that pulsates in waves</v>
      </c>
    </row>
    <row r="2640" ht="15.75" customHeight="1">
      <c r="A2640" s="3" t="s">
        <v>4</v>
      </c>
      <c r="B2640" s="3" t="s">
        <v>43</v>
      </c>
      <c r="D2640" s="3" t="str">
        <f>IFERROR(__xludf.DUMMYFUNCTION("GOOGLETRANSLATE(A2640, ""nl"", ""en"")"),"Architectural and Structural Associations")</f>
        <v>Architectural and Structural Associations</v>
      </c>
      <c r="E2640" s="3" t="str">
        <f>IFERROR(__xludf.DUMMYFUNCTION("GOOGLETRANSLATE(B2640, ""nl"", ""en"")"),"A network of tunnels and passages")</f>
        <v>A network of tunnels and passages</v>
      </c>
    </row>
    <row r="2641" ht="15.75" customHeight="1">
      <c r="A2641" s="3" t="s">
        <v>4</v>
      </c>
      <c r="B2641" s="3" t="s">
        <v>21</v>
      </c>
      <c r="D2641" s="3" t="str">
        <f>IFERROR(__xludf.DUMMYFUNCTION("GOOGLETRANSLATE(A2641, ""nl"", ""en"")"),"Architectural and Structural Associations")</f>
        <v>Architectural and Structural Associations</v>
      </c>
      <c r="E2641" s="3" t="str">
        <f>IFERROR(__xludf.DUMMYFUNCTION("GOOGLETRANSLATE(B2641, ""nl"", ""en"")"),"A bridge that leads nowhere")</f>
        <v>A bridge that leads nowhere</v>
      </c>
    </row>
    <row r="2642" ht="15.75" customHeight="1">
      <c r="A2642" s="3" t="s">
        <v>9</v>
      </c>
      <c r="B2642" s="3" t="s">
        <v>49</v>
      </c>
      <c r="D2642" s="3" t="str">
        <f>IFERROR(__xludf.DUMMYFUNCTION("GOOGLETRANSLATE(A2642, ""nl"", ""en"")"),"Psychological and Emotional Interpretations")</f>
        <v>Psychological and Emotional Interpretations</v>
      </c>
      <c r="E2642" s="3" t="str">
        <f>IFERROR(__xludf.DUMMYFUNCTION("GOOGLETRANSLATE(B2642, ""nl"", ""en"")"),"A spiral that turns inward")</f>
        <v>A spiral that turns inward</v>
      </c>
    </row>
    <row r="2643" ht="15.75" customHeight="1">
      <c r="A2643" s="3" t="s">
        <v>4</v>
      </c>
      <c r="B2643" s="3" t="s">
        <v>35</v>
      </c>
      <c r="D2643" s="3" t="str">
        <f>IFERROR(__xludf.DUMMYFUNCTION("GOOGLETRANSLATE(A2643, ""nl"", ""en"")"),"Architectural and Structural Associations")</f>
        <v>Architectural and Structural Associations</v>
      </c>
      <c r="E2643" s="3" t="str">
        <f>IFERROR(__xludf.DUMMYFUNCTION("GOOGLETRANSLATE(B2643, ""nl"", ""en"")"),"A floating building without a base")</f>
        <v>A floating building without a base</v>
      </c>
    </row>
    <row r="2644" ht="15.75" customHeight="1">
      <c r="A2644" s="3" t="s">
        <v>12</v>
      </c>
      <c r="B2644" s="3" t="s">
        <v>18</v>
      </c>
      <c r="D2644" s="3" t="str">
        <f>IFERROR(__xludf.DUMMYFUNCTION("GOOGLETRANSLATE(A2644, ""nl"", ""en"")"),"Nature and Elements")</f>
        <v>Nature and Elements</v>
      </c>
      <c r="E2644" s="3" t="str">
        <f>IFERROR(__xludf.DUMMYFUNCTION("GOOGLETRANSLATE(B2644, ""nl"", ""en"")"),"A tree with endless branches")</f>
        <v>A tree with endless branches</v>
      </c>
    </row>
    <row r="2645" ht="15.75" customHeight="1">
      <c r="A2645" s="3" t="s">
        <v>9</v>
      </c>
      <c r="B2645" s="3" t="s">
        <v>17</v>
      </c>
      <c r="D2645" s="3" t="str">
        <f>IFERROR(__xludf.DUMMYFUNCTION("GOOGLETRANSLATE(A2645, ""nl"", ""en"")"),"Psychological and Emotional Interpretations")</f>
        <v>Psychological and Emotional Interpretations</v>
      </c>
      <c r="E2645" s="3" t="str">
        <f>IFERROR(__xludf.DUMMYFUNCTION("GOOGLETRANSLATE(B2645, ""nl"", ""en"")"),"A figure that seems to melt")</f>
        <v>A figure that seems to melt</v>
      </c>
    </row>
    <row r="2646" ht="15.75" customHeight="1">
      <c r="A2646" s="3" t="s">
        <v>12</v>
      </c>
      <c r="B2646" s="3" t="s">
        <v>47</v>
      </c>
      <c r="D2646" s="3" t="str">
        <f>IFERROR(__xludf.DUMMYFUNCTION("GOOGLETRANSLATE(A2646, ""nl"", ""en"")"),"Nature and Elements")</f>
        <v>Nature and Elements</v>
      </c>
      <c r="E2646" s="3" t="str">
        <f>IFERROR(__xludf.DUMMYFUNCTION("GOOGLETRANSLATE(B2646, ""nl"", ""en"")"),"A desert landscape that slowly changes")</f>
        <v>A desert landscape that slowly changes</v>
      </c>
    </row>
    <row r="2647" ht="15.75" customHeight="1">
      <c r="A2647" s="3" t="s">
        <v>15</v>
      </c>
      <c r="B2647" s="3" t="s">
        <v>46</v>
      </c>
      <c r="D2647" s="3" t="str">
        <f>IFERROR(__xludf.DUMMYFUNCTION("GOOGLETRANSLATE(A2647, ""nl"", ""en"")"),"Animals and Organic Forms")</f>
        <v>Animals and Organic Forms</v>
      </c>
      <c r="E2647" s="3" t="str">
        <f>IFERROR(__xludf.DUMMYFUNCTION("GOOGLETRANSLATE(B2647, ""nl"", ""en"")"),"A flock of fish moving as one")</f>
        <v>A flock of fish moving as one</v>
      </c>
    </row>
    <row r="2648" ht="15.75" customHeight="1">
      <c r="A2648" s="3" t="s">
        <v>12</v>
      </c>
      <c r="B2648" s="3" t="s">
        <v>18</v>
      </c>
      <c r="D2648" s="3" t="str">
        <f>IFERROR(__xludf.DUMMYFUNCTION("GOOGLETRANSLATE(A2648, ""nl"", ""en"")"),"Nature and Elements")</f>
        <v>Nature and Elements</v>
      </c>
      <c r="E2648" s="3" t="str">
        <f>IFERROR(__xludf.DUMMYFUNCTION("GOOGLETRANSLATE(B2648, ""nl"", ""en"")"),"A tree with endless branches")</f>
        <v>A tree with endless branches</v>
      </c>
    </row>
    <row r="2649" ht="15.75" customHeight="1">
      <c r="A2649" s="3" t="s">
        <v>4</v>
      </c>
      <c r="B2649" s="3" t="s">
        <v>6</v>
      </c>
      <c r="D2649" s="3" t="str">
        <f>IFERROR(__xludf.DUMMYFUNCTION("GOOGLETRANSLATE(A2649, ""nl"", ""en"")"),"Architectural and Structural Associations")</f>
        <v>Architectural and Structural Associations</v>
      </c>
      <c r="E2649" s="3" t="str">
        <f>IFERROR(__xludf.DUMMYFUNCTION("GOOGLETRANSLATE(B2649, ""nl"", ""en"")"),"An endless labyrinth")</f>
        <v>An endless labyrinth</v>
      </c>
    </row>
    <row r="2650" ht="15.75" customHeight="1">
      <c r="A2650" s="3" t="s">
        <v>7</v>
      </c>
      <c r="B2650" s="3" t="s">
        <v>40</v>
      </c>
      <c r="D2650" s="3" t="str">
        <f>IFERROR(__xludf.DUMMYFUNCTION("GOOGLETRANSLATE(A2650, ""nl"", ""en"")"),"Human Figures and Physicality")</f>
        <v>Human Figures and Physicality</v>
      </c>
      <c r="E2650" s="3" t="str">
        <f>IFERROR(__xludf.DUMMYFUNCTION("GOOGLETRANSLATE(B2650, ""nl"", ""en"")"),"A figure who is withdrawn into himself")</f>
        <v>A figure who is withdrawn into himself</v>
      </c>
    </row>
    <row r="2651" ht="15.75" customHeight="1">
      <c r="A2651" s="3" t="s">
        <v>15</v>
      </c>
      <c r="B2651" s="3" t="s">
        <v>26</v>
      </c>
      <c r="D2651" s="3" t="str">
        <f>IFERROR(__xludf.DUMMYFUNCTION("GOOGLETRANSLATE(A2651, ""nl"", ""en"")"),"Animals and Organic Forms")</f>
        <v>Animals and Organic Forms</v>
      </c>
      <c r="E2651" s="3" t="str">
        <f>IFERROR(__xludf.DUMMYFUNCTION("GOOGLETRANSLATE(B2651, ""nl"", ""en"")"),"A frog preparing to jump")</f>
        <v>A frog preparing to jump</v>
      </c>
    </row>
    <row r="2652" ht="15.75" customHeight="1">
      <c r="A2652" s="3" t="s">
        <v>24</v>
      </c>
      <c r="B2652" s="3" t="s">
        <v>54</v>
      </c>
      <c r="D2652" s="3" t="str">
        <f>IFERROR(__xludf.DUMMYFUNCTION("GOOGLETRANSLATE(A2652, ""nl"", ""en"")"),"Cosmic and Abstract Patterns")</f>
        <v>Cosmic and Abstract Patterns</v>
      </c>
      <c r="E2652" s="3" t="str">
        <f>IFERROR(__xludf.DUMMYFUNCTION("GOOGLETRANSLATE(B2652, ""nl"", ""en"")"),"A quantum particle in superposition")</f>
        <v>A quantum particle in superposition</v>
      </c>
    </row>
    <row r="2653" ht="15.75" customHeight="1">
      <c r="A2653" s="3" t="s">
        <v>4</v>
      </c>
      <c r="B2653" s="3" t="s">
        <v>6</v>
      </c>
      <c r="D2653" s="3" t="str">
        <f>IFERROR(__xludf.DUMMYFUNCTION("GOOGLETRANSLATE(A2653, ""nl"", ""en"")"),"Architectural and Structural Associations")</f>
        <v>Architectural and Structural Associations</v>
      </c>
      <c r="E2653" s="3" t="str">
        <f>IFERROR(__xludf.DUMMYFUNCTION("GOOGLETRANSLATE(B2653, ""nl"", ""en"")"),"An endless labyrinth")</f>
        <v>An endless labyrinth</v>
      </c>
    </row>
    <row r="2654" ht="15.75" customHeight="1">
      <c r="A2654" s="3" t="s">
        <v>4</v>
      </c>
      <c r="B2654" s="3" t="s">
        <v>5</v>
      </c>
      <c r="D2654" s="3" t="str">
        <f>IFERROR(__xludf.DUMMYFUNCTION("GOOGLETRANSLATE(A2654, ""nl"", ""en"")"),"Architectural and Structural Associations")</f>
        <v>Architectural and Structural Associations</v>
      </c>
      <c r="E2654" s="3" t="str">
        <f>IFERROR(__xludf.DUMMYFUNCTION("GOOGLETRANSLATE(B2654, ""nl"", ""en"")"),"A cathedral shaped from mist")</f>
        <v>A cathedral shaped from mist</v>
      </c>
    </row>
    <row r="2655" ht="15.75" customHeight="1">
      <c r="A2655" s="3" t="s">
        <v>4</v>
      </c>
      <c r="B2655" s="3" t="s">
        <v>43</v>
      </c>
      <c r="D2655" s="3" t="str">
        <f>IFERROR(__xludf.DUMMYFUNCTION("GOOGLETRANSLATE(A2655, ""nl"", ""en"")"),"Architectural and Structural Associations")</f>
        <v>Architectural and Structural Associations</v>
      </c>
      <c r="E2655" s="3" t="str">
        <f>IFERROR(__xludf.DUMMYFUNCTION("GOOGLETRANSLATE(B2655, ""nl"", ""en"")"),"A network of tunnels and passages")</f>
        <v>A network of tunnels and passages</v>
      </c>
    </row>
    <row r="2656" ht="15.75" customHeight="1">
      <c r="A2656" s="3" t="s">
        <v>24</v>
      </c>
      <c r="B2656" s="3" t="s">
        <v>25</v>
      </c>
      <c r="D2656" s="3" t="str">
        <f>IFERROR(__xludf.DUMMYFUNCTION("GOOGLETRANSLATE(A2656, ""nl"", ""en"")"),"Cosmic and Abstract Patterns")</f>
        <v>Cosmic and Abstract Patterns</v>
      </c>
      <c r="E2656" s="3" t="str">
        <f>IFERROR(__xludf.DUMMYFUNCTION("GOOGLETRANSLATE(B2656, ""nl"", ""en"")"),"A meteor shower dissolving into each other")</f>
        <v>A meteor shower dissolving into each other</v>
      </c>
    </row>
    <row r="2657" ht="15.75" customHeight="1">
      <c r="A2657" s="3" t="s">
        <v>7</v>
      </c>
      <c r="B2657" s="3" t="s">
        <v>28</v>
      </c>
      <c r="D2657" s="3" t="str">
        <f>IFERROR(__xludf.DUMMYFUNCTION("GOOGLETRANSLATE(A2657, ""nl"", ""en"")"),"Human Figures and Physicality")</f>
        <v>Human Figures and Physicality</v>
      </c>
      <c r="E2657" s="3" t="str">
        <f>IFERROR(__xludf.DUMMYFUNCTION("GOOGLETRANSLATE(B2657, ""nl"", ""en"")"),"A dancing silhouette")</f>
        <v>A dancing silhouette</v>
      </c>
    </row>
    <row r="2658" ht="15.75" customHeight="1">
      <c r="A2658" s="3" t="s">
        <v>4</v>
      </c>
      <c r="B2658" s="3" t="s">
        <v>20</v>
      </c>
      <c r="D2658" s="3" t="str">
        <f>IFERROR(__xludf.DUMMYFUNCTION("GOOGLETRANSLATE(A2658, ""nl"", ""en"")"),"Architectural and Structural Associations")</f>
        <v>Architectural and Structural Associations</v>
      </c>
      <c r="E2658" s="3" t="str">
        <f>IFERROR(__xludf.DUMMYFUNCTION("GOOGLETRANSLATE(B2658, ""nl"", ""en"")"),"A tower that grows by itself")</f>
        <v>A tower that grows by itself</v>
      </c>
    </row>
    <row r="2659" ht="15.75" customHeight="1">
      <c r="A2659" s="3" t="s">
        <v>12</v>
      </c>
      <c r="B2659" s="3" t="s">
        <v>47</v>
      </c>
      <c r="D2659" s="3" t="str">
        <f>IFERROR(__xludf.DUMMYFUNCTION("GOOGLETRANSLATE(A2659, ""nl"", ""en"")"),"Nature and Elements")</f>
        <v>Nature and Elements</v>
      </c>
      <c r="E2659" s="3" t="str">
        <f>IFERROR(__xludf.DUMMYFUNCTION("GOOGLETRANSLATE(B2659, ""nl"", ""en"")"),"A desert landscape that slowly changes")</f>
        <v>A desert landscape that slowly changes</v>
      </c>
    </row>
    <row r="2660" ht="15.75" customHeight="1">
      <c r="A2660" s="3" t="s">
        <v>12</v>
      </c>
      <c r="B2660" s="3" t="s">
        <v>51</v>
      </c>
      <c r="D2660" s="3" t="str">
        <f>IFERROR(__xludf.DUMMYFUNCTION("GOOGLETRANSLATE(A2660, ""nl"", ""en"")"),"Nature and Elements")</f>
        <v>Nature and Elements</v>
      </c>
      <c r="E2660" s="3" t="str">
        <f>IFERROR(__xludf.DUMMYFUNCTION("GOOGLETRANSLATE(B2660, ""nl"", ""en"")"),"An evaporating puddle of water")</f>
        <v>An evaporating puddle of water</v>
      </c>
    </row>
    <row r="2661" ht="15.75" customHeight="1">
      <c r="A2661" s="3" t="s">
        <v>15</v>
      </c>
      <c r="B2661" s="3" t="s">
        <v>16</v>
      </c>
      <c r="D2661" s="3" t="str">
        <f>IFERROR(__xludf.DUMMYFUNCTION("GOOGLETRANSLATE(A2661, ""nl"", ""en"")"),"Animals and Organic Forms")</f>
        <v>Animals and Organic Forms</v>
      </c>
      <c r="E2661" s="3" t="str">
        <f>IFERROR(__xludf.DUMMYFUNCTION("GOOGLETRANSLATE(B2661, ""nl"", ""en"")"),"A butterfly in transformation")</f>
        <v>A butterfly in transformation</v>
      </c>
    </row>
    <row r="2662" ht="15.75" customHeight="1">
      <c r="A2662" s="3" t="s">
        <v>24</v>
      </c>
      <c r="B2662" s="3" t="s">
        <v>27</v>
      </c>
      <c r="D2662" s="3" t="str">
        <f>IFERROR(__xludf.DUMMYFUNCTION("GOOGLETRANSLATE(A2662, ""nl"", ""en"")"),"Cosmic and Abstract Patterns")</f>
        <v>Cosmic and Abstract Patterns</v>
      </c>
      <c r="E2662" s="3" t="str">
        <f>IFERROR(__xludf.DUMMYFUNCTION("GOOGLETRANSLATE(B2662, ""nl"", ""en"")"),"A pair of black holes in dance")</f>
        <v>A pair of black holes in dance</v>
      </c>
    </row>
    <row r="2663" ht="15.75" customHeight="1">
      <c r="A2663" s="3" t="s">
        <v>12</v>
      </c>
      <c r="B2663" s="3" t="s">
        <v>36</v>
      </c>
      <c r="D2663" s="3" t="str">
        <f>IFERROR(__xludf.DUMMYFUNCTION("GOOGLETRANSLATE(A2663, ""nl"", ""en"")"),"Nature and Elements")</f>
        <v>Nature and Elements</v>
      </c>
      <c r="E2663" s="3" t="str">
        <f>IFERROR(__xludf.DUMMYFUNCTION("GOOGLETRANSLATE(B2663, ""nl"", ""en"")"),"A river delta from a bird's-eye view")</f>
        <v>A river delta from a bird's-eye view</v>
      </c>
    </row>
    <row r="2664" ht="15.75" customHeight="1">
      <c r="A2664" s="3" t="s">
        <v>12</v>
      </c>
      <c r="B2664" s="3" t="s">
        <v>13</v>
      </c>
      <c r="D2664" s="3" t="str">
        <f>IFERROR(__xludf.DUMMYFUNCTION("GOOGLETRANSLATE(A2664, ""nl"", ""en"")"),"Nature and Elements")</f>
        <v>Nature and Elements</v>
      </c>
      <c r="E2664" s="3" t="str">
        <f>IFERROR(__xludf.DUMMYFUNCTION("GOOGLETRANSLATE(B2664, ""nl"", ""en"")"),"A lightning strike in slow motion")</f>
        <v>A lightning strike in slow motion</v>
      </c>
    </row>
    <row r="2665" ht="15.75" customHeight="1">
      <c r="A2665" s="3" t="s">
        <v>9</v>
      </c>
      <c r="B2665" s="3" t="s">
        <v>57</v>
      </c>
      <c r="D2665" s="3" t="str">
        <f>IFERROR(__xludf.DUMMYFUNCTION("GOOGLETRANSLATE(A2665, ""nl"", ""en"")"),"Psychological and Emotional Interpretations")</f>
        <v>Psychological and Emotional Interpretations</v>
      </c>
      <c r="E2665" s="3" t="str">
        <f>IFERROR(__xludf.DUMMYFUNCTION("GOOGLETRANSLATE(B2665, ""nl"", ""en"")"),"An explosion of colours and feelings")</f>
        <v>An explosion of colours and feelings</v>
      </c>
    </row>
    <row r="2666" ht="15.75" customHeight="1">
      <c r="A2666" s="3" t="s">
        <v>12</v>
      </c>
      <c r="B2666" s="3" t="s">
        <v>51</v>
      </c>
      <c r="D2666" s="3" t="str">
        <f>IFERROR(__xludf.DUMMYFUNCTION("GOOGLETRANSLATE(A2666, ""nl"", ""en"")"),"Nature and Elements")</f>
        <v>Nature and Elements</v>
      </c>
      <c r="E2666" s="3" t="str">
        <f>IFERROR(__xludf.DUMMYFUNCTION("GOOGLETRANSLATE(B2666, ""nl"", ""en"")"),"An evaporating puddle of water")</f>
        <v>An evaporating puddle of water</v>
      </c>
    </row>
    <row r="2667" ht="15.75" customHeight="1">
      <c r="A2667" s="3" t="s">
        <v>9</v>
      </c>
      <c r="B2667" s="3" t="s">
        <v>10</v>
      </c>
      <c r="D2667" s="3" t="str">
        <f>IFERROR(__xludf.DUMMYFUNCTION("GOOGLETRANSLATE(A2667, ""nl"", ""en"")"),"Psychological and Emotional Interpretations")</f>
        <v>Psychological and Emotional Interpretations</v>
      </c>
      <c r="E2667" s="3" t="str">
        <f>IFERROR(__xludf.DUMMYFUNCTION("GOOGLETRANSLATE(B2667, ""nl"", ""en"")"),"A face transforming in light")</f>
        <v>A face transforming in light</v>
      </c>
    </row>
    <row r="2668" ht="15.75" customHeight="1">
      <c r="A2668" s="3" t="s">
        <v>12</v>
      </c>
      <c r="B2668" s="3" t="s">
        <v>13</v>
      </c>
      <c r="D2668" s="3" t="str">
        <f>IFERROR(__xludf.DUMMYFUNCTION("GOOGLETRANSLATE(A2668, ""nl"", ""en"")"),"Nature and Elements")</f>
        <v>Nature and Elements</v>
      </c>
      <c r="E2668" s="3" t="str">
        <f>IFERROR(__xludf.DUMMYFUNCTION("GOOGLETRANSLATE(B2668, ""nl"", ""en"")"),"A lightning strike in slow motion")</f>
        <v>A lightning strike in slow motion</v>
      </c>
    </row>
    <row r="2669" ht="15.75" customHeight="1">
      <c r="A2669" s="3" t="s">
        <v>12</v>
      </c>
      <c r="B2669" s="3" t="s">
        <v>13</v>
      </c>
      <c r="D2669" s="3" t="str">
        <f>IFERROR(__xludf.DUMMYFUNCTION("GOOGLETRANSLATE(A2669, ""nl"", ""en"")"),"Nature and Elements")</f>
        <v>Nature and Elements</v>
      </c>
      <c r="E2669" s="3" t="str">
        <f>IFERROR(__xludf.DUMMYFUNCTION("GOOGLETRANSLATE(B2669, ""nl"", ""en"")"),"A lightning strike in slow motion")</f>
        <v>A lightning strike in slow motion</v>
      </c>
    </row>
    <row r="2670" ht="15.75" customHeight="1">
      <c r="A2670" s="3" t="s">
        <v>24</v>
      </c>
      <c r="B2670" s="3" t="s">
        <v>25</v>
      </c>
      <c r="D2670" s="3" t="str">
        <f>IFERROR(__xludf.DUMMYFUNCTION("GOOGLETRANSLATE(A2670, ""nl"", ""en"")"),"Cosmic and Abstract Patterns")</f>
        <v>Cosmic and Abstract Patterns</v>
      </c>
      <c r="E2670" s="3" t="str">
        <f>IFERROR(__xludf.DUMMYFUNCTION("GOOGLETRANSLATE(B2670, ""nl"", ""en"")"),"A meteor shower dissolving into each other")</f>
        <v>A meteor shower dissolving into each other</v>
      </c>
    </row>
    <row r="2671" ht="15.75" customHeight="1">
      <c r="A2671" s="3" t="s">
        <v>7</v>
      </c>
      <c r="B2671" s="3" t="s">
        <v>53</v>
      </c>
      <c r="D2671" s="3" t="str">
        <f>IFERROR(__xludf.DUMMYFUNCTION("GOOGLETRANSLATE(A2671, ""nl"", ""en"")"),"Human Figures and Physicality")</f>
        <v>Human Figures and Physicality</v>
      </c>
      <c r="E2671" s="3" t="str">
        <f>IFERROR(__xludf.DUMMYFUNCTION("GOOGLETRANSLATE(B2671, ""nl"", ""en"")"),"A face that both smiles and cries")</f>
        <v>A face that both smiles and cries</v>
      </c>
    </row>
    <row r="2672" ht="15.75" customHeight="1">
      <c r="A2672" s="3" t="s">
        <v>4</v>
      </c>
      <c r="B2672" s="3" t="s">
        <v>44</v>
      </c>
      <c r="D2672" s="3" t="str">
        <f>IFERROR(__xludf.DUMMYFUNCTION("GOOGLETRANSLATE(A2672, ""nl"", ""en"")"),"Architectural and Structural Associations")</f>
        <v>Architectural and Structural Associations</v>
      </c>
      <c r="E2672" s="3" t="str">
        <f>IFERROR(__xludf.DUMMYFUNCTION("GOOGLETRANSLATE(B2672, ""nl"", ""en"")"),"A structure that pulsates in waves")</f>
        <v>A structure that pulsates in waves</v>
      </c>
    </row>
    <row r="2673" ht="15.75" customHeight="1">
      <c r="A2673" s="3" t="s">
        <v>9</v>
      </c>
      <c r="B2673" s="3" t="s">
        <v>17</v>
      </c>
      <c r="D2673" s="3" t="str">
        <f>IFERROR(__xludf.DUMMYFUNCTION("GOOGLETRANSLATE(A2673, ""nl"", ""en"")"),"Psychological and Emotional Interpretations")</f>
        <v>Psychological and Emotional Interpretations</v>
      </c>
      <c r="E2673" s="3" t="str">
        <f>IFERROR(__xludf.DUMMYFUNCTION("GOOGLETRANSLATE(B2673, ""nl"", ""en"")"),"A figure that seems to melt")</f>
        <v>A figure that seems to melt</v>
      </c>
    </row>
    <row r="2674" ht="15.75" customHeight="1">
      <c r="A2674" s="3" t="s">
        <v>4</v>
      </c>
      <c r="B2674" s="3" t="s">
        <v>35</v>
      </c>
      <c r="D2674" s="3" t="str">
        <f>IFERROR(__xludf.DUMMYFUNCTION("GOOGLETRANSLATE(A2674, ""nl"", ""en"")"),"Architectural and Structural Associations")</f>
        <v>Architectural and Structural Associations</v>
      </c>
      <c r="E2674" s="3" t="str">
        <f>IFERROR(__xludf.DUMMYFUNCTION("GOOGLETRANSLATE(B2674, ""nl"", ""en"")"),"A floating building without a base")</f>
        <v>A floating building without a base</v>
      </c>
    </row>
    <row r="2675" ht="15.75" customHeight="1">
      <c r="A2675" s="3" t="s">
        <v>9</v>
      </c>
      <c r="B2675" s="3" t="s">
        <v>10</v>
      </c>
      <c r="D2675" s="3" t="str">
        <f>IFERROR(__xludf.DUMMYFUNCTION("GOOGLETRANSLATE(A2675, ""nl"", ""en"")"),"Psychological and Emotional Interpretations")</f>
        <v>Psychological and Emotional Interpretations</v>
      </c>
      <c r="E2675" s="3" t="str">
        <f>IFERROR(__xludf.DUMMYFUNCTION("GOOGLETRANSLATE(B2675, ""nl"", ""en"")"),"A face transforming in light")</f>
        <v>A face transforming in light</v>
      </c>
    </row>
    <row r="2676" ht="15.75" customHeight="1">
      <c r="A2676" s="3" t="s">
        <v>15</v>
      </c>
      <c r="B2676" s="3" t="s">
        <v>38</v>
      </c>
      <c r="D2676" s="3" t="str">
        <f>IFERROR(__xludf.DUMMYFUNCTION("GOOGLETRANSLATE(A2676, ""nl"", ""en"")"),"Animals and Organic Forms")</f>
        <v>Animals and Organic Forms</v>
      </c>
      <c r="E2676" s="3" t="str">
        <f>IFERROR(__xludf.DUMMYFUNCTION("GOOGLETRANSLATE(B2676, ""nl"", ""en"")"),"A lion with an open mouth")</f>
        <v>A lion with an open mouth</v>
      </c>
    </row>
    <row r="2677" ht="15.75" customHeight="1">
      <c r="A2677" s="3" t="s">
        <v>24</v>
      </c>
      <c r="B2677" s="3" t="s">
        <v>54</v>
      </c>
      <c r="D2677" s="3" t="str">
        <f>IFERROR(__xludf.DUMMYFUNCTION("GOOGLETRANSLATE(A2677, ""nl"", ""en"")"),"Cosmic and Abstract Patterns")</f>
        <v>Cosmic and Abstract Patterns</v>
      </c>
      <c r="E2677" s="3" t="str">
        <f>IFERROR(__xludf.DUMMYFUNCTION("GOOGLETRANSLATE(B2677, ""nl"", ""en"")"),"A quantum particle in superposition")</f>
        <v>A quantum particle in superposition</v>
      </c>
    </row>
    <row r="2678" ht="15.75" customHeight="1">
      <c r="A2678" s="3" t="s">
        <v>7</v>
      </c>
      <c r="B2678" s="3" t="s">
        <v>53</v>
      </c>
      <c r="D2678" s="3" t="str">
        <f>IFERROR(__xludf.DUMMYFUNCTION("GOOGLETRANSLATE(A2678, ""nl"", ""en"")"),"Human Figures and Physicality")</f>
        <v>Human Figures and Physicality</v>
      </c>
      <c r="E2678" s="3" t="str">
        <f>IFERROR(__xludf.DUMMYFUNCTION("GOOGLETRANSLATE(B2678, ""nl"", ""en"")"),"A face that both smiles and cries")</f>
        <v>A face that both smiles and cries</v>
      </c>
    </row>
    <row r="2679" ht="15.75" customHeight="1">
      <c r="A2679" s="3" t="s">
        <v>12</v>
      </c>
      <c r="B2679" s="3" t="s">
        <v>19</v>
      </c>
      <c r="D2679" s="3" t="str">
        <f>IFERROR(__xludf.DUMMYFUNCTION("GOOGLETRANSLATE(A2679, ""nl"", ""en"")"),"Nature and Elements")</f>
        <v>Nature and Elements</v>
      </c>
      <c r="E2679" s="3" t="str">
        <f>IFERROR(__xludf.DUMMYFUNCTION("GOOGLETRANSLATE(B2679, ""nl"", ""en"")"),"A mountain range that seems to breathe")</f>
        <v>A mountain range that seems to breathe</v>
      </c>
    </row>
    <row r="2680" ht="15.75" customHeight="1">
      <c r="A2680" s="3" t="s">
        <v>12</v>
      </c>
      <c r="B2680" s="3" t="s">
        <v>23</v>
      </c>
      <c r="D2680" s="3" t="str">
        <f>IFERROR(__xludf.DUMMYFUNCTION("GOOGLETRANSLATE(A2680, ""nl"", ""en"")"),"Nature and Elements")</f>
        <v>Nature and Elements</v>
      </c>
      <c r="E2680" s="3" t="str">
        <f>IFERROR(__xludf.DUMMYFUNCTION("GOOGLETRANSLATE(B2680, ""nl"", ""en"")"),"A storm cloud splitting in two")</f>
        <v>A storm cloud splitting in two</v>
      </c>
    </row>
    <row r="2681" ht="15.75" customHeight="1">
      <c r="A2681" s="3" t="s">
        <v>9</v>
      </c>
      <c r="B2681" s="3" t="s">
        <v>14</v>
      </c>
      <c r="D2681" s="3" t="str">
        <f>IFERROR(__xludf.DUMMYFUNCTION("GOOGLETRANSLATE(A2681, ""nl"", ""en"")"),"Psychological and Emotional Interpretations")</f>
        <v>Psychological and Emotional Interpretations</v>
      </c>
      <c r="E2681" s="3" t="str">
        <f>IFERROR(__xludf.DUMMYFUNCTION("GOOGLETRANSLATE(B2681, ""nl"", ""en"")"),"An unclear hug")</f>
        <v>An unclear hug</v>
      </c>
    </row>
    <row r="2682" ht="15.75" customHeight="1">
      <c r="A2682" s="3" t="s">
        <v>12</v>
      </c>
      <c r="B2682" s="3" t="s">
        <v>13</v>
      </c>
      <c r="D2682" s="3" t="str">
        <f>IFERROR(__xludf.DUMMYFUNCTION("GOOGLETRANSLATE(A2682, ""nl"", ""en"")"),"Nature and Elements")</f>
        <v>Nature and Elements</v>
      </c>
      <c r="E2682" s="3" t="str">
        <f>IFERROR(__xludf.DUMMYFUNCTION("GOOGLETRANSLATE(B2682, ""nl"", ""en"")"),"A lightning strike in slow motion")</f>
        <v>A lightning strike in slow motion</v>
      </c>
    </row>
    <row r="2683" ht="15.75" customHeight="1">
      <c r="A2683" s="3" t="s">
        <v>12</v>
      </c>
      <c r="B2683" s="3" t="s">
        <v>47</v>
      </c>
      <c r="D2683" s="3" t="str">
        <f>IFERROR(__xludf.DUMMYFUNCTION("GOOGLETRANSLATE(A2683, ""nl"", ""en"")"),"Nature and Elements")</f>
        <v>Nature and Elements</v>
      </c>
      <c r="E2683" s="3" t="str">
        <f>IFERROR(__xludf.DUMMYFUNCTION("GOOGLETRANSLATE(B2683, ""nl"", ""en"")"),"A desert landscape that slowly changes")</f>
        <v>A desert landscape that slowly changes</v>
      </c>
    </row>
    <row r="2684" ht="15.75" customHeight="1">
      <c r="A2684" s="3" t="s">
        <v>24</v>
      </c>
      <c r="B2684" s="3" t="s">
        <v>31</v>
      </c>
      <c r="D2684" s="3" t="str">
        <f>IFERROR(__xludf.DUMMYFUNCTION("GOOGLETRANSLATE(A2684, ""nl"", ""en"")"),"Cosmic and Abstract Patterns")</f>
        <v>Cosmic and Abstract Patterns</v>
      </c>
      <c r="E2684" s="3" t="str">
        <f>IFERROR(__xludf.DUMMYFUNCTION("GOOGLETRANSLATE(B2684, ""nl"", ""en"")"),"A planet with unusual rings")</f>
        <v>A planet with unusual rings</v>
      </c>
    </row>
    <row r="2685" ht="15.75" customHeight="1">
      <c r="A2685" s="3" t="s">
        <v>4</v>
      </c>
      <c r="B2685" s="3" t="s">
        <v>20</v>
      </c>
      <c r="D2685" s="3" t="str">
        <f>IFERROR(__xludf.DUMMYFUNCTION("GOOGLETRANSLATE(A2685, ""nl"", ""en"")"),"Architectural and Structural Associations")</f>
        <v>Architectural and Structural Associations</v>
      </c>
      <c r="E2685" s="3" t="str">
        <f>IFERROR(__xludf.DUMMYFUNCTION("GOOGLETRANSLATE(B2685, ""nl"", ""en"")"),"A tower that grows by itself")</f>
        <v>A tower that grows by itself</v>
      </c>
    </row>
    <row r="2686" ht="15.75" customHeight="1">
      <c r="A2686" s="3" t="s">
        <v>15</v>
      </c>
      <c r="B2686" s="3" t="s">
        <v>52</v>
      </c>
      <c r="D2686" s="3" t="str">
        <f>IFERROR(__xludf.DUMMYFUNCTION("GOOGLETRANSLATE(A2686, ""nl"", ""en"")"),"Animals and Organic Forms")</f>
        <v>Animals and Organic Forms</v>
      </c>
      <c r="E2686" s="3" t="str">
        <f>IFERROR(__xludf.DUMMYFUNCTION("GOOGLETRANSLATE(B2686, ""nl"", ""en"")"),"A mask made of leaves")</f>
        <v>A mask made of leaves</v>
      </c>
    </row>
    <row r="2687" ht="15.75" customHeight="1">
      <c r="A2687" s="3" t="s">
        <v>9</v>
      </c>
      <c r="B2687" s="3" t="s">
        <v>37</v>
      </c>
      <c r="D2687" s="3" t="str">
        <f>IFERROR(__xludf.DUMMYFUNCTION("GOOGLETRANSLATE(A2687, ""nl"", ""en"")"),"Psychological and Emotional Interpretations")</f>
        <v>Psychological and Emotional Interpretations</v>
      </c>
      <c r="E2687" s="3" t="str">
        <f>IFERROR(__xludf.DUMMYFUNCTION("GOOGLETRANSLATE(B2687, ""nl"", ""en"")"),"A figure looking through itself")</f>
        <v>A figure looking through itself</v>
      </c>
    </row>
    <row r="2688" ht="15.75" customHeight="1">
      <c r="A2688" s="3" t="s">
        <v>4</v>
      </c>
      <c r="B2688" s="3" t="s">
        <v>5</v>
      </c>
      <c r="D2688" s="3" t="str">
        <f>IFERROR(__xludf.DUMMYFUNCTION("GOOGLETRANSLATE(A2688, ""nl"", ""en"")"),"Architectural and Structural Associations")</f>
        <v>Architectural and Structural Associations</v>
      </c>
      <c r="E2688" s="3" t="str">
        <f>IFERROR(__xludf.DUMMYFUNCTION("GOOGLETRANSLATE(B2688, ""nl"", ""en"")"),"A cathedral shaped from mist")</f>
        <v>A cathedral shaped from mist</v>
      </c>
    </row>
    <row r="2689" ht="15.75" customHeight="1">
      <c r="A2689" s="3" t="s">
        <v>12</v>
      </c>
      <c r="B2689" s="3" t="s">
        <v>19</v>
      </c>
      <c r="D2689" s="3" t="str">
        <f>IFERROR(__xludf.DUMMYFUNCTION("GOOGLETRANSLATE(A2689, ""nl"", ""en"")"),"Nature and Elements")</f>
        <v>Nature and Elements</v>
      </c>
      <c r="E2689" s="3" t="str">
        <f>IFERROR(__xludf.DUMMYFUNCTION("GOOGLETRANSLATE(B2689, ""nl"", ""en"")"),"A mountain range that seems to breathe")</f>
        <v>A mountain range that seems to breathe</v>
      </c>
    </row>
    <row r="2690" ht="15.75" customHeight="1">
      <c r="A2690" s="3" t="s">
        <v>4</v>
      </c>
      <c r="B2690" s="3" t="s">
        <v>44</v>
      </c>
      <c r="D2690" s="3" t="str">
        <f>IFERROR(__xludf.DUMMYFUNCTION("GOOGLETRANSLATE(A2690, ""nl"", ""en"")"),"Architectural and Structural Associations")</f>
        <v>Architectural and Structural Associations</v>
      </c>
      <c r="E2690" s="3" t="str">
        <f>IFERROR(__xludf.DUMMYFUNCTION("GOOGLETRANSLATE(B2690, ""nl"", ""en"")"),"A structure that pulsates in waves")</f>
        <v>A structure that pulsates in waves</v>
      </c>
    </row>
    <row r="2691" ht="15.75" customHeight="1">
      <c r="A2691" s="3" t="s">
        <v>24</v>
      </c>
      <c r="B2691" s="3" t="s">
        <v>31</v>
      </c>
      <c r="D2691" s="3" t="str">
        <f>IFERROR(__xludf.DUMMYFUNCTION("GOOGLETRANSLATE(A2691, ""nl"", ""en"")"),"Cosmic and Abstract Patterns")</f>
        <v>Cosmic and Abstract Patterns</v>
      </c>
      <c r="E2691" s="3" t="str">
        <f>IFERROR(__xludf.DUMMYFUNCTION("GOOGLETRANSLATE(B2691, ""nl"", ""en"")"),"A planet with unusual rings")</f>
        <v>A planet with unusual rings</v>
      </c>
    </row>
    <row r="2692" ht="15.75" customHeight="1">
      <c r="A2692" s="3" t="s">
        <v>7</v>
      </c>
      <c r="B2692" s="3" t="s">
        <v>39</v>
      </c>
      <c r="D2692" s="3" t="str">
        <f>IFERROR(__xludf.DUMMYFUNCTION("GOOGLETRANSLATE(A2692, ""nl"", ""en"")"),"Human Figures and Physicality")</f>
        <v>Human Figures and Physicality</v>
      </c>
      <c r="E2692" s="3" t="str">
        <f>IFERROR(__xludf.DUMMYFUNCTION("GOOGLETRANSLATE(B2692, ""nl"", ""en"")"),"A torso without a head")</f>
        <v>A torso without a head</v>
      </c>
    </row>
    <row r="2693" ht="15.75" customHeight="1">
      <c r="A2693" s="3" t="s">
        <v>24</v>
      </c>
      <c r="B2693" s="3" t="s">
        <v>29</v>
      </c>
      <c r="D2693" s="3" t="str">
        <f>IFERROR(__xludf.DUMMYFUNCTION("GOOGLETRANSLATE(A2693, ""nl"", ""en"")"),"Cosmic and Abstract Patterns")</f>
        <v>Cosmic and Abstract Patterns</v>
      </c>
      <c r="E2693" s="3" t="str">
        <f>IFERROR(__xludf.DUMMYFUNCTION("GOOGLETRANSLATE(B2693, ""nl"", ""en"")"),"A galaxy unfolding")</f>
        <v>A galaxy unfolding</v>
      </c>
    </row>
    <row r="2694" ht="15.75" customHeight="1">
      <c r="A2694" s="3" t="s">
        <v>24</v>
      </c>
      <c r="B2694" s="3" t="s">
        <v>29</v>
      </c>
      <c r="D2694" s="3" t="str">
        <f>IFERROR(__xludf.DUMMYFUNCTION("GOOGLETRANSLATE(A2694, ""nl"", ""en"")"),"Cosmic and Abstract Patterns")</f>
        <v>Cosmic and Abstract Patterns</v>
      </c>
      <c r="E2694" s="3" t="str">
        <f>IFERROR(__xludf.DUMMYFUNCTION("GOOGLETRANSLATE(B2694, ""nl"", ""en"")"),"A galaxy unfolding")</f>
        <v>A galaxy unfolding</v>
      </c>
    </row>
    <row r="2695" ht="15.75" customHeight="1">
      <c r="A2695" s="3" t="s">
        <v>9</v>
      </c>
      <c r="B2695" s="3" t="s">
        <v>57</v>
      </c>
      <c r="D2695" s="3" t="str">
        <f>IFERROR(__xludf.DUMMYFUNCTION("GOOGLETRANSLATE(A2695, ""nl"", ""en"")"),"Psychological and Emotional Interpretations")</f>
        <v>Psychological and Emotional Interpretations</v>
      </c>
      <c r="E2695" s="3" t="str">
        <f>IFERROR(__xludf.DUMMYFUNCTION("GOOGLETRANSLATE(B2695, ""nl"", ""en"")"),"An explosion of colours and feelings")</f>
        <v>An explosion of colours and feelings</v>
      </c>
    </row>
    <row r="2696" ht="15.75" customHeight="1">
      <c r="A2696" s="3" t="s">
        <v>9</v>
      </c>
      <c r="B2696" s="3" t="s">
        <v>17</v>
      </c>
      <c r="D2696" s="3" t="str">
        <f>IFERROR(__xludf.DUMMYFUNCTION("GOOGLETRANSLATE(A2696, ""nl"", ""en"")"),"Psychological and Emotional Interpretations")</f>
        <v>Psychological and Emotional Interpretations</v>
      </c>
      <c r="E2696" s="3" t="str">
        <f>IFERROR(__xludf.DUMMYFUNCTION("GOOGLETRANSLATE(B2696, ""nl"", ""en"")"),"A figure that seems to melt")</f>
        <v>A figure that seems to melt</v>
      </c>
    </row>
    <row r="2697" ht="15.75" customHeight="1">
      <c r="A2697" s="3" t="s">
        <v>9</v>
      </c>
      <c r="B2697" s="3" t="s">
        <v>49</v>
      </c>
      <c r="D2697" s="3" t="str">
        <f>IFERROR(__xludf.DUMMYFUNCTION("GOOGLETRANSLATE(A2697, ""nl"", ""en"")"),"Psychological and Emotional Interpretations")</f>
        <v>Psychological and Emotional Interpretations</v>
      </c>
      <c r="E2697" s="3" t="str">
        <f>IFERROR(__xludf.DUMMYFUNCTION("GOOGLETRANSLATE(B2697, ""nl"", ""en"")"),"A spiral that turns inward")</f>
        <v>A spiral that turns inward</v>
      </c>
    </row>
    <row r="2698" ht="15.75" customHeight="1">
      <c r="A2698" s="3" t="s">
        <v>9</v>
      </c>
      <c r="B2698" s="3" t="s">
        <v>17</v>
      </c>
      <c r="D2698" s="3" t="str">
        <f>IFERROR(__xludf.DUMMYFUNCTION("GOOGLETRANSLATE(A2698, ""nl"", ""en"")"),"Psychological and Emotional Interpretations")</f>
        <v>Psychological and Emotional Interpretations</v>
      </c>
      <c r="E2698" s="3" t="str">
        <f>IFERROR(__xludf.DUMMYFUNCTION("GOOGLETRANSLATE(B2698, ""nl"", ""en"")"),"A figure that seems to melt")</f>
        <v>A figure that seems to melt</v>
      </c>
    </row>
    <row r="2699" ht="15.75" customHeight="1">
      <c r="A2699" s="3" t="s">
        <v>7</v>
      </c>
      <c r="B2699" s="3" t="s">
        <v>39</v>
      </c>
      <c r="D2699" s="3" t="str">
        <f>IFERROR(__xludf.DUMMYFUNCTION("GOOGLETRANSLATE(A2699, ""nl"", ""en"")"),"Human Figures and Physicality")</f>
        <v>Human Figures and Physicality</v>
      </c>
      <c r="E2699" s="3" t="str">
        <f>IFERROR(__xludf.DUMMYFUNCTION("GOOGLETRANSLATE(B2699, ""nl"", ""en"")"),"A torso without a head")</f>
        <v>A torso without a head</v>
      </c>
    </row>
    <row r="2700" ht="15.75" customHeight="1">
      <c r="A2700" s="3" t="s">
        <v>4</v>
      </c>
      <c r="B2700" s="3" t="s">
        <v>55</v>
      </c>
      <c r="D2700" s="3" t="str">
        <f>IFERROR(__xludf.DUMMYFUNCTION("GOOGLETRANSLATE(A2700, ""nl"", ""en"")"),"Architectural and Structural Associations")</f>
        <v>Architectural and Structural Associations</v>
      </c>
      <c r="E2700" s="3" t="str">
        <f>IFERROR(__xludf.DUMMYFUNCTION("GOOGLETRANSLATE(B2700, ""nl"", ""en"")"),"A prism that splits light into colors")</f>
        <v>A prism that splits light into colors</v>
      </c>
    </row>
    <row r="2701" ht="15.75" customHeight="1">
      <c r="A2701" s="3" t="s">
        <v>7</v>
      </c>
      <c r="B2701" s="3" t="s">
        <v>34</v>
      </c>
      <c r="D2701" s="3" t="str">
        <f>IFERROR(__xludf.DUMMYFUNCTION("GOOGLETRANSLATE(A2701, ""nl"", ""en"")"),"Human Figures and Physicality")</f>
        <v>Human Figures and Physicality</v>
      </c>
      <c r="E2701" s="3" t="str">
        <f>IFERROR(__xludf.DUMMYFUNCTION("GOOGLETRANSLATE(B2701, ""nl"", ""en"")"),"Hands almost touching")</f>
        <v>Hands almost touching</v>
      </c>
    </row>
    <row r="2702" ht="15.75" customHeight="1">
      <c r="A2702" s="3" t="s">
        <v>24</v>
      </c>
      <c r="B2702" s="3" t="s">
        <v>31</v>
      </c>
      <c r="D2702" s="3" t="str">
        <f>IFERROR(__xludf.DUMMYFUNCTION("GOOGLETRANSLATE(A2702, ""nl"", ""en"")"),"Cosmic and Abstract Patterns")</f>
        <v>Cosmic and Abstract Patterns</v>
      </c>
      <c r="E2702" s="3" t="str">
        <f>IFERROR(__xludf.DUMMYFUNCTION("GOOGLETRANSLATE(B2702, ""nl"", ""en"")"),"A planet with unusual rings")</f>
        <v>A planet with unusual rings</v>
      </c>
    </row>
    <row r="2703" ht="15.75" customHeight="1">
      <c r="A2703" s="3" t="s">
        <v>9</v>
      </c>
      <c r="B2703" s="3" t="s">
        <v>14</v>
      </c>
      <c r="D2703" s="3" t="str">
        <f>IFERROR(__xludf.DUMMYFUNCTION("GOOGLETRANSLATE(A2703, ""nl"", ""en"")"),"Psychological and Emotional Interpretations")</f>
        <v>Psychological and Emotional Interpretations</v>
      </c>
      <c r="E2703" s="3" t="str">
        <f>IFERROR(__xludf.DUMMYFUNCTION("GOOGLETRANSLATE(B2703, ""nl"", ""en"")"),"An unclear hug")</f>
        <v>An unclear hug</v>
      </c>
    </row>
    <row r="2704" ht="15.75" customHeight="1">
      <c r="A2704" s="3" t="s">
        <v>24</v>
      </c>
      <c r="B2704" s="3" t="s">
        <v>48</v>
      </c>
      <c r="D2704" s="3" t="str">
        <f>IFERROR(__xludf.DUMMYFUNCTION("GOOGLETRANSLATE(A2704, ""nl"", ""en"")"),"Cosmic and Abstract Patterns")</f>
        <v>Cosmic and Abstract Patterns</v>
      </c>
      <c r="E2704" s="3" t="str">
        <f>IFERROR(__xludf.DUMMYFUNCTION("GOOGLETRANSLATE(B2704, ""nl"", ""en"")"),"A fractal that repeats itself")</f>
        <v>A fractal that repeats itself</v>
      </c>
    </row>
    <row r="2705" ht="15.75" customHeight="1">
      <c r="A2705" s="3" t="s">
        <v>7</v>
      </c>
      <c r="B2705" s="3" t="s">
        <v>56</v>
      </c>
      <c r="D2705" s="3" t="str">
        <f>IFERROR(__xludf.DUMMYFUNCTION("GOOGLETRANSLATE(A2705, ""nl"", ""en"")"),"Human Figures and Physicality")</f>
        <v>Human Figures and Physicality</v>
      </c>
      <c r="E2705" s="3" t="str">
        <f>IFERROR(__xludf.DUMMYFUNCTION("GOOGLETRANSLATE(B2705, ""nl"", ""en"")"),"A shadow that seems to move")</f>
        <v>A shadow that seems to move</v>
      </c>
    </row>
    <row r="2706" ht="15.75" customHeight="1">
      <c r="A2706" s="3" t="s">
        <v>9</v>
      </c>
      <c r="B2706" s="3" t="s">
        <v>57</v>
      </c>
      <c r="D2706" s="3" t="str">
        <f>IFERROR(__xludf.DUMMYFUNCTION("GOOGLETRANSLATE(A2706, ""nl"", ""en"")"),"Psychological and Emotional Interpretations")</f>
        <v>Psychological and Emotional Interpretations</v>
      </c>
      <c r="E2706" s="3" t="str">
        <f>IFERROR(__xludf.DUMMYFUNCTION("GOOGLETRANSLATE(B2706, ""nl"", ""en"")"),"An explosion of colours and feelings")</f>
        <v>An explosion of colours and feelings</v>
      </c>
    </row>
    <row r="2707" ht="15.75" customHeight="1">
      <c r="A2707" s="3" t="s">
        <v>12</v>
      </c>
      <c r="B2707" s="3" t="s">
        <v>51</v>
      </c>
      <c r="D2707" s="3" t="str">
        <f>IFERROR(__xludf.DUMMYFUNCTION("GOOGLETRANSLATE(A2707, ""nl"", ""en"")"),"Nature and Elements")</f>
        <v>Nature and Elements</v>
      </c>
      <c r="E2707" s="3" t="str">
        <f>IFERROR(__xludf.DUMMYFUNCTION("GOOGLETRANSLATE(B2707, ""nl"", ""en"")"),"An evaporating puddle of water")</f>
        <v>An evaporating puddle of water</v>
      </c>
    </row>
    <row r="2708" ht="15.75" customHeight="1">
      <c r="A2708" s="3" t="s">
        <v>15</v>
      </c>
      <c r="B2708" s="3" t="s">
        <v>45</v>
      </c>
      <c r="D2708" s="3" t="str">
        <f>IFERROR(__xludf.DUMMYFUNCTION("GOOGLETRANSLATE(A2708, ""nl"", ""en"")"),"Animals and Organic Forms")</f>
        <v>Animals and Organic Forms</v>
      </c>
      <c r="E2708" s="3" t="str">
        <f>IFERROR(__xludf.DUMMYFUNCTION("GOOGLETRANSLATE(B2708, ""nl"", ""en"")"),"A snake biting its own tail")</f>
        <v>A snake biting its own tail</v>
      </c>
    </row>
    <row r="2709" ht="15.75" customHeight="1">
      <c r="A2709" s="3" t="s">
        <v>7</v>
      </c>
      <c r="B2709" s="3" t="s">
        <v>28</v>
      </c>
      <c r="D2709" s="3" t="str">
        <f>IFERROR(__xludf.DUMMYFUNCTION("GOOGLETRANSLATE(A2709, ""nl"", ""en"")"),"Human Figures and Physicality")</f>
        <v>Human Figures and Physicality</v>
      </c>
      <c r="E2709" s="3" t="str">
        <f>IFERROR(__xludf.DUMMYFUNCTION("GOOGLETRANSLATE(B2709, ""nl"", ""en"")"),"A dancing silhouette")</f>
        <v>A dancing silhouette</v>
      </c>
    </row>
    <row r="2710" ht="15.75" customHeight="1">
      <c r="A2710" s="3" t="s">
        <v>12</v>
      </c>
      <c r="B2710" s="3" t="s">
        <v>19</v>
      </c>
      <c r="D2710" s="3" t="str">
        <f>IFERROR(__xludf.DUMMYFUNCTION("GOOGLETRANSLATE(A2710, ""nl"", ""en"")"),"Nature and Elements")</f>
        <v>Nature and Elements</v>
      </c>
      <c r="E2710" s="3" t="str">
        <f>IFERROR(__xludf.DUMMYFUNCTION("GOOGLETRANSLATE(B2710, ""nl"", ""en"")"),"A mountain range that seems to breathe")</f>
        <v>A mountain range that seems to breathe</v>
      </c>
    </row>
    <row r="2711" ht="15.75" customHeight="1">
      <c r="A2711" s="3" t="s">
        <v>15</v>
      </c>
      <c r="B2711" s="3" t="s">
        <v>38</v>
      </c>
      <c r="D2711" s="3" t="str">
        <f>IFERROR(__xludf.DUMMYFUNCTION("GOOGLETRANSLATE(A2711, ""nl"", ""en"")"),"Animals and Organic Forms")</f>
        <v>Animals and Organic Forms</v>
      </c>
      <c r="E2711" s="3" t="str">
        <f>IFERROR(__xludf.DUMMYFUNCTION("GOOGLETRANSLATE(B2711, ""nl"", ""en"")"),"A lion with an open mouth")</f>
        <v>A lion with an open mouth</v>
      </c>
    </row>
    <row r="2712" ht="15.75" customHeight="1">
      <c r="A2712" s="3" t="s">
        <v>4</v>
      </c>
      <c r="B2712" s="3" t="s">
        <v>20</v>
      </c>
      <c r="D2712" s="3" t="str">
        <f>IFERROR(__xludf.DUMMYFUNCTION("GOOGLETRANSLATE(A2712, ""nl"", ""en"")"),"Architectural and Structural Associations")</f>
        <v>Architectural and Structural Associations</v>
      </c>
      <c r="E2712" s="3" t="str">
        <f>IFERROR(__xludf.DUMMYFUNCTION("GOOGLETRANSLATE(B2712, ""nl"", ""en"")"),"A tower that grows by itself")</f>
        <v>A tower that grows by itself</v>
      </c>
    </row>
    <row r="2713" ht="15.75" customHeight="1">
      <c r="A2713" s="3" t="s">
        <v>12</v>
      </c>
      <c r="B2713" s="3" t="s">
        <v>23</v>
      </c>
      <c r="D2713" s="3" t="str">
        <f>IFERROR(__xludf.DUMMYFUNCTION("GOOGLETRANSLATE(A2713, ""nl"", ""en"")"),"Nature and Elements")</f>
        <v>Nature and Elements</v>
      </c>
      <c r="E2713" s="3" t="str">
        <f>IFERROR(__xludf.DUMMYFUNCTION("GOOGLETRANSLATE(B2713, ""nl"", ""en"")"),"A storm cloud splitting in two")</f>
        <v>A storm cloud splitting in two</v>
      </c>
    </row>
    <row r="2714" ht="15.75" customHeight="1">
      <c r="A2714" s="3" t="s">
        <v>24</v>
      </c>
      <c r="B2714" s="3" t="s">
        <v>54</v>
      </c>
      <c r="D2714" s="3" t="str">
        <f>IFERROR(__xludf.DUMMYFUNCTION("GOOGLETRANSLATE(A2714, ""nl"", ""en"")"),"Cosmic and Abstract Patterns")</f>
        <v>Cosmic and Abstract Patterns</v>
      </c>
      <c r="E2714" s="3" t="str">
        <f>IFERROR(__xludf.DUMMYFUNCTION("GOOGLETRANSLATE(B2714, ""nl"", ""en"")"),"A quantum particle in superposition")</f>
        <v>A quantum particle in superposition</v>
      </c>
    </row>
    <row r="2715" ht="15.75" customHeight="1">
      <c r="A2715" s="3" t="s">
        <v>4</v>
      </c>
      <c r="B2715" s="3" t="s">
        <v>44</v>
      </c>
      <c r="D2715" s="3" t="str">
        <f>IFERROR(__xludf.DUMMYFUNCTION("GOOGLETRANSLATE(A2715, ""nl"", ""en"")"),"Architectural and Structural Associations")</f>
        <v>Architectural and Structural Associations</v>
      </c>
      <c r="E2715" s="3" t="str">
        <f>IFERROR(__xludf.DUMMYFUNCTION("GOOGLETRANSLATE(B2715, ""nl"", ""en"")"),"A structure that pulsates in waves")</f>
        <v>A structure that pulsates in waves</v>
      </c>
    </row>
    <row r="2716" ht="15.75" customHeight="1">
      <c r="A2716" s="3" t="s">
        <v>4</v>
      </c>
      <c r="B2716" s="3" t="s">
        <v>35</v>
      </c>
      <c r="D2716" s="3" t="str">
        <f>IFERROR(__xludf.DUMMYFUNCTION("GOOGLETRANSLATE(A2716, ""nl"", ""en"")"),"Architectural and Structural Associations")</f>
        <v>Architectural and Structural Associations</v>
      </c>
      <c r="E2716" s="3" t="str">
        <f>IFERROR(__xludf.DUMMYFUNCTION("GOOGLETRANSLATE(B2716, ""nl"", ""en"")"),"A floating building without a base")</f>
        <v>A floating building without a base</v>
      </c>
    </row>
    <row r="2717" ht="15.75" customHeight="1">
      <c r="A2717" s="3" t="s">
        <v>7</v>
      </c>
      <c r="B2717" s="3" t="s">
        <v>40</v>
      </c>
      <c r="D2717" s="3" t="str">
        <f>IFERROR(__xludf.DUMMYFUNCTION("GOOGLETRANSLATE(A2717, ""nl"", ""en"")"),"Human Figures and Physicality")</f>
        <v>Human Figures and Physicality</v>
      </c>
      <c r="E2717" s="3" t="str">
        <f>IFERROR(__xludf.DUMMYFUNCTION("GOOGLETRANSLATE(B2717, ""nl"", ""en"")"),"A figure who is withdrawn into himself")</f>
        <v>A figure who is withdrawn into himself</v>
      </c>
    </row>
    <row r="2718" ht="15.75" customHeight="1">
      <c r="A2718" s="3" t="s">
        <v>15</v>
      </c>
      <c r="B2718" s="3" t="s">
        <v>52</v>
      </c>
      <c r="D2718" s="3" t="str">
        <f>IFERROR(__xludf.DUMMYFUNCTION("GOOGLETRANSLATE(A2718, ""nl"", ""en"")"),"Animals and Organic Forms")</f>
        <v>Animals and Organic Forms</v>
      </c>
      <c r="E2718" s="3" t="str">
        <f>IFERROR(__xludf.DUMMYFUNCTION("GOOGLETRANSLATE(B2718, ""nl"", ""en"")"),"A mask made of leaves")</f>
        <v>A mask made of leaves</v>
      </c>
    </row>
    <row r="2719" ht="15.75" customHeight="1">
      <c r="A2719" s="3" t="s">
        <v>9</v>
      </c>
      <c r="B2719" s="3" t="s">
        <v>42</v>
      </c>
      <c r="D2719" s="3" t="str">
        <f>IFERROR(__xludf.DUMMYFUNCTION("GOOGLETRANSLATE(A2719, ""nl"", ""en"")"),"Psychological and Emotional Interpretations")</f>
        <v>Psychological and Emotional Interpretations</v>
      </c>
      <c r="E2719" s="3" t="str">
        <f>IFERROR(__xludf.DUMMYFUNCTION("GOOGLETRANSLATE(B2719, ""nl"", ""en"")"),"A mask that slowly disappears")</f>
        <v>A mask that slowly disappears</v>
      </c>
    </row>
    <row r="2720" ht="15.75" customHeight="1">
      <c r="A2720" s="3" t="s">
        <v>9</v>
      </c>
      <c r="B2720" s="3" t="s">
        <v>57</v>
      </c>
      <c r="D2720" s="3" t="str">
        <f>IFERROR(__xludf.DUMMYFUNCTION("GOOGLETRANSLATE(A2720, ""nl"", ""en"")"),"Psychological and Emotional Interpretations")</f>
        <v>Psychological and Emotional Interpretations</v>
      </c>
      <c r="E2720" s="3" t="str">
        <f>IFERROR(__xludf.DUMMYFUNCTION("GOOGLETRANSLATE(B2720, ""nl"", ""en"")"),"An explosion of colours and feelings")</f>
        <v>An explosion of colours and feelings</v>
      </c>
    </row>
    <row r="2721" ht="15.75" customHeight="1">
      <c r="A2721" s="3" t="s">
        <v>15</v>
      </c>
      <c r="B2721" s="3" t="s">
        <v>52</v>
      </c>
      <c r="D2721" s="3" t="str">
        <f>IFERROR(__xludf.DUMMYFUNCTION("GOOGLETRANSLATE(A2721, ""nl"", ""en"")"),"Animals and Organic Forms")</f>
        <v>Animals and Organic Forms</v>
      </c>
      <c r="E2721" s="3" t="str">
        <f>IFERROR(__xludf.DUMMYFUNCTION("GOOGLETRANSLATE(B2721, ""nl"", ""en"")"),"A mask made of leaves")</f>
        <v>A mask made of leaves</v>
      </c>
    </row>
    <row r="2722" ht="15.75" customHeight="1">
      <c r="A2722" s="3" t="s">
        <v>9</v>
      </c>
      <c r="B2722" s="3" t="s">
        <v>14</v>
      </c>
      <c r="D2722" s="3" t="str">
        <f>IFERROR(__xludf.DUMMYFUNCTION("GOOGLETRANSLATE(A2722, ""nl"", ""en"")"),"Psychological and Emotional Interpretations")</f>
        <v>Psychological and Emotional Interpretations</v>
      </c>
      <c r="E2722" s="3" t="str">
        <f>IFERROR(__xludf.DUMMYFUNCTION("GOOGLETRANSLATE(B2722, ""nl"", ""en"")"),"An unclear hug")</f>
        <v>An unclear hug</v>
      </c>
    </row>
    <row r="2723" ht="15.75" customHeight="1">
      <c r="A2723" s="3" t="s">
        <v>15</v>
      </c>
      <c r="B2723" s="3" t="s">
        <v>45</v>
      </c>
      <c r="D2723" s="3" t="str">
        <f>IFERROR(__xludf.DUMMYFUNCTION("GOOGLETRANSLATE(A2723, ""nl"", ""en"")"),"Animals and Organic Forms")</f>
        <v>Animals and Organic Forms</v>
      </c>
      <c r="E2723" s="3" t="str">
        <f>IFERROR(__xludf.DUMMYFUNCTION("GOOGLETRANSLATE(B2723, ""nl"", ""en"")"),"A snake biting its own tail")</f>
        <v>A snake biting its own tail</v>
      </c>
    </row>
    <row r="2724" ht="15.75" customHeight="1">
      <c r="A2724" s="3" t="s">
        <v>12</v>
      </c>
      <c r="B2724" s="3" t="s">
        <v>47</v>
      </c>
      <c r="D2724" s="3" t="str">
        <f>IFERROR(__xludf.DUMMYFUNCTION("GOOGLETRANSLATE(A2724, ""nl"", ""en"")"),"Nature and Elements")</f>
        <v>Nature and Elements</v>
      </c>
      <c r="E2724" s="3" t="str">
        <f>IFERROR(__xludf.DUMMYFUNCTION("GOOGLETRANSLATE(B2724, ""nl"", ""en"")"),"A desert landscape that slowly changes")</f>
        <v>A desert landscape that slowly changes</v>
      </c>
    </row>
    <row r="2725" ht="15.75" customHeight="1">
      <c r="A2725" s="3" t="s">
        <v>15</v>
      </c>
      <c r="B2725" s="3" t="s">
        <v>16</v>
      </c>
      <c r="D2725" s="3" t="str">
        <f>IFERROR(__xludf.DUMMYFUNCTION("GOOGLETRANSLATE(A2725, ""nl"", ""en"")"),"Animals and Organic Forms")</f>
        <v>Animals and Organic Forms</v>
      </c>
      <c r="E2725" s="3" t="str">
        <f>IFERROR(__xludf.DUMMYFUNCTION("GOOGLETRANSLATE(B2725, ""nl"", ""en"")"),"A butterfly in transformation")</f>
        <v>A butterfly in transformation</v>
      </c>
    </row>
    <row r="2726" ht="15.75" customHeight="1">
      <c r="A2726" s="3" t="s">
        <v>24</v>
      </c>
      <c r="B2726" s="3" t="s">
        <v>54</v>
      </c>
      <c r="D2726" s="3" t="str">
        <f>IFERROR(__xludf.DUMMYFUNCTION("GOOGLETRANSLATE(A2726, ""nl"", ""en"")"),"Cosmic and Abstract Patterns")</f>
        <v>Cosmic and Abstract Patterns</v>
      </c>
      <c r="E2726" s="3" t="str">
        <f>IFERROR(__xludf.DUMMYFUNCTION("GOOGLETRANSLATE(B2726, ""nl"", ""en"")"),"A quantum particle in superposition")</f>
        <v>A quantum particle in superposition</v>
      </c>
    </row>
    <row r="2727" ht="15.75" customHeight="1">
      <c r="A2727" s="3" t="s">
        <v>15</v>
      </c>
      <c r="B2727" s="3" t="s">
        <v>52</v>
      </c>
      <c r="D2727" s="3" t="str">
        <f>IFERROR(__xludf.DUMMYFUNCTION("GOOGLETRANSLATE(A2727, ""nl"", ""en"")"),"Animals and Organic Forms")</f>
        <v>Animals and Organic Forms</v>
      </c>
      <c r="E2727" s="3" t="str">
        <f>IFERROR(__xludf.DUMMYFUNCTION("GOOGLETRANSLATE(B2727, ""nl"", ""en"")"),"A mask made of leaves")</f>
        <v>A mask made of leaves</v>
      </c>
    </row>
    <row r="2728" ht="15.75" customHeight="1">
      <c r="A2728" s="3" t="s">
        <v>24</v>
      </c>
      <c r="B2728" s="3" t="s">
        <v>48</v>
      </c>
      <c r="D2728" s="3" t="str">
        <f>IFERROR(__xludf.DUMMYFUNCTION("GOOGLETRANSLATE(A2728, ""nl"", ""en"")"),"Cosmic and Abstract Patterns")</f>
        <v>Cosmic and Abstract Patterns</v>
      </c>
      <c r="E2728" s="3" t="str">
        <f>IFERROR(__xludf.DUMMYFUNCTION("GOOGLETRANSLATE(B2728, ""nl"", ""en"")"),"A fractal that repeats itself")</f>
        <v>A fractal that repeats itself</v>
      </c>
    </row>
    <row r="2729" ht="15.75" customHeight="1">
      <c r="A2729" s="3" t="s">
        <v>24</v>
      </c>
      <c r="B2729" s="3" t="s">
        <v>27</v>
      </c>
      <c r="D2729" s="3" t="str">
        <f>IFERROR(__xludf.DUMMYFUNCTION("GOOGLETRANSLATE(A2729, ""nl"", ""en"")"),"Cosmic and Abstract Patterns")</f>
        <v>Cosmic and Abstract Patterns</v>
      </c>
      <c r="E2729" s="3" t="str">
        <f>IFERROR(__xludf.DUMMYFUNCTION("GOOGLETRANSLATE(B2729, ""nl"", ""en"")"),"A pair of black holes in dance")</f>
        <v>A pair of black holes in dance</v>
      </c>
    </row>
    <row r="2730" ht="15.75" customHeight="1">
      <c r="A2730" s="3" t="s">
        <v>15</v>
      </c>
      <c r="B2730" s="3" t="s">
        <v>52</v>
      </c>
      <c r="D2730" s="3" t="str">
        <f>IFERROR(__xludf.DUMMYFUNCTION("GOOGLETRANSLATE(A2730, ""nl"", ""en"")"),"Animals and Organic Forms")</f>
        <v>Animals and Organic Forms</v>
      </c>
      <c r="E2730" s="3" t="str">
        <f>IFERROR(__xludf.DUMMYFUNCTION("GOOGLETRANSLATE(B2730, ""nl"", ""en"")"),"A mask made of leaves")</f>
        <v>A mask made of leaves</v>
      </c>
    </row>
    <row r="2731" ht="15.75" customHeight="1">
      <c r="A2731" s="3" t="s">
        <v>12</v>
      </c>
      <c r="B2731" s="3" t="s">
        <v>30</v>
      </c>
      <c r="D2731" s="3" t="str">
        <f>IFERROR(__xludf.DUMMYFUNCTION("GOOGLETRANSLATE(A2731, ""nl"", ""en"")"),"Nature and Elements")</f>
        <v>Nature and Elements</v>
      </c>
      <c r="E2731" s="3" t="str">
        <f>IFERROR(__xludf.DUMMYFUNCTION("GOOGLETRANSLATE(B2731, ""nl"", ""en"")"),"Waves breaking in fractal patterns")</f>
        <v>Waves breaking in fractal patterns</v>
      </c>
    </row>
    <row r="2732" ht="15.75" customHeight="1">
      <c r="A2732" s="3" t="s">
        <v>7</v>
      </c>
      <c r="B2732" s="3" t="s">
        <v>53</v>
      </c>
      <c r="D2732" s="3" t="str">
        <f>IFERROR(__xludf.DUMMYFUNCTION("GOOGLETRANSLATE(A2732, ""nl"", ""en"")"),"Human Figures and Physicality")</f>
        <v>Human Figures and Physicality</v>
      </c>
      <c r="E2732" s="3" t="str">
        <f>IFERROR(__xludf.DUMMYFUNCTION("GOOGLETRANSLATE(B2732, ""nl"", ""en"")"),"A face that both smiles and cries")</f>
        <v>A face that both smiles and cries</v>
      </c>
    </row>
    <row r="2733" ht="15.75" customHeight="1">
      <c r="A2733" s="3" t="s">
        <v>24</v>
      </c>
      <c r="B2733" s="3" t="s">
        <v>48</v>
      </c>
      <c r="D2733" s="3" t="str">
        <f>IFERROR(__xludf.DUMMYFUNCTION("GOOGLETRANSLATE(A2733, ""nl"", ""en"")"),"Cosmic and Abstract Patterns")</f>
        <v>Cosmic and Abstract Patterns</v>
      </c>
      <c r="E2733" s="3" t="str">
        <f>IFERROR(__xludf.DUMMYFUNCTION("GOOGLETRANSLATE(B2733, ""nl"", ""en"")"),"A fractal that repeats itself")</f>
        <v>A fractal that repeats itself</v>
      </c>
    </row>
    <row r="2734" ht="15.75" customHeight="1">
      <c r="A2734" s="3" t="s">
        <v>9</v>
      </c>
      <c r="B2734" s="3" t="s">
        <v>14</v>
      </c>
      <c r="D2734" s="3" t="str">
        <f>IFERROR(__xludf.DUMMYFUNCTION("GOOGLETRANSLATE(A2734, ""nl"", ""en"")"),"Psychological and Emotional Interpretations")</f>
        <v>Psychological and Emotional Interpretations</v>
      </c>
      <c r="E2734" s="3" t="str">
        <f>IFERROR(__xludf.DUMMYFUNCTION("GOOGLETRANSLATE(B2734, ""nl"", ""en"")"),"An unclear hug")</f>
        <v>An unclear hug</v>
      </c>
    </row>
    <row r="2735" ht="15.75" customHeight="1">
      <c r="A2735" s="3" t="s">
        <v>4</v>
      </c>
      <c r="B2735" s="3" t="s">
        <v>44</v>
      </c>
      <c r="D2735" s="3" t="str">
        <f>IFERROR(__xludf.DUMMYFUNCTION("GOOGLETRANSLATE(A2735, ""nl"", ""en"")"),"Architectural and Structural Associations")</f>
        <v>Architectural and Structural Associations</v>
      </c>
      <c r="E2735" s="3" t="str">
        <f>IFERROR(__xludf.DUMMYFUNCTION("GOOGLETRANSLATE(B2735, ""nl"", ""en"")"),"A structure that pulsates in waves")</f>
        <v>A structure that pulsates in waves</v>
      </c>
    </row>
    <row r="2736" ht="15.75" customHeight="1">
      <c r="A2736" s="3" t="s">
        <v>24</v>
      </c>
      <c r="B2736" s="3" t="s">
        <v>31</v>
      </c>
      <c r="D2736" s="3" t="str">
        <f>IFERROR(__xludf.DUMMYFUNCTION("GOOGLETRANSLATE(A2736, ""nl"", ""en"")"),"Cosmic and Abstract Patterns")</f>
        <v>Cosmic and Abstract Patterns</v>
      </c>
      <c r="E2736" s="3" t="str">
        <f>IFERROR(__xludf.DUMMYFUNCTION("GOOGLETRANSLATE(B2736, ""nl"", ""en"")"),"A planet with unusual rings")</f>
        <v>A planet with unusual rings</v>
      </c>
    </row>
    <row r="2737" ht="15.75" customHeight="1">
      <c r="A2737" s="3" t="s">
        <v>4</v>
      </c>
      <c r="B2737" s="3" t="s">
        <v>5</v>
      </c>
      <c r="D2737" s="3" t="str">
        <f>IFERROR(__xludf.DUMMYFUNCTION("GOOGLETRANSLATE(A2737, ""nl"", ""en"")"),"Architectural and Structural Associations")</f>
        <v>Architectural and Structural Associations</v>
      </c>
      <c r="E2737" s="3" t="str">
        <f>IFERROR(__xludf.DUMMYFUNCTION("GOOGLETRANSLATE(B2737, ""nl"", ""en"")"),"A cathedral shaped from mist")</f>
        <v>A cathedral shaped from mist</v>
      </c>
    </row>
    <row r="2738" ht="15.75" customHeight="1">
      <c r="A2738" s="3" t="s">
        <v>15</v>
      </c>
      <c r="B2738" s="3" t="s">
        <v>45</v>
      </c>
      <c r="D2738" s="3" t="str">
        <f>IFERROR(__xludf.DUMMYFUNCTION("GOOGLETRANSLATE(A2738, ""nl"", ""en"")"),"Animals and Organic Forms")</f>
        <v>Animals and Organic Forms</v>
      </c>
      <c r="E2738" s="3" t="str">
        <f>IFERROR(__xludf.DUMMYFUNCTION("GOOGLETRANSLATE(B2738, ""nl"", ""en"")"),"A snake biting its own tail")</f>
        <v>A snake biting its own tail</v>
      </c>
    </row>
    <row r="2739" ht="15.75" customHeight="1">
      <c r="A2739" s="3" t="s">
        <v>9</v>
      </c>
      <c r="B2739" s="3" t="s">
        <v>10</v>
      </c>
      <c r="D2739" s="3" t="str">
        <f>IFERROR(__xludf.DUMMYFUNCTION("GOOGLETRANSLATE(A2739, ""nl"", ""en"")"),"Psychological and Emotional Interpretations")</f>
        <v>Psychological and Emotional Interpretations</v>
      </c>
      <c r="E2739" s="3" t="str">
        <f>IFERROR(__xludf.DUMMYFUNCTION("GOOGLETRANSLATE(B2739, ""nl"", ""en"")"),"A face transforming in light")</f>
        <v>A face transforming in light</v>
      </c>
    </row>
    <row r="2740" ht="15.75" customHeight="1">
      <c r="A2740" s="3" t="s">
        <v>15</v>
      </c>
      <c r="B2740" s="3" t="s">
        <v>26</v>
      </c>
      <c r="D2740" s="3" t="str">
        <f>IFERROR(__xludf.DUMMYFUNCTION("GOOGLETRANSLATE(A2740, ""nl"", ""en"")"),"Animals and Organic Forms")</f>
        <v>Animals and Organic Forms</v>
      </c>
      <c r="E2740" s="3" t="str">
        <f>IFERROR(__xludf.DUMMYFUNCTION("GOOGLETRANSLATE(B2740, ""nl"", ""en"")"),"A frog preparing to jump")</f>
        <v>A frog preparing to jump</v>
      </c>
    </row>
    <row r="2741" ht="15.75" customHeight="1">
      <c r="A2741" s="3" t="s">
        <v>12</v>
      </c>
      <c r="B2741" s="3" t="s">
        <v>13</v>
      </c>
      <c r="D2741" s="3" t="str">
        <f>IFERROR(__xludf.DUMMYFUNCTION("GOOGLETRANSLATE(A2741, ""nl"", ""en"")"),"Nature and Elements")</f>
        <v>Nature and Elements</v>
      </c>
      <c r="E2741" s="3" t="str">
        <f>IFERROR(__xludf.DUMMYFUNCTION("GOOGLETRANSLATE(B2741, ""nl"", ""en"")"),"A lightning strike in slow motion")</f>
        <v>A lightning strike in slow motion</v>
      </c>
    </row>
    <row r="2742" ht="15.75" customHeight="1">
      <c r="A2742" s="3" t="s">
        <v>9</v>
      </c>
      <c r="B2742" s="3" t="s">
        <v>11</v>
      </c>
      <c r="D2742" s="3" t="str">
        <f>IFERROR(__xludf.DUMMYFUNCTION("GOOGLETRANSLATE(A2742, ""nl"", ""en"")"),"Psychological and Emotional Interpretations")</f>
        <v>Psychological and Emotional Interpretations</v>
      </c>
      <c r="E2742" s="3" t="str">
        <f>IFERROR(__xludf.DUMMYFUNCTION("GOOGLETRANSLATE(B2742, ""nl"", ""en"")"),"An emotion captured in abstraction")</f>
        <v>An emotion captured in abstraction</v>
      </c>
    </row>
    <row r="2743" ht="15.75" customHeight="1">
      <c r="A2743" s="3" t="s">
        <v>15</v>
      </c>
      <c r="B2743" s="3" t="s">
        <v>52</v>
      </c>
      <c r="D2743" s="3" t="str">
        <f>IFERROR(__xludf.DUMMYFUNCTION("GOOGLETRANSLATE(A2743, ""nl"", ""en"")"),"Animals and Organic Forms")</f>
        <v>Animals and Organic Forms</v>
      </c>
      <c r="E2743" s="3" t="str">
        <f>IFERROR(__xludf.DUMMYFUNCTION("GOOGLETRANSLATE(B2743, ""nl"", ""en"")"),"A mask made of leaves")</f>
        <v>A mask made of leaves</v>
      </c>
    </row>
    <row r="2744" ht="15.75" customHeight="1">
      <c r="A2744" s="3" t="s">
        <v>9</v>
      </c>
      <c r="B2744" s="3" t="s">
        <v>37</v>
      </c>
      <c r="D2744" s="3" t="str">
        <f>IFERROR(__xludf.DUMMYFUNCTION("GOOGLETRANSLATE(A2744, ""nl"", ""en"")"),"Psychological and Emotional Interpretations")</f>
        <v>Psychological and Emotional Interpretations</v>
      </c>
      <c r="E2744" s="3" t="str">
        <f>IFERROR(__xludf.DUMMYFUNCTION("GOOGLETRANSLATE(B2744, ""nl"", ""en"")"),"A figure looking through itself")</f>
        <v>A figure looking through itself</v>
      </c>
    </row>
    <row r="2745" ht="15.75" customHeight="1">
      <c r="A2745" s="3" t="s">
        <v>12</v>
      </c>
      <c r="B2745" s="3" t="s">
        <v>13</v>
      </c>
      <c r="D2745" s="3" t="str">
        <f>IFERROR(__xludf.DUMMYFUNCTION("GOOGLETRANSLATE(A2745, ""nl"", ""en"")"),"Nature and Elements")</f>
        <v>Nature and Elements</v>
      </c>
      <c r="E2745" s="3" t="str">
        <f>IFERROR(__xludf.DUMMYFUNCTION("GOOGLETRANSLATE(B2745, ""nl"", ""en"")"),"A lightning strike in slow motion")</f>
        <v>A lightning strike in slow motion</v>
      </c>
    </row>
    <row r="2746" ht="15.75" customHeight="1">
      <c r="A2746" s="3" t="s">
        <v>12</v>
      </c>
      <c r="B2746" s="3" t="s">
        <v>13</v>
      </c>
      <c r="D2746" s="3" t="str">
        <f>IFERROR(__xludf.DUMMYFUNCTION("GOOGLETRANSLATE(A2746, ""nl"", ""en"")"),"Nature and Elements")</f>
        <v>Nature and Elements</v>
      </c>
      <c r="E2746" s="3" t="str">
        <f>IFERROR(__xludf.DUMMYFUNCTION("GOOGLETRANSLATE(B2746, ""nl"", ""en"")"),"A lightning strike in slow motion")</f>
        <v>A lightning strike in slow motion</v>
      </c>
    </row>
    <row r="2747" ht="15.75" customHeight="1">
      <c r="A2747" s="3" t="s">
        <v>9</v>
      </c>
      <c r="B2747" s="3" t="s">
        <v>49</v>
      </c>
      <c r="D2747" s="3" t="str">
        <f>IFERROR(__xludf.DUMMYFUNCTION("GOOGLETRANSLATE(A2747, ""nl"", ""en"")"),"Psychological and Emotional Interpretations")</f>
        <v>Psychological and Emotional Interpretations</v>
      </c>
      <c r="E2747" s="3" t="str">
        <f>IFERROR(__xludf.DUMMYFUNCTION("GOOGLETRANSLATE(B2747, ""nl"", ""en"")"),"A spiral that turns inward")</f>
        <v>A spiral that turns inward</v>
      </c>
    </row>
    <row r="2748" ht="15.75" customHeight="1">
      <c r="A2748" s="3" t="s">
        <v>9</v>
      </c>
      <c r="B2748" s="3" t="s">
        <v>17</v>
      </c>
      <c r="D2748" s="3" t="str">
        <f>IFERROR(__xludf.DUMMYFUNCTION("GOOGLETRANSLATE(A2748, ""nl"", ""en"")"),"Psychological and Emotional Interpretations")</f>
        <v>Psychological and Emotional Interpretations</v>
      </c>
      <c r="E2748" s="3" t="str">
        <f>IFERROR(__xludf.DUMMYFUNCTION("GOOGLETRANSLATE(B2748, ""nl"", ""en"")"),"A figure that seems to melt")</f>
        <v>A figure that seems to melt</v>
      </c>
    </row>
    <row r="2749" ht="15.75" customHeight="1">
      <c r="A2749" s="3" t="s">
        <v>15</v>
      </c>
      <c r="B2749" s="3" t="s">
        <v>52</v>
      </c>
      <c r="D2749" s="3" t="str">
        <f>IFERROR(__xludf.DUMMYFUNCTION("GOOGLETRANSLATE(A2749, ""nl"", ""en"")"),"Animals and Organic Forms")</f>
        <v>Animals and Organic Forms</v>
      </c>
      <c r="E2749" s="3" t="str">
        <f>IFERROR(__xludf.DUMMYFUNCTION("GOOGLETRANSLATE(B2749, ""nl"", ""en"")"),"A mask made of leaves")</f>
        <v>A mask made of leaves</v>
      </c>
    </row>
    <row r="2750" ht="15.75" customHeight="1">
      <c r="A2750" s="3" t="s">
        <v>15</v>
      </c>
      <c r="B2750" s="3" t="s">
        <v>50</v>
      </c>
      <c r="D2750" s="3" t="str">
        <f>IFERROR(__xludf.DUMMYFUNCTION("GOOGLETRANSLATE(A2750, ""nl"", ""en"")"),"Animals and Organic Forms")</f>
        <v>Animals and Organic Forms</v>
      </c>
      <c r="E2750" s="3" t="str">
        <f>IFERROR(__xludf.DUMMYFUNCTION("GOOGLETRANSLATE(B2750, ""nl"", ""en"")"),"A squid with extended tentacles")</f>
        <v>A squid with extended tentacles</v>
      </c>
    </row>
    <row r="2751" ht="15.75" customHeight="1">
      <c r="A2751" s="3" t="s">
        <v>12</v>
      </c>
      <c r="B2751" s="3" t="s">
        <v>19</v>
      </c>
      <c r="D2751" s="3" t="str">
        <f>IFERROR(__xludf.DUMMYFUNCTION("GOOGLETRANSLATE(A2751, ""nl"", ""en"")"),"Nature and Elements")</f>
        <v>Nature and Elements</v>
      </c>
      <c r="E2751" s="3" t="str">
        <f>IFERROR(__xludf.DUMMYFUNCTION("GOOGLETRANSLATE(B2751, ""nl"", ""en"")"),"A mountain range that seems to breathe")</f>
        <v>A mountain range that seems to breathe</v>
      </c>
    </row>
    <row r="2752" ht="15.75" customHeight="1">
      <c r="A2752" s="3" t="s">
        <v>15</v>
      </c>
      <c r="B2752" s="3" t="s">
        <v>46</v>
      </c>
      <c r="D2752" s="3" t="str">
        <f>IFERROR(__xludf.DUMMYFUNCTION("GOOGLETRANSLATE(A2752, ""nl"", ""en"")"),"Animals and Organic Forms")</f>
        <v>Animals and Organic Forms</v>
      </c>
      <c r="E2752" s="3" t="str">
        <f>IFERROR(__xludf.DUMMYFUNCTION("GOOGLETRANSLATE(B2752, ""nl"", ""en"")"),"A flock of fish moving as one")</f>
        <v>A flock of fish moving as one</v>
      </c>
    </row>
    <row r="2753" ht="15.75" customHeight="1">
      <c r="A2753" s="3" t="s">
        <v>9</v>
      </c>
      <c r="B2753" s="3" t="s">
        <v>37</v>
      </c>
      <c r="D2753" s="3" t="str">
        <f>IFERROR(__xludf.DUMMYFUNCTION("GOOGLETRANSLATE(A2753, ""nl"", ""en"")"),"Psychological and Emotional Interpretations")</f>
        <v>Psychological and Emotional Interpretations</v>
      </c>
      <c r="E2753" s="3" t="str">
        <f>IFERROR(__xludf.DUMMYFUNCTION("GOOGLETRANSLATE(B2753, ""nl"", ""en"")"),"A figure looking through itself")</f>
        <v>A figure looking through itself</v>
      </c>
    </row>
    <row r="2754" ht="15.75" customHeight="1">
      <c r="A2754" s="3" t="s">
        <v>15</v>
      </c>
      <c r="B2754" s="3" t="s">
        <v>50</v>
      </c>
      <c r="D2754" s="3" t="str">
        <f>IFERROR(__xludf.DUMMYFUNCTION("GOOGLETRANSLATE(A2754, ""nl"", ""en"")"),"Animals and Organic Forms")</f>
        <v>Animals and Organic Forms</v>
      </c>
      <c r="E2754" s="3" t="str">
        <f>IFERROR(__xludf.DUMMYFUNCTION("GOOGLETRANSLATE(B2754, ""nl"", ""en"")"),"A squid with extended tentacles")</f>
        <v>A squid with extended tentacles</v>
      </c>
    </row>
    <row r="2755" ht="15.75" customHeight="1">
      <c r="A2755" s="3" t="s">
        <v>12</v>
      </c>
      <c r="B2755" s="3" t="s">
        <v>13</v>
      </c>
      <c r="D2755" s="3" t="str">
        <f>IFERROR(__xludf.DUMMYFUNCTION("GOOGLETRANSLATE(A2755, ""nl"", ""en"")"),"Nature and Elements")</f>
        <v>Nature and Elements</v>
      </c>
      <c r="E2755" s="3" t="str">
        <f>IFERROR(__xludf.DUMMYFUNCTION("GOOGLETRANSLATE(B2755, ""nl"", ""en"")"),"A lightning strike in slow motion")</f>
        <v>A lightning strike in slow motion</v>
      </c>
    </row>
    <row r="2756" ht="15.75" customHeight="1">
      <c r="A2756" s="3" t="s">
        <v>7</v>
      </c>
      <c r="B2756" s="3" t="s">
        <v>41</v>
      </c>
      <c r="D2756" s="3" t="str">
        <f>IFERROR(__xludf.DUMMYFUNCTION("GOOGLETRANSLATE(A2756, ""nl"", ""en"")"),"Human Figures and Physicality")</f>
        <v>Human Figures and Physicality</v>
      </c>
      <c r="E2756" s="3" t="str">
        <f>IFERROR(__xludf.DUMMYFUNCTION("GOOGLETRANSLATE(B2756, ""nl"", ""en"")"),"A face that fades into abstraction")</f>
        <v>A face that fades into abstraction</v>
      </c>
    </row>
    <row r="2757" ht="15.75" customHeight="1">
      <c r="A2757" s="3" t="s">
        <v>4</v>
      </c>
      <c r="B2757" s="3" t="s">
        <v>44</v>
      </c>
      <c r="D2757" s="3" t="str">
        <f>IFERROR(__xludf.DUMMYFUNCTION("GOOGLETRANSLATE(A2757, ""nl"", ""en"")"),"Architectural and Structural Associations")</f>
        <v>Architectural and Structural Associations</v>
      </c>
      <c r="E2757" s="3" t="str">
        <f>IFERROR(__xludf.DUMMYFUNCTION("GOOGLETRANSLATE(B2757, ""nl"", ""en"")"),"A structure that pulsates in waves")</f>
        <v>A structure that pulsates in waves</v>
      </c>
    </row>
    <row r="2758" ht="15.75" customHeight="1">
      <c r="A2758" s="3" t="s">
        <v>12</v>
      </c>
      <c r="B2758" s="3" t="s">
        <v>23</v>
      </c>
      <c r="D2758" s="3" t="str">
        <f>IFERROR(__xludf.DUMMYFUNCTION("GOOGLETRANSLATE(A2758, ""nl"", ""en"")"),"Nature and Elements")</f>
        <v>Nature and Elements</v>
      </c>
      <c r="E2758" s="3" t="str">
        <f>IFERROR(__xludf.DUMMYFUNCTION("GOOGLETRANSLATE(B2758, ""nl"", ""en"")"),"A storm cloud splitting in two")</f>
        <v>A storm cloud splitting in two</v>
      </c>
    </row>
    <row r="2759" ht="15.75" customHeight="1">
      <c r="A2759" s="3" t="s">
        <v>9</v>
      </c>
      <c r="B2759" s="3" t="s">
        <v>14</v>
      </c>
      <c r="D2759" s="3" t="str">
        <f>IFERROR(__xludf.DUMMYFUNCTION("GOOGLETRANSLATE(A2759, ""nl"", ""en"")"),"Psychological and Emotional Interpretations")</f>
        <v>Psychological and Emotional Interpretations</v>
      </c>
      <c r="E2759" s="3" t="str">
        <f>IFERROR(__xludf.DUMMYFUNCTION("GOOGLETRANSLATE(B2759, ""nl"", ""en"")"),"An unclear hug")</f>
        <v>An unclear hug</v>
      </c>
    </row>
    <row r="2760" ht="15.75" customHeight="1">
      <c r="A2760" s="3" t="s">
        <v>7</v>
      </c>
      <c r="B2760" s="3" t="s">
        <v>39</v>
      </c>
      <c r="D2760" s="3" t="str">
        <f>IFERROR(__xludf.DUMMYFUNCTION("GOOGLETRANSLATE(A2760, ""nl"", ""en"")"),"Human Figures and Physicality")</f>
        <v>Human Figures and Physicality</v>
      </c>
      <c r="E2760" s="3" t="str">
        <f>IFERROR(__xludf.DUMMYFUNCTION("GOOGLETRANSLATE(B2760, ""nl"", ""en"")"),"A torso without a head")</f>
        <v>A torso without a head</v>
      </c>
    </row>
    <row r="2761" ht="15.75" customHeight="1">
      <c r="A2761" s="3" t="s">
        <v>12</v>
      </c>
      <c r="B2761" s="3" t="s">
        <v>13</v>
      </c>
      <c r="D2761" s="3" t="str">
        <f>IFERROR(__xludf.DUMMYFUNCTION("GOOGLETRANSLATE(A2761, ""nl"", ""en"")"),"Nature and Elements")</f>
        <v>Nature and Elements</v>
      </c>
      <c r="E2761" s="3" t="str">
        <f>IFERROR(__xludf.DUMMYFUNCTION("GOOGLETRANSLATE(B2761, ""nl"", ""en"")"),"A lightning strike in slow motion")</f>
        <v>A lightning strike in slow motion</v>
      </c>
    </row>
    <row r="2762" ht="15.75" customHeight="1">
      <c r="A2762" s="3" t="s">
        <v>4</v>
      </c>
      <c r="B2762" s="3" t="s">
        <v>44</v>
      </c>
      <c r="D2762" s="3" t="str">
        <f>IFERROR(__xludf.DUMMYFUNCTION("GOOGLETRANSLATE(A2762, ""nl"", ""en"")"),"Architectural and Structural Associations")</f>
        <v>Architectural and Structural Associations</v>
      </c>
      <c r="E2762" s="3" t="str">
        <f>IFERROR(__xludf.DUMMYFUNCTION("GOOGLETRANSLATE(B2762, ""nl"", ""en"")"),"A structure that pulsates in waves")</f>
        <v>A structure that pulsates in waves</v>
      </c>
    </row>
    <row r="2763" ht="15.75" customHeight="1">
      <c r="A2763" s="3" t="s">
        <v>15</v>
      </c>
      <c r="B2763" s="3" t="s">
        <v>52</v>
      </c>
      <c r="D2763" s="3" t="str">
        <f>IFERROR(__xludf.DUMMYFUNCTION("GOOGLETRANSLATE(A2763, ""nl"", ""en"")"),"Animals and Organic Forms")</f>
        <v>Animals and Organic Forms</v>
      </c>
      <c r="E2763" s="3" t="str">
        <f>IFERROR(__xludf.DUMMYFUNCTION("GOOGLETRANSLATE(B2763, ""nl"", ""en"")"),"A mask made of leaves")</f>
        <v>A mask made of leaves</v>
      </c>
    </row>
    <row r="2764" ht="15.75" customHeight="1">
      <c r="A2764" s="3" t="s">
        <v>4</v>
      </c>
      <c r="B2764" s="3" t="s">
        <v>55</v>
      </c>
      <c r="D2764" s="3" t="str">
        <f>IFERROR(__xludf.DUMMYFUNCTION("GOOGLETRANSLATE(A2764, ""nl"", ""en"")"),"Architectural and Structural Associations")</f>
        <v>Architectural and Structural Associations</v>
      </c>
      <c r="E2764" s="3" t="str">
        <f>IFERROR(__xludf.DUMMYFUNCTION("GOOGLETRANSLATE(B2764, ""nl"", ""en"")"),"A prism that splits light into colors")</f>
        <v>A prism that splits light into colors</v>
      </c>
    </row>
    <row r="2765" ht="15.75" customHeight="1">
      <c r="A2765" s="3" t="s">
        <v>4</v>
      </c>
      <c r="B2765" s="3" t="s">
        <v>35</v>
      </c>
      <c r="D2765" s="3" t="str">
        <f>IFERROR(__xludf.DUMMYFUNCTION("GOOGLETRANSLATE(A2765, ""nl"", ""en"")"),"Architectural and Structural Associations")</f>
        <v>Architectural and Structural Associations</v>
      </c>
      <c r="E2765" s="3" t="str">
        <f>IFERROR(__xludf.DUMMYFUNCTION("GOOGLETRANSLATE(B2765, ""nl"", ""en"")"),"A floating building without a base")</f>
        <v>A floating building without a base</v>
      </c>
    </row>
    <row r="2766" ht="15.75" customHeight="1">
      <c r="A2766" s="3" t="s">
        <v>15</v>
      </c>
      <c r="B2766" s="3" t="s">
        <v>46</v>
      </c>
      <c r="D2766" s="3" t="str">
        <f>IFERROR(__xludf.DUMMYFUNCTION("GOOGLETRANSLATE(A2766, ""nl"", ""en"")"),"Animals and Organic Forms")</f>
        <v>Animals and Organic Forms</v>
      </c>
      <c r="E2766" s="3" t="str">
        <f>IFERROR(__xludf.DUMMYFUNCTION("GOOGLETRANSLATE(B2766, ""nl"", ""en"")"),"A flock of fish moving as one")</f>
        <v>A flock of fish moving as one</v>
      </c>
    </row>
    <row r="2767" ht="15.75" customHeight="1">
      <c r="A2767" s="3" t="s">
        <v>4</v>
      </c>
      <c r="B2767" s="3" t="s">
        <v>21</v>
      </c>
      <c r="D2767" s="3" t="str">
        <f>IFERROR(__xludf.DUMMYFUNCTION("GOOGLETRANSLATE(A2767, ""nl"", ""en"")"),"Architectural and Structural Associations")</f>
        <v>Architectural and Structural Associations</v>
      </c>
      <c r="E2767" s="3" t="str">
        <f>IFERROR(__xludf.DUMMYFUNCTION("GOOGLETRANSLATE(B2767, ""nl"", ""en"")"),"A bridge that leads nowhere")</f>
        <v>A bridge that leads nowhere</v>
      </c>
    </row>
    <row r="2768" ht="15.75" customHeight="1">
      <c r="A2768" s="3" t="s">
        <v>4</v>
      </c>
      <c r="B2768" s="3" t="s">
        <v>20</v>
      </c>
      <c r="D2768" s="3" t="str">
        <f>IFERROR(__xludf.DUMMYFUNCTION("GOOGLETRANSLATE(A2768, ""nl"", ""en"")"),"Architectural and Structural Associations")</f>
        <v>Architectural and Structural Associations</v>
      </c>
      <c r="E2768" s="3" t="str">
        <f>IFERROR(__xludf.DUMMYFUNCTION("GOOGLETRANSLATE(B2768, ""nl"", ""en"")"),"A tower that grows by itself")</f>
        <v>A tower that grows by itself</v>
      </c>
    </row>
    <row r="2769" ht="15.75" customHeight="1">
      <c r="A2769" s="3" t="s">
        <v>12</v>
      </c>
      <c r="B2769" s="3" t="s">
        <v>51</v>
      </c>
      <c r="D2769" s="3" t="str">
        <f>IFERROR(__xludf.DUMMYFUNCTION("GOOGLETRANSLATE(A2769, ""nl"", ""en"")"),"Nature and Elements")</f>
        <v>Nature and Elements</v>
      </c>
      <c r="E2769" s="3" t="str">
        <f>IFERROR(__xludf.DUMMYFUNCTION("GOOGLETRANSLATE(B2769, ""nl"", ""en"")"),"An evaporating puddle of water")</f>
        <v>An evaporating puddle of water</v>
      </c>
    </row>
    <row r="2770" ht="15.75" customHeight="1">
      <c r="A2770" s="3" t="s">
        <v>9</v>
      </c>
      <c r="B2770" s="3" t="s">
        <v>17</v>
      </c>
      <c r="D2770" s="3" t="str">
        <f>IFERROR(__xludf.DUMMYFUNCTION("GOOGLETRANSLATE(A2770, ""nl"", ""en"")"),"Psychological and Emotional Interpretations")</f>
        <v>Psychological and Emotional Interpretations</v>
      </c>
      <c r="E2770" s="3" t="str">
        <f>IFERROR(__xludf.DUMMYFUNCTION("GOOGLETRANSLATE(B2770, ""nl"", ""en"")"),"A figure that seems to melt")</f>
        <v>A figure that seems to melt</v>
      </c>
    </row>
    <row r="2771" ht="15.75" customHeight="1">
      <c r="A2771" s="3" t="s">
        <v>7</v>
      </c>
      <c r="B2771" s="3" t="s">
        <v>8</v>
      </c>
      <c r="D2771" s="3" t="str">
        <f>IFERROR(__xludf.DUMMYFUNCTION("GOOGLETRANSLATE(A2771, ""nl"", ""en"")"),"Human Figures and Physicality")</f>
        <v>Human Figures and Physicality</v>
      </c>
      <c r="E2771" s="3" t="str">
        <f>IFERROR(__xludf.DUMMYFUNCTION("GOOGLETRANSLATE(B2771, ""nl"", ""en"")"),"Two figures mirroring each other")</f>
        <v>Two figures mirroring each other</v>
      </c>
    </row>
    <row r="2772" ht="15.75" customHeight="1">
      <c r="A2772" s="3" t="s">
        <v>12</v>
      </c>
      <c r="B2772" s="3" t="s">
        <v>30</v>
      </c>
      <c r="D2772" s="3" t="str">
        <f>IFERROR(__xludf.DUMMYFUNCTION("GOOGLETRANSLATE(A2772, ""nl"", ""en"")"),"Nature and Elements")</f>
        <v>Nature and Elements</v>
      </c>
      <c r="E2772" s="3" t="str">
        <f>IFERROR(__xludf.DUMMYFUNCTION("GOOGLETRANSLATE(B2772, ""nl"", ""en"")"),"Waves breaking in fractal patterns")</f>
        <v>Waves breaking in fractal patterns</v>
      </c>
    </row>
    <row r="2773" ht="15.75" customHeight="1">
      <c r="A2773" s="3" t="s">
        <v>15</v>
      </c>
      <c r="B2773" s="3" t="s">
        <v>52</v>
      </c>
      <c r="D2773" s="3" t="str">
        <f>IFERROR(__xludf.DUMMYFUNCTION("GOOGLETRANSLATE(A2773, ""nl"", ""en"")"),"Animals and Organic Forms")</f>
        <v>Animals and Organic Forms</v>
      </c>
      <c r="E2773" s="3" t="str">
        <f>IFERROR(__xludf.DUMMYFUNCTION("GOOGLETRANSLATE(B2773, ""nl"", ""en"")"),"A mask made of leaves")</f>
        <v>A mask made of leaves</v>
      </c>
    </row>
    <row r="2774" ht="15.75" customHeight="1">
      <c r="A2774" s="3" t="s">
        <v>24</v>
      </c>
      <c r="B2774" s="3" t="s">
        <v>27</v>
      </c>
      <c r="D2774" s="3" t="str">
        <f>IFERROR(__xludf.DUMMYFUNCTION("GOOGLETRANSLATE(A2774, ""nl"", ""en"")"),"Cosmic and Abstract Patterns")</f>
        <v>Cosmic and Abstract Patterns</v>
      </c>
      <c r="E2774" s="3" t="str">
        <f>IFERROR(__xludf.DUMMYFUNCTION("GOOGLETRANSLATE(B2774, ""nl"", ""en"")"),"A pair of black holes in dance")</f>
        <v>A pair of black holes in dance</v>
      </c>
    </row>
    <row r="2775" ht="15.75" customHeight="1">
      <c r="A2775" s="3" t="s">
        <v>12</v>
      </c>
      <c r="B2775" s="3" t="s">
        <v>47</v>
      </c>
      <c r="D2775" s="3" t="str">
        <f>IFERROR(__xludf.DUMMYFUNCTION("GOOGLETRANSLATE(A2775, ""nl"", ""en"")"),"Nature and Elements")</f>
        <v>Nature and Elements</v>
      </c>
      <c r="E2775" s="3" t="str">
        <f>IFERROR(__xludf.DUMMYFUNCTION("GOOGLETRANSLATE(B2775, ""nl"", ""en"")"),"A desert landscape that slowly changes")</f>
        <v>A desert landscape that slowly changes</v>
      </c>
    </row>
    <row r="2776" ht="15.75" customHeight="1">
      <c r="A2776" s="3" t="s">
        <v>24</v>
      </c>
      <c r="B2776" s="3" t="s">
        <v>27</v>
      </c>
      <c r="D2776" s="3" t="str">
        <f>IFERROR(__xludf.DUMMYFUNCTION("GOOGLETRANSLATE(A2776, ""nl"", ""en"")"),"Cosmic and Abstract Patterns")</f>
        <v>Cosmic and Abstract Patterns</v>
      </c>
      <c r="E2776" s="3" t="str">
        <f>IFERROR(__xludf.DUMMYFUNCTION("GOOGLETRANSLATE(B2776, ""nl"", ""en"")"),"A pair of black holes in dance")</f>
        <v>A pair of black holes in dance</v>
      </c>
    </row>
    <row r="2777" ht="15.75" customHeight="1">
      <c r="A2777" s="3" t="s">
        <v>4</v>
      </c>
      <c r="B2777" s="3" t="s">
        <v>55</v>
      </c>
      <c r="D2777" s="3" t="str">
        <f>IFERROR(__xludf.DUMMYFUNCTION("GOOGLETRANSLATE(A2777, ""nl"", ""en"")"),"Architectural and Structural Associations")</f>
        <v>Architectural and Structural Associations</v>
      </c>
      <c r="E2777" s="3" t="str">
        <f>IFERROR(__xludf.DUMMYFUNCTION("GOOGLETRANSLATE(B2777, ""nl"", ""en"")"),"A prism that splits light into colors")</f>
        <v>A prism that splits light into colors</v>
      </c>
    </row>
    <row r="2778" ht="15.75" customHeight="1">
      <c r="A2778" s="3" t="s">
        <v>9</v>
      </c>
      <c r="B2778" s="3" t="s">
        <v>14</v>
      </c>
      <c r="D2778" s="3" t="str">
        <f>IFERROR(__xludf.DUMMYFUNCTION("GOOGLETRANSLATE(A2778, ""nl"", ""en"")"),"Psychological and Emotional Interpretations")</f>
        <v>Psychological and Emotional Interpretations</v>
      </c>
      <c r="E2778" s="3" t="str">
        <f>IFERROR(__xludf.DUMMYFUNCTION("GOOGLETRANSLATE(B2778, ""nl"", ""en"")"),"An unclear hug")</f>
        <v>An unclear hug</v>
      </c>
    </row>
    <row r="2779" ht="15.75" customHeight="1">
      <c r="A2779" s="3" t="s">
        <v>15</v>
      </c>
      <c r="B2779" s="3" t="s">
        <v>45</v>
      </c>
      <c r="D2779" s="3" t="str">
        <f>IFERROR(__xludf.DUMMYFUNCTION("GOOGLETRANSLATE(A2779, ""nl"", ""en"")"),"Animals and Organic Forms")</f>
        <v>Animals and Organic Forms</v>
      </c>
      <c r="E2779" s="3" t="str">
        <f>IFERROR(__xludf.DUMMYFUNCTION("GOOGLETRANSLATE(B2779, ""nl"", ""en"")"),"A snake biting its own tail")</f>
        <v>A snake biting its own tail</v>
      </c>
    </row>
    <row r="2780" ht="15.75" customHeight="1">
      <c r="A2780" s="3" t="s">
        <v>24</v>
      </c>
      <c r="B2780" s="3" t="s">
        <v>31</v>
      </c>
      <c r="D2780" s="3" t="str">
        <f>IFERROR(__xludf.DUMMYFUNCTION("GOOGLETRANSLATE(A2780, ""nl"", ""en"")"),"Cosmic and Abstract Patterns")</f>
        <v>Cosmic and Abstract Patterns</v>
      </c>
      <c r="E2780" s="3" t="str">
        <f>IFERROR(__xludf.DUMMYFUNCTION("GOOGLETRANSLATE(B2780, ""nl"", ""en"")"),"A planet with unusual rings")</f>
        <v>A planet with unusual rings</v>
      </c>
    </row>
    <row r="2781" ht="15.75" customHeight="1">
      <c r="A2781" s="3" t="s">
        <v>7</v>
      </c>
      <c r="B2781" s="3" t="s">
        <v>53</v>
      </c>
      <c r="D2781" s="3" t="str">
        <f>IFERROR(__xludf.DUMMYFUNCTION("GOOGLETRANSLATE(A2781, ""nl"", ""en"")"),"Human Figures and Physicality")</f>
        <v>Human Figures and Physicality</v>
      </c>
      <c r="E2781" s="3" t="str">
        <f>IFERROR(__xludf.DUMMYFUNCTION("GOOGLETRANSLATE(B2781, ""nl"", ""en"")"),"A face that both smiles and cries")</f>
        <v>A face that both smiles and cries</v>
      </c>
    </row>
    <row r="2782" ht="15.75" customHeight="1">
      <c r="A2782" s="3" t="s">
        <v>7</v>
      </c>
      <c r="B2782" s="3" t="s">
        <v>40</v>
      </c>
      <c r="D2782" s="3" t="str">
        <f>IFERROR(__xludf.DUMMYFUNCTION("GOOGLETRANSLATE(A2782, ""nl"", ""en"")"),"Human Figures and Physicality")</f>
        <v>Human Figures and Physicality</v>
      </c>
      <c r="E2782" s="3" t="str">
        <f>IFERROR(__xludf.DUMMYFUNCTION("GOOGLETRANSLATE(B2782, ""nl"", ""en"")"),"A figure who is withdrawn into himself")</f>
        <v>A figure who is withdrawn into himself</v>
      </c>
    </row>
    <row r="2783" ht="15.75" customHeight="1">
      <c r="A2783" s="3" t="s">
        <v>24</v>
      </c>
      <c r="B2783" s="3" t="s">
        <v>48</v>
      </c>
      <c r="D2783" s="3" t="str">
        <f>IFERROR(__xludf.DUMMYFUNCTION("GOOGLETRANSLATE(A2783, ""nl"", ""en"")"),"Cosmic and Abstract Patterns")</f>
        <v>Cosmic and Abstract Patterns</v>
      </c>
      <c r="E2783" s="3" t="str">
        <f>IFERROR(__xludf.DUMMYFUNCTION("GOOGLETRANSLATE(B2783, ""nl"", ""en"")"),"A fractal that repeats itself")</f>
        <v>A fractal that repeats itself</v>
      </c>
    </row>
    <row r="2784" ht="15.75" customHeight="1">
      <c r="A2784" s="3" t="s">
        <v>7</v>
      </c>
      <c r="B2784" s="3" t="s">
        <v>56</v>
      </c>
      <c r="D2784" s="3" t="str">
        <f>IFERROR(__xludf.DUMMYFUNCTION("GOOGLETRANSLATE(A2784, ""nl"", ""en"")"),"Human Figures and Physicality")</f>
        <v>Human Figures and Physicality</v>
      </c>
      <c r="E2784" s="3" t="str">
        <f>IFERROR(__xludf.DUMMYFUNCTION("GOOGLETRANSLATE(B2784, ""nl"", ""en"")"),"A shadow that seems to move")</f>
        <v>A shadow that seems to move</v>
      </c>
    </row>
    <row r="2785" ht="15.75" customHeight="1">
      <c r="A2785" s="3" t="s">
        <v>12</v>
      </c>
      <c r="B2785" s="3" t="s">
        <v>47</v>
      </c>
      <c r="D2785" s="3" t="str">
        <f>IFERROR(__xludf.DUMMYFUNCTION("GOOGLETRANSLATE(A2785, ""nl"", ""en"")"),"Nature and Elements")</f>
        <v>Nature and Elements</v>
      </c>
      <c r="E2785" s="3" t="str">
        <f>IFERROR(__xludf.DUMMYFUNCTION("GOOGLETRANSLATE(B2785, ""nl"", ""en"")"),"A desert landscape that slowly changes")</f>
        <v>A desert landscape that slowly changes</v>
      </c>
    </row>
    <row r="2786" ht="15.75" customHeight="1">
      <c r="A2786" s="3" t="s">
        <v>9</v>
      </c>
      <c r="B2786" s="3" t="s">
        <v>57</v>
      </c>
      <c r="D2786" s="3" t="str">
        <f>IFERROR(__xludf.DUMMYFUNCTION("GOOGLETRANSLATE(A2786, ""nl"", ""en"")"),"Psychological and Emotional Interpretations")</f>
        <v>Psychological and Emotional Interpretations</v>
      </c>
      <c r="E2786" s="3" t="str">
        <f>IFERROR(__xludf.DUMMYFUNCTION("GOOGLETRANSLATE(B2786, ""nl"", ""en"")"),"An explosion of colours and feelings")</f>
        <v>An explosion of colours and feelings</v>
      </c>
    </row>
    <row r="2787" ht="15.75" customHeight="1">
      <c r="A2787" s="3" t="s">
        <v>15</v>
      </c>
      <c r="B2787" s="3" t="s">
        <v>46</v>
      </c>
      <c r="D2787" s="3" t="str">
        <f>IFERROR(__xludf.DUMMYFUNCTION("GOOGLETRANSLATE(A2787, ""nl"", ""en"")"),"Animals and Organic Forms")</f>
        <v>Animals and Organic Forms</v>
      </c>
      <c r="E2787" s="3" t="str">
        <f>IFERROR(__xludf.DUMMYFUNCTION("GOOGLETRANSLATE(B2787, ""nl"", ""en"")"),"A flock of fish moving as one")</f>
        <v>A flock of fish moving as one</v>
      </c>
    </row>
    <row r="2788" ht="15.75" customHeight="1">
      <c r="A2788" s="3" t="s">
        <v>12</v>
      </c>
      <c r="B2788" s="3" t="s">
        <v>36</v>
      </c>
      <c r="D2788" s="3" t="str">
        <f>IFERROR(__xludf.DUMMYFUNCTION("GOOGLETRANSLATE(A2788, ""nl"", ""en"")"),"Nature and Elements")</f>
        <v>Nature and Elements</v>
      </c>
      <c r="E2788" s="3" t="str">
        <f>IFERROR(__xludf.DUMMYFUNCTION("GOOGLETRANSLATE(B2788, ""nl"", ""en"")"),"A river delta from a bird's-eye view")</f>
        <v>A river delta from a bird's-eye view</v>
      </c>
    </row>
    <row r="2789" ht="15.75" customHeight="1">
      <c r="A2789" s="3" t="s">
        <v>15</v>
      </c>
      <c r="B2789" s="3" t="s">
        <v>50</v>
      </c>
      <c r="D2789" s="3" t="str">
        <f>IFERROR(__xludf.DUMMYFUNCTION("GOOGLETRANSLATE(A2789, ""nl"", ""en"")"),"Animals and Organic Forms")</f>
        <v>Animals and Organic Forms</v>
      </c>
      <c r="E2789" s="3" t="str">
        <f>IFERROR(__xludf.DUMMYFUNCTION("GOOGLETRANSLATE(B2789, ""nl"", ""en"")"),"A squid with extended tentacles")</f>
        <v>A squid with extended tentacles</v>
      </c>
    </row>
    <row r="2790" ht="15.75" customHeight="1">
      <c r="A2790" s="3" t="s">
        <v>9</v>
      </c>
      <c r="B2790" s="3" t="s">
        <v>14</v>
      </c>
      <c r="D2790" s="3" t="str">
        <f>IFERROR(__xludf.DUMMYFUNCTION("GOOGLETRANSLATE(A2790, ""nl"", ""en"")"),"Psychological and Emotional Interpretations")</f>
        <v>Psychological and Emotional Interpretations</v>
      </c>
      <c r="E2790" s="3" t="str">
        <f>IFERROR(__xludf.DUMMYFUNCTION("GOOGLETRANSLATE(B2790, ""nl"", ""en"")"),"An unclear hug")</f>
        <v>An unclear hug</v>
      </c>
    </row>
    <row r="2791" ht="15.75" customHeight="1">
      <c r="A2791" s="3" t="s">
        <v>24</v>
      </c>
      <c r="B2791" s="3" t="s">
        <v>48</v>
      </c>
      <c r="D2791" s="3" t="str">
        <f>IFERROR(__xludf.DUMMYFUNCTION("GOOGLETRANSLATE(A2791, ""nl"", ""en"")"),"Cosmic and Abstract Patterns")</f>
        <v>Cosmic and Abstract Patterns</v>
      </c>
      <c r="E2791" s="3" t="str">
        <f>IFERROR(__xludf.DUMMYFUNCTION("GOOGLETRANSLATE(B2791, ""nl"", ""en"")"),"A fractal that repeats itself")</f>
        <v>A fractal that repeats itself</v>
      </c>
    </row>
    <row r="2792" ht="15.75" customHeight="1">
      <c r="A2792" s="3" t="s">
        <v>7</v>
      </c>
      <c r="B2792" s="3" t="s">
        <v>34</v>
      </c>
      <c r="D2792" s="3" t="str">
        <f>IFERROR(__xludf.DUMMYFUNCTION("GOOGLETRANSLATE(A2792, ""nl"", ""en"")"),"Human Figures and Physicality")</f>
        <v>Human Figures and Physicality</v>
      </c>
      <c r="E2792" s="3" t="str">
        <f>IFERROR(__xludf.DUMMYFUNCTION("GOOGLETRANSLATE(B2792, ""nl"", ""en"")"),"Hands almost touching")</f>
        <v>Hands almost touching</v>
      </c>
    </row>
    <row r="2793" ht="15.75" customHeight="1">
      <c r="A2793" s="3" t="s">
        <v>4</v>
      </c>
      <c r="B2793" s="3" t="s">
        <v>44</v>
      </c>
      <c r="D2793" s="3" t="str">
        <f>IFERROR(__xludf.DUMMYFUNCTION("GOOGLETRANSLATE(A2793, ""nl"", ""en"")"),"Architectural and Structural Associations")</f>
        <v>Architectural and Structural Associations</v>
      </c>
      <c r="E2793" s="3" t="str">
        <f>IFERROR(__xludf.DUMMYFUNCTION("GOOGLETRANSLATE(B2793, ""nl"", ""en"")"),"A structure that pulsates in waves")</f>
        <v>A structure that pulsates in waves</v>
      </c>
    </row>
    <row r="2794" ht="15.75" customHeight="1">
      <c r="A2794" s="3" t="s">
        <v>9</v>
      </c>
      <c r="B2794" s="3" t="s">
        <v>49</v>
      </c>
      <c r="D2794" s="3" t="str">
        <f>IFERROR(__xludf.DUMMYFUNCTION("GOOGLETRANSLATE(A2794, ""nl"", ""en"")"),"Psychological and Emotional Interpretations")</f>
        <v>Psychological and Emotional Interpretations</v>
      </c>
      <c r="E2794" s="3" t="str">
        <f>IFERROR(__xludf.DUMMYFUNCTION("GOOGLETRANSLATE(B2794, ""nl"", ""en"")"),"A spiral that turns inward")</f>
        <v>A spiral that turns inward</v>
      </c>
    </row>
    <row r="2795" ht="15.75" customHeight="1">
      <c r="A2795" s="3" t="s">
        <v>15</v>
      </c>
      <c r="B2795" s="3" t="s">
        <v>26</v>
      </c>
      <c r="D2795" s="3" t="str">
        <f>IFERROR(__xludf.DUMMYFUNCTION("GOOGLETRANSLATE(A2795, ""nl"", ""en"")"),"Animals and Organic Forms")</f>
        <v>Animals and Organic Forms</v>
      </c>
      <c r="E2795" s="3" t="str">
        <f>IFERROR(__xludf.DUMMYFUNCTION("GOOGLETRANSLATE(B2795, ""nl"", ""en"")"),"A frog preparing to jump")</f>
        <v>A frog preparing to jump</v>
      </c>
    </row>
    <row r="2796" ht="15.75" customHeight="1">
      <c r="A2796" s="3" t="s">
        <v>4</v>
      </c>
      <c r="B2796" s="3" t="s">
        <v>6</v>
      </c>
      <c r="D2796" s="3" t="str">
        <f>IFERROR(__xludf.DUMMYFUNCTION("GOOGLETRANSLATE(A2796, ""nl"", ""en"")"),"Architectural and Structural Associations")</f>
        <v>Architectural and Structural Associations</v>
      </c>
      <c r="E2796" s="3" t="str">
        <f>IFERROR(__xludf.DUMMYFUNCTION("GOOGLETRANSLATE(B2796, ""nl"", ""en"")"),"An endless labyrinth")</f>
        <v>An endless labyrinth</v>
      </c>
    </row>
    <row r="2797" ht="15.75" customHeight="1">
      <c r="A2797" s="3" t="s">
        <v>15</v>
      </c>
      <c r="B2797" s="3" t="s">
        <v>46</v>
      </c>
      <c r="D2797" s="3" t="str">
        <f>IFERROR(__xludf.DUMMYFUNCTION("GOOGLETRANSLATE(A2797, ""nl"", ""en"")"),"Animals and Organic Forms")</f>
        <v>Animals and Organic Forms</v>
      </c>
      <c r="E2797" s="3" t="str">
        <f>IFERROR(__xludf.DUMMYFUNCTION("GOOGLETRANSLATE(B2797, ""nl"", ""en"")"),"A flock of fish moving as one")</f>
        <v>A flock of fish moving as one</v>
      </c>
    </row>
    <row r="2798" ht="15.75" customHeight="1">
      <c r="A2798" s="3" t="s">
        <v>7</v>
      </c>
      <c r="B2798" s="3" t="s">
        <v>39</v>
      </c>
      <c r="D2798" s="3" t="str">
        <f>IFERROR(__xludf.DUMMYFUNCTION("GOOGLETRANSLATE(A2798, ""nl"", ""en"")"),"Human Figures and Physicality")</f>
        <v>Human Figures and Physicality</v>
      </c>
      <c r="E2798" s="3" t="str">
        <f>IFERROR(__xludf.DUMMYFUNCTION("GOOGLETRANSLATE(B2798, ""nl"", ""en"")"),"A torso without a head")</f>
        <v>A torso without a head</v>
      </c>
    </row>
    <row r="2799" ht="15.75" customHeight="1">
      <c r="A2799" s="3" t="s">
        <v>4</v>
      </c>
      <c r="B2799" s="3" t="s">
        <v>5</v>
      </c>
      <c r="D2799" s="3" t="str">
        <f>IFERROR(__xludf.DUMMYFUNCTION("GOOGLETRANSLATE(A2799, ""nl"", ""en"")"),"Architectural and Structural Associations")</f>
        <v>Architectural and Structural Associations</v>
      </c>
      <c r="E2799" s="3" t="str">
        <f>IFERROR(__xludf.DUMMYFUNCTION("GOOGLETRANSLATE(B2799, ""nl"", ""en"")"),"A cathedral shaped from mist")</f>
        <v>A cathedral shaped from mist</v>
      </c>
    </row>
    <row r="2800" ht="15.75" customHeight="1">
      <c r="A2800" s="3" t="s">
        <v>15</v>
      </c>
      <c r="B2800" s="3" t="s">
        <v>16</v>
      </c>
      <c r="D2800" s="3" t="str">
        <f>IFERROR(__xludf.DUMMYFUNCTION("GOOGLETRANSLATE(A2800, ""nl"", ""en"")"),"Animals and Organic Forms")</f>
        <v>Animals and Organic Forms</v>
      </c>
      <c r="E2800" s="3" t="str">
        <f>IFERROR(__xludf.DUMMYFUNCTION("GOOGLETRANSLATE(B2800, ""nl"", ""en"")"),"A butterfly in transformation")</f>
        <v>A butterfly in transformation</v>
      </c>
    </row>
    <row r="2801" ht="15.75" customHeight="1">
      <c r="A2801" s="3" t="s">
        <v>24</v>
      </c>
      <c r="B2801" s="3" t="s">
        <v>48</v>
      </c>
      <c r="D2801" s="3" t="str">
        <f>IFERROR(__xludf.DUMMYFUNCTION("GOOGLETRANSLATE(A2801, ""nl"", ""en"")"),"Cosmic and Abstract Patterns")</f>
        <v>Cosmic and Abstract Patterns</v>
      </c>
      <c r="E2801" s="3" t="str">
        <f>IFERROR(__xludf.DUMMYFUNCTION("GOOGLETRANSLATE(B2801, ""nl"", ""en"")"),"A fractal that repeats itself")</f>
        <v>A fractal that repeats itself</v>
      </c>
    </row>
    <row r="2802" ht="15.75" customHeight="1">
      <c r="A2802" s="3" t="s">
        <v>4</v>
      </c>
      <c r="B2802" s="3" t="s">
        <v>44</v>
      </c>
      <c r="D2802" s="3" t="str">
        <f>IFERROR(__xludf.DUMMYFUNCTION("GOOGLETRANSLATE(A2802, ""nl"", ""en"")"),"Architectural and Structural Associations")</f>
        <v>Architectural and Structural Associations</v>
      </c>
      <c r="E2802" s="3" t="str">
        <f>IFERROR(__xludf.DUMMYFUNCTION("GOOGLETRANSLATE(B2802, ""nl"", ""en"")"),"A structure that pulsates in waves")</f>
        <v>A structure that pulsates in waves</v>
      </c>
    </row>
    <row r="2803" ht="15.75" customHeight="1">
      <c r="A2803" s="3" t="s">
        <v>7</v>
      </c>
      <c r="B2803" s="3" t="s">
        <v>56</v>
      </c>
      <c r="D2803" s="3" t="str">
        <f>IFERROR(__xludf.DUMMYFUNCTION("GOOGLETRANSLATE(A2803, ""nl"", ""en"")"),"Human Figures and Physicality")</f>
        <v>Human Figures and Physicality</v>
      </c>
      <c r="E2803" s="3" t="str">
        <f>IFERROR(__xludf.DUMMYFUNCTION("GOOGLETRANSLATE(B2803, ""nl"", ""en"")"),"A shadow that seems to move")</f>
        <v>A shadow that seems to move</v>
      </c>
    </row>
    <row r="2804" ht="15.75" customHeight="1">
      <c r="A2804" s="3" t="s">
        <v>24</v>
      </c>
      <c r="B2804" s="3" t="s">
        <v>54</v>
      </c>
      <c r="D2804" s="3" t="str">
        <f>IFERROR(__xludf.DUMMYFUNCTION("GOOGLETRANSLATE(A2804, ""nl"", ""en"")"),"Cosmic and Abstract Patterns")</f>
        <v>Cosmic and Abstract Patterns</v>
      </c>
      <c r="E2804" s="3" t="str">
        <f>IFERROR(__xludf.DUMMYFUNCTION("GOOGLETRANSLATE(B2804, ""nl"", ""en"")"),"A quantum particle in superposition")</f>
        <v>A quantum particle in superposition</v>
      </c>
    </row>
    <row r="2805" ht="15.75" customHeight="1">
      <c r="A2805" s="3" t="s">
        <v>9</v>
      </c>
      <c r="B2805" s="3" t="s">
        <v>10</v>
      </c>
      <c r="D2805" s="3" t="str">
        <f>IFERROR(__xludf.DUMMYFUNCTION("GOOGLETRANSLATE(A2805, ""nl"", ""en"")"),"Psychological and Emotional Interpretations")</f>
        <v>Psychological and Emotional Interpretations</v>
      </c>
      <c r="E2805" s="3" t="str">
        <f>IFERROR(__xludf.DUMMYFUNCTION("GOOGLETRANSLATE(B2805, ""nl"", ""en"")"),"A face transforming in light")</f>
        <v>A face transforming in light</v>
      </c>
    </row>
    <row r="2806" ht="15.75" customHeight="1">
      <c r="A2806" s="3" t="s">
        <v>15</v>
      </c>
      <c r="B2806" s="3" t="s">
        <v>22</v>
      </c>
      <c r="D2806" s="3" t="str">
        <f>IFERROR(__xludf.DUMMYFUNCTION("GOOGLETRANSLATE(A2806, ""nl"", ""en"")"),"Animals and Organic Forms")</f>
        <v>Animals and Organic Forms</v>
      </c>
      <c r="E2806" s="3" t="str">
        <f>IFERROR(__xludf.DUMMYFUNCTION("GOOGLETRANSLATE(B2806, ""nl"", ""en"")"),"A bird taking off")</f>
        <v>A bird taking off</v>
      </c>
    </row>
    <row r="2807" ht="15.75" customHeight="1">
      <c r="A2807" s="3" t="s">
        <v>24</v>
      </c>
      <c r="B2807" s="3" t="s">
        <v>54</v>
      </c>
      <c r="D2807" s="3" t="str">
        <f>IFERROR(__xludf.DUMMYFUNCTION("GOOGLETRANSLATE(A2807, ""nl"", ""en"")"),"Cosmic and Abstract Patterns")</f>
        <v>Cosmic and Abstract Patterns</v>
      </c>
      <c r="E2807" s="3" t="str">
        <f>IFERROR(__xludf.DUMMYFUNCTION("GOOGLETRANSLATE(B2807, ""nl"", ""en"")"),"A quantum particle in superposition")</f>
        <v>A quantum particle in superposition</v>
      </c>
    </row>
    <row r="2808" ht="15.75" customHeight="1">
      <c r="A2808" s="3" t="s">
        <v>12</v>
      </c>
      <c r="B2808" s="3" t="s">
        <v>36</v>
      </c>
      <c r="D2808" s="3" t="str">
        <f>IFERROR(__xludf.DUMMYFUNCTION("GOOGLETRANSLATE(A2808, ""nl"", ""en"")"),"Nature and Elements")</f>
        <v>Nature and Elements</v>
      </c>
      <c r="E2808" s="3" t="str">
        <f>IFERROR(__xludf.DUMMYFUNCTION("GOOGLETRANSLATE(B2808, ""nl"", ""en"")"),"A river delta from a bird's-eye view")</f>
        <v>A river delta from a bird's-eye view</v>
      </c>
    </row>
    <row r="2809" ht="15.75" customHeight="1">
      <c r="A2809" s="3" t="s">
        <v>15</v>
      </c>
      <c r="B2809" s="3" t="s">
        <v>46</v>
      </c>
      <c r="D2809" s="3" t="str">
        <f>IFERROR(__xludf.DUMMYFUNCTION("GOOGLETRANSLATE(A2809, ""nl"", ""en"")"),"Animals and Organic Forms")</f>
        <v>Animals and Organic Forms</v>
      </c>
      <c r="E2809" s="3" t="str">
        <f>IFERROR(__xludf.DUMMYFUNCTION("GOOGLETRANSLATE(B2809, ""nl"", ""en"")"),"A flock of fish moving as one")</f>
        <v>A flock of fish moving as one</v>
      </c>
    </row>
    <row r="2810" ht="15.75" customHeight="1">
      <c r="A2810" s="3" t="s">
        <v>9</v>
      </c>
      <c r="B2810" s="3" t="s">
        <v>42</v>
      </c>
      <c r="D2810" s="3" t="str">
        <f>IFERROR(__xludf.DUMMYFUNCTION("GOOGLETRANSLATE(A2810, ""nl"", ""en"")"),"Psychological and Emotional Interpretations")</f>
        <v>Psychological and Emotional Interpretations</v>
      </c>
      <c r="E2810" s="3" t="str">
        <f>IFERROR(__xludf.DUMMYFUNCTION("GOOGLETRANSLATE(B2810, ""nl"", ""en"")"),"A mask that slowly disappears")</f>
        <v>A mask that slowly disappears</v>
      </c>
    </row>
    <row r="2811" ht="15.75" customHeight="1">
      <c r="A2811" s="3" t="s">
        <v>4</v>
      </c>
      <c r="B2811" s="3" t="s">
        <v>21</v>
      </c>
      <c r="D2811" s="3" t="str">
        <f>IFERROR(__xludf.DUMMYFUNCTION("GOOGLETRANSLATE(A2811, ""nl"", ""en"")"),"Architectural and Structural Associations")</f>
        <v>Architectural and Structural Associations</v>
      </c>
      <c r="E2811" s="3" t="str">
        <f>IFERROR(__xludf.DUMMYFUNCTION("GOOGLETRANSLATE(B2811, ""nl"", ""en"")"),"A bridge that leads nowhere")</f>
        <v>A bridge that leads nowhere</v>
      </c>
    </row>
    <row r="2812" ht="15.75" customHeight="1">
      <c r="A2812" s="3" t="s">
        <v>9</v>
      </c>
      <c r="B2812" s="3" t="s">
        <v>49</v>
      </c>
      <c r="D2812" s="3" t="str">
        <f>IFERROR(__xludf.DUMMYFUNCTION("GOOGLETRANSLATE(A2812, ""nl"", ""en"")"),"Psychological and Emotional Interpretations")</f>
        <v>Psychological and Emotional Interpretations</v>
      </c>
      <c r="E2812" s="3" t="str">
        <f>IFERROR(__xludf.DUMMYFUNCTION("GOOGLETRANSLATE(B2812, ""nl"", ""en"")"),"A spiral that turns inward")</f>
        <v>A spiral that turns inward</v>
      </c>
    </row>
    <row r="2813" ht="15.75" customHeight="1">
      <c r="A2813" s="3" t="s">
        <v>4</v>
      </c>
      <c r="B2813" s="3" t="s">
        <v>55</v>
      </c>
      <c r="D2813" s="3" t="str">
        <f>IFERROR(__xludf.DUMMYFUNCTION("GOOGLETRANSLATE(A2813, ""nl"", ""en"")"),"Architectural and Structural Associations")</f>
        <v>Architectural and Structural Associations</v>
      </c>
      <c r="E2813" s="3" t="str">
        <f>IFERROR(__xludf.DUMMYFUNCTION("GOOGLETRANSLATE(B2813, ""nl"", ""en"")"),"A prism that splits light into colors")</f>
        <v>A prism that splits light into colors</v>
      </c>
    </row>
    <row r="2814" ht="15.75" customHeight="1">
      <c r="A2814" s="3" t="s">
        <v>24</v>
      </c>
      <c r="B2814" s="3" t="s">
        <v>27</v>
      </c>
      <c r="D2814" s="3" t="str">
        <f>IFERROR(__xludf.DUMMYFUNCTION("GOOGLETRANSLATE(A2814, ""nl"", ""en"")"),"Cosmic and Abstract Patterns")</f>
        <v>Cosmic and Abstract Patterns</v>
      </c>
      <c r="E2814" s="3" t="str">
        <f>IFERROR(__xludf.DUMMYFUNCTION("GOOGLETRANSLATE(B2814, ""nl"", ""en"")"),"A pair of black holes in dance")</f>
        <v>A pair of black holes in dance</v>
      </c>
    </row>
    <row r="2815" ht="15.75" customHeight="1">
      <c r="A2815" s="3" t="s">
        <v>4</v>
      </c>
      <c r="B2815" s="3" t="s">
        <v>20</v>
      </c>
      <c r="D2815" s="3" t="str">
        <f>IFERROR(__xludf.DUMMYFUNCTION("GOOGLETRANSLATE(A2815, ""nl"", ""en"")"),"Architectural and Structural Associations")</f>
        <v>Architectural and Structural Associations</v>
      </c>
      <c r="E2815" s="3" t="str">
        <f>IFERROR(__xludf.DUMMYFUNCTION("GOOGLETRANSLATE(B2815, ""nl"", ""en"")"),"A tower that grows by itself")</f>
        <v>A tower that grows by itself</v>
      </c>
    </row>
    <row r="2816" ht="15.75" customHeight="1">
      <c r="A2816" s="3" t="s">
        <v>15</v>
      </c>
      <c r="B2816" s="3" t="s">
        <v>50</v>
      </c>
      <c r="D2816" s="3" t="str">
        <f>IFERROR(__xludf.DUMMYFUNCTION("GOOGLETRANSLATE(A2816, ""nl"", ""en"")"),"Animals and Organic Forms")</f>
        <v>Animals and Organic Forms</v>
      </c>
      <c r="E2816" s="3" t="str">
        <f>IFERROR(__xludf.DUMMYFUNCTION("GOOGLETRANSLATE(B2816, ""nl"", ""en"")"),"A squid with extended tentacles")</f>
        <v>A squid with extended tentacles</v>
      </c>
    </row>
    <row r="2817" ht="15.75" customHeight="1">
      <c r="A2817" s="3" t="s">
        <v>9</v>
      </c>
      <c r="B2817" s="3" t="s">
        <v>11</v>
      </c>
      <c r="D2817" s="3" t="str">
        <f>IFERROR(__xludf.DUMMYFUNCTION("GOOGLETRANSLATE(A2817, ""nl"", ""en"")"),"Psychological and Emotional Interpretations")</f>
        <v>Psychological and Emotional Interpretations</v>
      </c>
      <c r="E2817" s="3" t="str">
        <f>IFERROR(__xludf.DUMMYFUNCTION("GOOGLETRANSLATE(B2817, ""nl"", ""en"")"),"An emotion captured in abstraction")</f>
        <v>An emotion captured in abstraction</v>
      </c>
    </row>
    <row r="2818" ht="15.75" customHeight="1">
      <c r="A2818" s="3" t="s">
        <v>15</v>
      </c>
      <c r="B2818" s="3" t="s">
        <v>50</v>
      </c>
      <c r="D2818" s="3" t="str">
        <f>IFERROR(__xludf.DUMMYFUNCTION("GOOGLETRANSLATE(A2818, ""nl"", ""en"")"),"Animals and Organic Forms")</f>
        <v>Animals and Organic Forms</v>
      </c>
      <c r="E2818" s="3" t="str">
        <f>IFERROR(__xludf.DUMMYFUNCTION("GOOGLETRANSLATE(B2818, ""nl"", ""en"")"),"A squid with extended tentacles")</f>
        <v>A squid with extended tentacles</v>
      </c>
    </row>
    <row r="2819" ht="15.75" customHeight="1">
      <c r="A2819" s="3" t="s">
        <v>12</v>
      </c>
      <c r="B2819" s="3" t="s">
        <v>13</v>
      </c>
      <c r="D2819" s="3" t="str">
        <f>IFERROR(__xludf.DUMMYFUNCTION("GOOGLETRANSLATE(A2819, ""nl"", ""en"")"),"Nature and Elements")</f>
        <v>Nature and Elements</v>
      </c>
      <c r="E2819" s="3" t="str">
        <f>IFERROR(__xludf.DUMMYFUNCTION("GOOGLETRANSLATE(B2819, ""nl"", ""en"")"),"A lightning strike in slow motion")</f>
        <v>A lightning strike in slow motion</v>
      </c>
    </row>
    <row r="2820" ht="15.75" customHeight="1">
      <c r="A2820" s="3" t="s">
        <v>7</v>
      </c>
      <c r="B2820" s="3" t="s">
        <v>34</v>
      </c>
      <c r="D2820" s="3" t="str">
        <f>IFERROR(__xludf.DUMMYFUNCTION("GOOGLETRANSLATE(A2820, ""nl"", ""en"")"),"Human Figures and Physicality")</f>
        <v>Human Figures and Physicality</v>
      </c>
      <c r="E2820" s="3" t="str">
        <f>IFERROR(__xludf.DUMMYFUNCTION("GOOGLETRANSLATE(B2820, ""nl"", ""en"")"),"Hands almost touching")</f>
        <v>Hands almost touching</v>
      </c>
    </row>
    <row r="2821" ht="15.75" customHeight="1">
      <c r="A2821" s="3" t="s">
        <v>12</v>
      </c>
      <c r="B2821" s="3" t="s">
        <v>19</v>
      </c>
      <c r="D2821" s="3" t="str">
        <f>IFERROR(__xludf.DUMMYFUNCTION("GOOGLETRANSLATE(A2821, ""nl"", ""en"")"),"Nature and Elements")</f>
        <v>Nature and Elements</v>
      </c>
      <c r="E2821" s="3" t="str">
        <f>IFERROR(__xludf.DUMMYFUNCTION("GOOGLETRANSLATE(B2821, ""nl"", ""en"")"),"A mountain range that seems to breathe")</f>
        <v>A mountain range that seems to breathe</v>
      </c>
    </row>
    <row r="2822" ht="15.75" customHeight="1">
      <c r="A2822" s="3" t="s">
        <v>12</v>
      </c>
      <c r="B2822" s="3" t="s">
        <v>18</v>
      </c>
      <c r="D2822" s="3" t="str">
        <f>IFERROR(__xludf.DUMMYFUNCTION("GOOGLETRANSLATE(A2822, ""nl"", ""en"")"),"Nature and Elements")</f>
        <v>Nature and Elements</v>
      </c>
      <c r="E2822" s="3" t="str">
        <f>IFERROR(__xludf.DUMMYFUNCTION("GOOGLETRANSLATE(B2822, ""nl"", ""en"")"),"A tree with endless branches")</f>
        <v>A tree with endless branches</v>
      </c>
    </row>
    <row r="2823" ht="15.75" customHeight="1">
      <c r="A2823" s="3" t="s">
        <v>24</v>
      </c>
      <c r="B2823" s="3" t="s">
        <v>33</v>
      </c>
      <c r="D2823" s="3" t="str">
        <f>IFERROR(__xludf.DUMMYFUNCTION("GOOGLETRANSLATE(A2823, ""nl"", ""en"")"),"Cosmic and Abstract Patterns")</f>
        <v>Cosmic and Abstract Patterns</v>
      </c>
      <c r="E2823" s="3" t="str">
        <f>IFERROR(__xludf.DUMMYFUNCTION("GOOGLETRANSLATE(B2823, ""nl"", ""en"")"),"An eye that repeats itself in endless patterns")</f>
        <v>An eye that repeats itself in endless patterns</v>
      </c>
    </row>
    <row r="2824" ht="15.75" customHeight="1">
      <c r="A2824" s="3" t="s">
        <v>9</v>
      </c>
      <c r="B2824" s="3" t="s">
        <v>57</v>
      </c>
      <c r="D2824" s="3" t="str">
        <f>IFERROR(__xludf.DUMMYFUNCTION("GOOGLETRANSLATE(A2824, ""nl"", ""en"")"),"Psychological and Emotional Interpretations")</f>
        <v>Psychological and Emotional Interpretations</v>
      </c>
      <c r="E2824" s="3" t="str">
        <f>IFERROR(__xludf.DUMMYFUNCTION("GOOGLETRANSLATE(B2824, ""nl"", ""en"")"),"An explosion of colours and feelings")</f>
        <v>An explosion of colours and feelings</v>
      </c>
    </row>
    <row r="2825" ht="15.75" customHeight="1">
      <c r="A2825" s="3" t="s">
        <v>7</v>
      </c>
      <c r="B2825" s="3" t="s">
        <v>40</v>
      </c>
      <c r="D2825" s="3" t="str">
        <f>IFERROR(__xludf.DUMMYFUNCTION("GOOGLETRANSLATE(A2825, ""nl"", ""en"")"),"Human Figures and Physicality")</f>
        <v>Human Figures and Physicality</v>
      </c>
      <c r="E2825" s="3" t="str">
        <f>IFERROR(__xludf.DUMMYFUNCTION("GOOGLETRANSLATE(B2825, ""nl"", ""en"")"),"A figure who is withdrawn into himself")</f>
        <v>A figure who is withdrawn into himself</v>
      </c>
    </row>
    <row r="2826" ht="15.75" customHeight="1">
      <c r="A2826" s="3" t="s">
        <v>7</v>
      </c>
      <c r="B2826" s="3" t="s">
        <v>8</v>
      </c>
      <c r="D2826" s="3" t="str">
        <f>IFERROR(__xludf.DUMMYFUNCTION("GOOGLETRANSLATE(A2826, ""nl"", ""en"")"),"Human Figures and Physicality")</f>
        <v>Human Figures and Physicality</v>
      </c>
      <c r="E2826" s="3" t="str">
        <f>IFERROR(__xludf.DUMMYFUNCTION("GOOGLETRANSLATE(B2826, ""nl"", ""en"")"),"Two figures mirroring each other")</f>
        <v>Two figures mirroring each other</v>
      </c>
    </row>
    <row r="2827" ht="15.75" customHeight="1">
      <c r="A2827" s="3" t="s">
        <v>12</v>
      </c>
      <c r="B2827" s="3" t="s">
        <v>47</v>
      </c>
      <c r="D2827" s="3" t="str">
        <f>IFERROR(__xludf.DUMMYFUNCTION("GOOGLETRANSLATE(A2827, ""nl"", ""en"")"),"Nature and Elements")</f>
        <v>Nature and Elements</v>
      </c>
      <c r="E2827" s="3" t="str">
        <f>IFERROR(__xludf.DUMMYFUNCTION("GOOGLETRANSLATE(B2827, ""nl"", ""en"")"),"A desert landscape that slowly changes")</f>
        <v>A desert landscape that slowly changes</v>
      </c>
    </row>
    <row r="2828" ht="15.75" customHeight="1">
      <c r="A2828" s="3" t="s">
        <v>24</v>
      </c>
      <c r="B2828" s="3" t="s">
        <v>27</v>
      </c>
      <c r="D2828" s="3" t="str">
        <f>IFERROR(__xludf.DUMMYFUNCTION("GOOGLETRANSLATE(A2828, ""nl"", ""en"")"),"Cosmic and Abstract Patterns")</f>
        <v>Cosmic and Abstract Patterns</v>
      </c>
      <c r="E2828" s="3" t="str">
        <f>IFERROR(__xludf.DUMMYFUNCTION("GOOGLETRANSLATE(B2828, ""nl"", ""en"")"),"A pair of black holes in dance")</f>
        <v>A pair of black holes in dance</v>
      </c>
    </row>
    <row r="2829" ht="15.75" customHeight="1">
      <c r="A2829" s="3" t="s">
        <v>15</v>
      </c>
      <c r="B2829" s="3" t="s">
        <v>46</v>
      </c>
      <c r="D2829" s="3" t="str">
        <f>IFERROR(__xludf.DUMMYFUNCTION("GOOGLETRANSLATE(A2829, ""nl"", ""en"")"),"Animals and Organic Forms")</f>
        <v>Animals and Organic Forms</v>
      </c>
      <c r="E2829" s="3" t="str">
        <f>IFERROR(__xludf.DUMMYFUNCTION("GOOGLETRANSLATE(B2829, ""nl"", ""en"")"),"A flock of fish moving as one")</f>
        <v>A flock of fish moving as one</v>
      </c>
    </row>
    <row r="2830" ht="15.75" customHeight="1">
      <c r="A2830" s="3" t="s">
        <v>15</v>
      </c>
      <c r="B2830" s="3" t="s">
        <v>16</v>
      </c>
      <c r="D2830" s="3" t="str">
        <f>IFERROR(__xludf.DUMMYFUNCTION("GOOGLETRANSLATE(A2830, ""nl"", ""en"")"),"Animals and Organic Forms")</f>
        <v>Animals and Organic Forms</v>
      </c>
      <c r="E2830" s="3" t="str">
        <f>IFERROR(__xludf.DUMMYFUNCTION("GOOGLETRANSLATE(B2830, ""nl"", ""en"")"),"A butterfly in transformation")</f>
        <v>A butterfly in transformation</v>
      </c>
    </row>
    <row r="2831" ht="15.75" customHeight="1">
      <c r="A2831" s="3" t="s">
        <v>4</v>
      </c>
      <c r="B2831" s="3" t="s">
        <v>21</v>
      </c>
      <c r="D2831" s="3" t="str">
        <f>IFERROR(__xludf.DUMMYFUNCTION("GOOGLETRANSLATE(A2831, ""nl"", ""en"")"),"Architectural and Structural Associations")</f>
        <v>Architectural and Structural Associations</v>
      </c>
      <c r="E2831" s="3" t="str">
        <f>IFERROR(__xludf.DUMMYFUNCTION("GOOGLETRANSLATE(B2831, ""nl"", ""en"")"),"A bridge that leads nowhere")</f>
        <v>A bridge that leads nowhere</v>
      </c>
    </row>
    <row r="2832" ht="15.75" customHeight="1">
      <c r="A2832" s="3" t="s">
        <v>7</v>
      </c>
      <c r="B2832" s="3" t="s">
        <v>40</v>
      </c>
      <c r="D2832" s="3" t="str">
        <f>IFERROR(__xludf.DUMMYFUNCTION("GOOGLETRANSLATE(A2832, ""nl"", ""en"")"),"Human Figures and Physicality")</f>
        <v>Human Figures and Physicality</v>
      </c>
      <c r="E2832" s="3" t="str">
        <f>IFERROR(__xludf.DUMMYFUNCTION("GOOGLETRANSLATE(B2832, ""nl"", ""en"")"),"A figure who is withdrawn into himself")</f>
        <v>A figure who is withdrawn into himself</v>
      </c>
    </row>
    <row r="2833" ht="15.75" customHeight="1">
      <c r="A2833" s="3" t="s">
        <v>15</v>
      </c>
      <c r="B2833" s="3" t="s">
        <v>52</v>
      </c>
      <c r="D2833" s="3" t="str">
        <f>IFERROR(__xludf.DUMMYFUNCTION("GOOGLETRANSLATE(A2833, ""nl"", ""en"")"),"Animals and Organic Forms")</f>
        <v>Animals and Organic Forms</v>
      </c>
      <c r="E2833" s="3" t="str">
        <f>IFERROR(__xludf.DUMMYFUNCTION("GOOGLETRANSLATE(B2833, ""nl"", ""en"")"),"A mask made of leaves")</f>
        <v>A mask made of leaves</v>
      </c>
    </row>
    <row r="2834" ht="15.75" customHeight="1">
      <c r="A2834" s="3" t="s">
        <v>15</v>
      </c>
      <c r="B2834" s="3" t="s">
        <v>22</v>
      </c>
      <c r="D2834" s="3" t="str">
        <f>IFERROR(__xludf.DUMMYFUNCTION("GOOGLETRANSLATE(A2834, ""nl"", ""en"")"),"Animals and Organic Forms")</f>
        <v>Animals and Organic Forms</v>
      </c>
      <c r="E2834" s="3" t="str">
        <f>IFERROR(__xludf.DUMMYFUNCTION("GOOGLETRANSLATE(B2834, ""nl"", ""en"")"),"A bird taking off")</f>
        <v>A bird taking off</v>
      </c>
    </row>
    <row r="2835" ht="15.75" customHeight="1">
      <c r="A2835" s="3" t="s">
        <v>12</v>
      </c>
      <c r="B2835" s="3" t="s">
        <v>18</v>
      </c>
      <c r="D2835" s="3" t="str">
        <f>IFERROR(__xludf.DUMMYFUNCTION("GOOGLETRANSLATE(A2835, ""nl"", ""en"")"),"Nature and Elements")</f>
        <v>Nature and Elements</v>
      </c>
      <c r="E2835" s="3" t="str">
        <f>IFERROR(__xludf.DUMMYFUNCTION("GOOGLETRANSLATE(B2835, ""nl"", ""en"")"),"A tree with endless branches")</f>
        <v>A tree with endless branches</v>
      </c>
    </row>
    <row r="2836" ht="15.75" customHeight="1">
      <c r="A2836" s="3" t="s">
        <v>12</v>
      </c>
      <c r="B2836" s="3" t="s">
        <v>36</v>
      </c>
      <c r="D2836" s="3" t="str">
        <f>IFERROR(__xludf.DUMMYFUNCTION("GOOGLETRANSLATE(A2836, ""nl"", ""en"")"),"Nature and Elements")</f>
        <v>Nature and Elements</v>
      </c>
      <c r="E2836" s="3" t="str">
        <f>IFERROR(__xludf.DUMMYFUNCTION("GOOGLETRANSLATE(B2836, ""nl"", ""en"")"),"A river delta from a bird's-eye view")</f>
        <v>A river delta from a bird's-eye view</v>
      </c>
    </row>
    <row r="2837" ht="15.75" customHeight="1">
      <c r="A2837" s="3" t="s">
        <v>4</v>
      </c>
      <c r="B2837" s="3" t="s">
        <v>44</v>
      </c>
      <c r="D2837" s="3" t="str">
        <f>IFERROR(__xludf.DUMMYFUNCTION("GOOGLETRANSLATE(A2837, ""nl"", ""en"")"),"Architectural and Structural Associations")</f>
        <v>Architectural and Structural Associations</v>
      </c>
      <c r="E2837" s="3" t="str">
        <f>IFERROR(__xludf.DUMMYFUNCTION("GOOGLETRANSLATE(B2837, ""nl"", ""en"")"),"A structure that pulsates in waves")</f>
        <v>A structure that pulsates in waves</v>
      </c>
    </row>
    <row r="2838" ht="15.75" customHeight="1">
      <c r="A2838" s="3" t="s">
        <v>9</v>
      </c>
      <c r="B2838" s="3" t="s">
        <v>11</v>
      </c>
      <c r="D2838" s="3" t="str">
        <f>IFERROR(__xludf.DUMMYFUNCTION("GOOGLETRANSLATE(A2838, ""nl"", ""en"")"),"Psychological and Emotional Interpretations")</f>
        <v>Psychological and Emotional Interpretations</v>
      </c>
      <c r="E2838" s="3" t="str">
        <f>IFERROR(__xludf.DUMMYFUNCTION("GOOGLETRANSLATE(B2838, ""nl"", ""en"")"),"An emotion captured in abstraction")</f>
        <v>An emotion captured in abstraction</v>
      </c>
    </row>
    <row r="2839" ht="15.75" customHeight="1">
      <c r="A2839" s="3" t="s">
        <v>12</v>
      </c>
      <c r="B2839" s="3" t="s">
        <v>19</v>
      </c>
      <c r="D2839" s="3" t="str">
        <f>IFERROR(__xludf.DUMMYFUNCTION("GOOGLETRANSLATE(A2839, ""nl"", ""en"")"),"Nature and Elements")</f>
        <v>Nature and Elements</v>
      </c>
      <c r="E2839" s="3" t="str">
        <f>IFERROR(__xludf.DUMMYFUNCTION("GOOGLETRANSLATE(B2839, ""nl"", ""en"")"),"A mountain range that seems to breathe")</f>
        <v>A mountain range that seems to breathe</v>
      </c>
    </row>
    <row r="2840" ht="15.75" customHeight="1">
      <c r="A2840" s="3" t="s">
        <v>15</v>
      </c>
      <c r="B2840" s="3" t="s">
        <v>22</v>
      </c>
      <c r="D2840" s="3" t="str">
        <f>IFERROR(__xludf.DUMMYFUNCTION("GOOGLETRANSLATE(A2840, ""nl"", ""en"")"),"Animals and Organic Forms")</f>
        <v>Animals and Organic Forms</v>
      </c>
      <c r="E2840" s="3" t="str">
        <f>IFERROR(__xludf.DUMMYFUNCTION("GOOGLETRANSLATE(B2840, ""nl"", ""en"")"),"A bird taking off")</f>
        <v>A bird taking off</v>
      </c>
    </row>
    <row r="2841" ht="15.75" customHeight="1">
      <c r="A2841" s="3" t="s">
        <v>4</v>
      </c>
      <c r="B2841" s="3" t="s">
        <v>55</v>
      </c>
      <c r="D2841" s="3" t="str">
        <f>IFERROR(__xludf.DUMMYFUNCTION("GOOGLETRANSLATE(A2841, ""nl"", ""en"")"),"Architectural and Structural Associations")</f>
        <v>Architectural and Structural Associations</v>
      </c>
      <c r="E2841" s="3" t="str">
        <f>IFERROR(__xludf.DUMMYFUNCTION("GOOGLETRANSLATE(B2841, ""nl"", ""en"")"),"A prism that splits light into colors")</f>
        <v>A prism that splits light into colors</v>
      </c>
    </row>
    <row r="2842" ht="15.75" customHeight="1">
      <c r="A2842" s="3" t="s">
        <v>7</v>
      </c>
      <c r="B2842" s="3" t="s">
        <v>28</v>
      </c>
      <c r="D2842" s="3" t="str">
        <f>IFERROR(__xludf.DUMMYFUNCTION("GOOGLETRANSLATE(A2842, ""nl"", ""en"")"),"Human Figures and Physicality")</f>
        <v>Human Figures and Physicality</v>
      </c>
      <c r="E2842" s="3" t="str">
        <f>IFERROR(__xludf.DUMMYFUNCTION("GOOGLETRANSLATE(B2842, ""nl"", ""en"")"),"A dancing silhouette")</f>
        <v>A dancing silhouette</v>
      </c>
    </row>
    <row r="2843" ht="15.75" customHeight="1">
      <c r="A2843" s="3" t="s">
        <v>24</v>
      </c>
      <c r="B2843" s="3" t="s">
        <v>31</v>
      </c>
      <c r="D2843" s="3" t="str">
        <f>IFERROR(__xludf.DUMMYFUNCTION("GOOGLETRANSLATE(A2843, ""nl"", ""en"")"),"Cosmic and Abstract Patterns")</f>
        <v>Cosmic and Abstract Patterns</v>
      </c>
      <c r="E2843" s="3" t="str">
        <f>IFERROR(__xludf.DUMMYFUNCTION("GOOGLETRANSLATE(B2843, ""nl"", ""en"")"),"A planet with unusual rings")</f>
        <v>A planet with unusual rings</v>
      </c>
    </row>
    <row r="2844" ht="15.75" customHeight="1">
      <c r="A2844" s="3" t="s">
        <v>4</v>
      </c>
      <c r="B2844" s="3" t="s">
        <v>35</v>
      </c>
      <c r="D2844" s="3" t="str">
        <f>IFERROR(__xludf.DUMMYFUNCTION("GOOGLETRANSLATE(A2844, ""nl"", ""en"")"),"Architectural and Structural Associations")</f>
        <v>Architectural and Structural Associations</v>
      </c>
      <c r="E2844" s="3" t="str">
        <f>IFERROR(__xludf.DUMMYFUNCTION("GOOGLETRANSLATE(B2844, ""nl"", ""en"")"),"A floating building without a base")</f>
        <v>A floating building without a base</v>
      </c>
    </row>
    <row r="2845" ht="15.75" customHeight="1">
      <c r="A2845" s="3" t="s">
        <v>4</v>
      </c>
      <c r="B2845" s="3" t="s">
        <v>5</v>
      </c>
      <c r="D2845" s="3" t="str">
        <f>IFERROR(__xludf.DUMMYFUNCTION("GOOGLETRANSLATE(A2845, ""nl"", ""en"")"),"Architectural and Structural Associations")</f>
        <v>Architectural and Structural Associations</v>
      </c>
      <c r="E2845" s="3" t="str">
        <f>IFERROR(__xludf.DUMMYFUNCTION("GOOGLETRANSLATE(B2845, ""nl"", ""en"")"),"A cathedral shaped from mist")</f>
        <v>A cathedral shaped from mist</v>
      </c>
    </row>
    <row r="2846" ht="15.75" customHeight="1">
      <c r="A2846" s="3" t="s">
        <v>15</v>
      </c>
      <c r="B2846" s="3" t="s">
        <v>22</v>
      </c>
      <c r="D2846" s="3" t="str">
        <f>IFERROR(__xludf.DUMMYFUNCTION("GOOGLETRANSLATE(A2846, ""nl"", ""en"")"),"Animals and Organic Forms")</f>
        <v>Animals and Organic Forms</v>
      </c>
      <c r="E2846" s="3" t="str">
        <f>IFERROR(__xludf.DUMMYFUNCTION("GOOGLETRANSLATE(B2846, ""nl"", ""en"")"),"A bird taking off")</f>
        <v>A bird taking off</v>
      </c>
    </row>
    <row r="2847" ht="15.75" customHeight="1">
      <c r="A2847" s="3" t="s">
        <v>4</v>
      </c>
      <c r="B2847" s="3" t="s">
        <v>21</v>
      </c>
      <c r="D2847" s="3" t="str">
        <f>IFERROR(__xludf.DUMMYFUNCTION("GOOGLETRANSLATE(A2847, ""nl"", ""en"")"),"Architectural and Structural Associations")</f>
        <v>Architectural and Structural Associations</v>
      </c>
      <c r="E2847" s="3" t="str">
        <f>IFERROR(__xludf.DUMMYFUNCTION("GOOGLETRANSLATE(B2847, ""nl"", ""en"")"),"A bridge that leads nowhere")</f>
        <v>A bridge that leads nowhere</v>
      </c>
    </row>
    <row r="2848" ht="15.75" customHeight="1">
      <c r="A2848" s="3" t="s">
        <v>24</v>
      </c>
      <c r="B2848" s="3" t="s">
        <v>29</v>
      </c>
      <c r="D2848" s="3" t="str">
        <f>IFERROR(__xludf.DUMMYFUNCTION("GOOGLETRANSLATE(A2848, ""nl"", ""en"")"),"Cosmic and Abstract Patterns")</f>
        <v>Cosmic and Abstract Patterns</v>
      </c>
      <c r="E2848" s="3" t="str">
        <f>IFERROR(__xludf.DUMMYFUNCTION("GOOGLETRANSLATE(B2848, ""nl"", ""en"")"),"A galaxy unfolding")</f>
        <v>A galaxy unfolding</v>
      </c>
    </row>
    <row r="2849" ht="15.75" customHeight="1">
      <c r="A2849" s="3" t="s">
        <v>24</v>
      </c>
      <c r="B2849" s="3" t="s">
        <v>31</v>
      </c>
      <c r="D2849" s="3" t="str">
        <f>IFERROR(__xludf.DUMMYFUNCTION("GOOGLETRANSLATE(A2849, ""nl"", ""en"")"),"Cosmic and Abstract Patterns")</f>
        <v>Cosmic and Abstract Patterns</v>
      </c>
      <c r="E2849" s="3" t="str">
        <f>IFERROR(__xludf.DUMMYFUNCTION("GOOGLETRANSLATE(B2849, ""nl"", ""en"")"),"A planet with unusual rings")</f>
        <v>A planet with unusual rings</v>
      </c>
    </row>
    <row r="2850" ht="15.75" customHeight="1">
      <c r="A2850" s="3" t="s">
        <v>12</v>
      </c>
      <c r="B2850" s="3" t="s">
        <v>30</v>
      </c>
      <c r="D2850" s="3" t="str">
        <f>IFERROR(__xludf.DUMMYFUNCTION("GOOGLETRANSLATE(A2850, ""nl"", ""en"")"),"Nature and Elements")</f>
        <v>Nature and Elements</v>
      </c>
      <c r="E2850" s="3" t="str">
        <f>IFERROR(__xludf.DUMMYFUNCTION("GOOGLETRANSLATE(B2850, ""nl"", ""en"")"),"Waves breaking in fractal patterns")</f>
        <v>Waves breaking in fractal patterns</v>
      </c>
    </row>
    <row r="2851" ht="15.75" customHeight="1">
      <c r="A2851" s="3" t="s">
        <v>15</v>
      </c>
      <c r="B2851" s="3" t="s">
        <v>45</v>
      </c>
      <c r="D2851" s="3" t="str">
        <f>IFERROR(__xludf.DUMMYFUNCTION("GOOGLETRANSLATE(A2851, ""nl"", ""en"")"),"Animals and Organic Forms")</f>
        <v>Animals and Organic Forms</v>
      </c>
      <c r="E2851" s="3" t="str">
        <f>IFERROR(__xludf.DUMMYFUNCTION("GOOGLETRANSLATE(B2851, ""nl"", ""en"")"),"A snake biting its own tail")</f>
        <v>A snake biting its own tail</v>
      </c>
    </row>
    <row r="2852" ht="15.75" customHeight="1">
      <c r="A2852" s="3" t="s">
        <v>24</v>
      </c>
      <c r="B2852" s="3" t="s">
        <v>31</v>
      </c>
      <c r="D2852" s="3" t="str">
        <f>IFERROR(__xludf.DUMMYFUNCTION("GOOGLETRANSLATE(A2852, ""nl"", ""en"")"),"Cosmic and Abstract Patterns")</f>
        <v>Cosmic and Abstract Patterns</v>
      </c>
      <c r="E2852" s="3" t="str">
        <f>IFERROR(__xludf.DUMMYFUNCTION("GOOGLETRANSLATE(B2852, ""nl"", ""en"")"),"A planet with unusual rings")</f>
        <v>A planet with unusual rings</v>
      </c>
    </row>
    <row r="2853" ht="15.75" customHeight="1">
      <c r="A2853" s="3" t="s">
        <v>15</v>
      </c>
      <c r="B2853" s="3" t="s">
        <v>22</v>
      </c>
      <c r="D2853" s="3" t="str">
        <f>IFERROR(__xludf.DUMMYFUNCTION("GOOGLETRANSLATE(A2853, ""nl"", ""en"")"),"Animals and Organic Forms")</f>
        <v>Animals and Organic Forms</v>
      </c>
      <c r="E2853" s="3" t="str">
        <f>IFERROR(__xludf.DUMMYFUNCTION("GOOGLETRANSLATE(B2853, ""nl"", ""en"")"),"A bird taking off")</f>
        <v>A bird taking off</v>
      </c>
    </row>
    <row r="2854" ht="15.75" customHeight="1">
      <c r="A2854" s="3" t="s">
        <v>4</v>
      </c>
      <c r="B2854" s="3" t="s">
        <v>21</v>
      </c>
      <c r="D2854" s="3" t="str">
        <f>IFERROR(__xludf.DUMMYFUNCTION("GOOGLETRANSLATE(A2854, ""nl"", ""en"")"),"Architectural and Structural Associations")</f>
        <v>Architectural and Structural Associations</v>
      </c>
      <c r="E2854" s="3" t="str">
        <f>IFERROR(__xludf.DUMMYFUNCTION("GOOGLETRANSLATE(B2854, ""nl"", ""en"")"),"A bridge that leads nowhere")</f>
        <v>A bridge that leads nowhere</v>
      </c>
    </row>
    <row r="2855" ht="15.75" customHeight="1">
      <c r="A2855" s="3" t="s">
        <v>15</v>
      </c>
      <c r="B2855" s="3" t="s">
        <v>46</v>
      </c>
      <c r="D2855" s="3" t="str">
        <f>IFERROR(__xludf.DUMMYFUNCTION("GOOGLETRANSLATE(A2855, ""nl"", ""en"")"),"Animals and Organic Forms")</f>
        <v>Animals and Organic Forms</v>
      </c>
      <c r="E2855" s="3" t="str">
        <f>IFERROR(__xludf.DUMMYFUNCTION("GOOGLETRANSLATE(B2855, ""nl"", ""en"")"),"A flock of fish moving as one")</f>
        <v>A flock of fish moving as one</v>
      </c>
    </row>
    <row r="2856" ht="15.75" customHeight="1">
      <c r="A2856" s="3" t="s">
        <v>4</v>
      </c>
      <c r="B2856" s="3" t="s">
        <v>20</v>
      </c>
      <c r="D2856" s="3" t="str">
        <f>IFERROR(__xludf.DUMMYFUNCTION("GOOGLETRANSLATE(A2856, ""nl"", ""en"")"),"Architectural and Structural Associations")</f>
        <v>Architectural and Structural Associations</v>
      </c>
      <c r="E2856" s="3" t="str">
        <f>IFERROR(__xludf.DUMMYFUNCTION("GOOGLETRANSLATE(B2856, ""nl"", ""en"")"),"A tower that grows by itself")</f>
        <v>A tower that grows by itself</v>
      </c>
    </row>
    <row r="2857" ht="15.75" customHeight="1">
      <c r="A2857" s="3" t="s">
        <v>15</v>
      </c>
      <c r="B2857" s="3" t="s">
        <v>38</v>
      </c>
      <c r="D2857" s="3" t="str">
        <f>IFERROR(__xludf.DUMMYFUNCTION("GOOGLETRANSLATE(A2857, ""nl"", ""en"")"),"Animals and Organic Forms")</f>
        <v>Animals and Organic Forms</v>
      </c>
      <c r="E2857" s="3" t="str">
        <f>IFERROR(__xludf.DUMMYFUNCTION("GOOGLETRANSLATE(B2857, ""nl"", ""en"")"),"A lion with an open mouth")</f>
        <v>A lion with an open mouth</v>
      </c>
    </row>
    <row r="2858" ht="15.75" customHeight="1">
      <c r="A2858" s="3" t="s">
        <v>9</v>
      </c>
      <c r="B2858" s="3" t="s">
        <v>14</v>
      </c>
      <c r="D2858" s="3" t="str">
        <f>IFERROR(__xludf.DUMMYFUNCTION("GOOGLETRANSLATE(A2858, ""nl"", ""en"")"),"Psychological and Emotional Interpretations")</f>
        <v>Psychological and Emotional Interpretations</v>
      </c>
      <c r="E2858" s="3" t="str">
        <f>IFERROR(__xludf.DUMMYFUNCTION("GOOGLETRANSLATE(B2858, ""nl"", ""en"")"),"An unclear hug")</f>
        <v>An unclear hug</v>
      </c>
    </row>
    <row r="2859" ht="15.75" customHeight="1">
      <c r="A2859" s="3" t="s">
        <v>12</v>
      </c>
      <c r="B2859" s="3" t="s">
        <v>36</v>
      </c>
      <c r="D2859" s="3" t="str">
        <f>IFERROR(__xludf.DUMMYFUNCTION("GOOGLETRANSLATE(A2859, ""nl"", ""en"")"),"Nature and Elements")</f>
        <v>Nature and Elements</v>
      </c>
      <c r="E2859" s="3" t="str">
        <f>IFERROR(__xludf.DUMMYFUNCTION("GOOGLETRANSLATE(B2859, ""nl"", ""en"")"),"A river delta from a bird's-eye view")</f>
        <v>A river delta from a bird's-eye view</v>
      </c>
    </row>
    <row r="2860" ht="15.75" customHeight="1">
      <c r="A2860" s="3" t="s">
        <v>12</v>
      </c>
      <c r="B2860" s="3" t="s">
        <v>51</v>
      </c>
      <c r="D2860" s="3" t="str">
        <f>IFERROR(__xludf.DUMMYFUNCTION("GOOGLETRANSLATE(A2860, ""nl"", ""en"")"),"Nature and Elements")</f>
        <v>Nature and Elements</v>
      </c>
      <c r="E2860" s="3" t="str">
        <f>IFERROR(__xludf.DUMMYFUNCTION("GOOGLETRANSLATE(B2860, ""nl"", ""en"")"),"An evaporating puddle of water")</f>
        <v>An evaporating puddle of water</v>
      </c>
    </row>
    <row r="2861" ht="15.75" customHeight="1">
      <c r="A2861" s="3" t="s">
        <v>7</v>
      </c>
      <c r="B2861" s="3" t="s">
        <v>39</v>
      </c>
      <c r="D2861" s="3" t="str">
        <f>IFERROR(__xludf.DUMMYFUNCTION("GOOGLETRANSLATE(A2861, ""nl"", ""en"")"),"Human Figures and Physicality")</f>
        <v>Human Figures and Physicality</v>
      </c>
      <c r="E2861" s="3" t="str">
        <f>IFERROR(__xludf.DUMMYFUNCTION("GOOGLETRANSLATE(B2861, ""nl"", ""en"")"),"A torso without a head")</f>
        <v>A torso without a head</v>
      </c>
    </row>
    <row r="2862" ht="15.75" customHeight="1">
      <c r="A2862" s="3" t="s">
        <v>12</v>
      </c>
      <c r="B2862" s="3" t="s">
        <v>18</v>
      </c>
      <c r="D2862" s="3" t="str">
        <f>IFERROR(__xludf.DUMMYFUNCTION("GOOGLETRANSLATE(A2862, ""nl"", ""en"")"),"Nature and Elements")</f>
        <v>Nature and Elements</v>
      </c>
      <c r="E2862" s="3" t="str">
        <f>IFERROR(__xludf.DUMMYFUNCTION("GOOGLETRANSLATE(B2862, ""nl"", ""en"")"),"A tree with endless branches")</f>
        <v>A tree with endless branches</v>
      </c>
    </row>
    <row r="2863" ht="15.75" customHeight="1">
      <c r="A2863" s="3" t="s">
        <v>7</v>
      </c>
      <c r="B2863" s="3" t="s">
        <v>53</v>
      </c>
      <c r="D2863" s="3" t="str">
        <f>IFERROR(__xludf.DUMMYFUNCTION("GOOGLETRANSLATE(A2863, ""nl"", ""en"")"),"Human Figures and Physicality")</f>
        <v>Human Figures and Physicality</v>
      </c>
      <c r="E2863" s="3" t="str">
        <f>IFERROR(__xludf.DUMMYFUNCTION("GOOGLETRANSLATE(B2863, ""nl"", ""en"")"),"A face that both smiles and cries")</f>
        <v>A face that both smiles and cries</v>
      </c>
    </row>
    <row r="2864" ht="15.75" customHeight="1">
      <c r="A2864" s="3" t="s">
        <v>15</v>
      </c>
      <c r="B2864" s="3" t="s">
        <v>52</v>
      </c>
      <c r="D2864" s="3" t="str">
        <f>IFERROR(__xludf.DUMMYFUNCTION("GOOGLETRANSLATE(A2864, ""nl"", ""en"")"),"Animals and Organic Forms")</f>
        <v>Animals and Organic Forms</v>
      </c>
      <c r="E2864" s="3" t="str">
        <f>IFERROR(__xludf.DUMMYFUNCTION("GOOGLETRANSLATE(B2864, ""nl"", ""en"")"),"A mask made of leaves")</f>
        <v>A mask made of leaves</v>
      </c>
    </row>
    <row r="2865" ht="15.75" customHeight="1">
      <c r="A2865" s="3" t="s">
        <v>24</v>
      </c>
      <c r="B2865" s="3" t="s">
        <v>27</v>
      </c>
      <c r="D2865" s="3" t="str">
        <f>IFERROR(__xludf.DUMMYFUNCTION("GOOGLETRANSLATE(A2865, ""nl"", ""en"")"),"Cosmic and Abstract Patterns")</f>
        <v>Cosmic and Abstract Patterns</v>
      </c>
      <c r="E2865" s="3" t="str">
        <f>IFERROR(__xludf.DUMMYFUNCTION("GOOGLETRANSLATE(B2865, ""nl"", ""en"")"),"A pair of black holes in dance")</f>
        <v>A pair of black holes in dance</v>
      </c>
    </row>
    <row r="2866" ht="15.75" customHeight="1">
      <c r="A2866" s="3" t="s">
        <v>12</v>
      </c>
      <c r="B2866" s="3" t="s">
        <v>51</v>
      </c>
      <c r="D2866" s="3" t="str">
        <f>IFERROR(__xludf.DUMMYFUNCTION("GOOGLETRANSLATE(A2866, ""nl"", ""en"")"),"Nature and Elements")</f>
        <v>Nature and Elements</v>
      </c>
      <c r="E2866" s="3" t="str">
        <f>IFERROR(__xludf.DUMMYFUNCTION("GOOGLETRANSLATE(B2866, ""nl"", ""en"")"),"An evaporating puddle of water")</f>
        <v>An evaporating puddle of water</v>
      </c>
    </row>
    <row r="2867" ht="15.75" customHeight="1">
      <c r="A2867" s="3" t="s">
        <v>7</v>
      </c>
      <c r="B2867" s="3" t="s">
        <v>56</v>
      </c>
      <c r="D2867" s="3" t="str">
        <f>IFERROR(__xludf.DUMMYFUNCTION("GOOGLETRANSLATE(A2867, ""nl"", ""en"")"),"Human Figures and Physicality")</f>
        <v>Human Figures and Physicality</v>
      </c>
      <c r="E2867" s="3" t="str">
        <f>IFERROR(__xludf.DUMMYFUNCTION("GOOGLETRANSLATE(B2867, ""nl"", ""en"")"),"A shadow that seems to move")</f>
        <v>A shadow that seems to move</v>
      </c>
    </row>
    <row r="2868" ht="15.75" customHeight="1">
      <c r="A2868" s="3" t="s">
        <v>24</v>
      </c>
      <c r="B2868" s="3" t="s">
        <v>29</v>
      </c>
      <c r="D2868" s="3" t="str">
        <f>IFERROR(__xludf.DUMMYFUNCTION("GOOGLETRANSLATE(A2868, ""nl"", ""en"")"),"Cosmic and Abstract Patterns")</f>
        <v>Cosmic and Abstract Patterns</v>
      </c>
      <c r="E2868" s="3" t="str">
        <f>IFERROR(__xludf.DUMMYFUNCTION("GOOGLETRANSLATE(B2868, ""nl"", ""en"")"),"A galaxy unfolding")</f>
        <v>A galaxy unfolding</v>
      </c>
    </row>
    <row r="2869" ht="15.75" customHeight="1">
      <c r="A2869" s="3" t="s">
        <v>24</v>
      </c>
      <c r="B2869" s="3" t="s">
        <v>32</v>
      </c>
      <c r="D2869" s="3" t="str">
        <f>IFERROR(__xludf.DUMMYFUNCTION("GOOGLETRANSLATE(A2869, ""nl"", ""en"")"),"Cosmic and Abstract Patterns")</f>
        <v>Cosmic and Abstract Patterns</v>
      </c>
      <c r="E2869" s="3" t="str">
        <f>IFERROR(__xludf.DUMMYFUNCTION("GOOGLETRANSLATE(B2869, ""nl"", ""en"")"),"A time loop captured in image")</f>
        <v>A time loop captured in image</v>
      </c>
    </row>
    <row r="2870" ht="15.75" customHeight="1">
      <c r="A2870" s="3" t="s">
        <v>7</v>
      </c>
      <c r="B2870" s="3" t="s">
        <v>41</v>
      </c>
      <c r="D2870" s="3" t="str">
        <f>IFERROR(__xludf.DUMMYFUNCTION("GOOGLETRANSLATE(A2870, ""nl"", ""en"")"),"Human Figures and Physicality")</f>
        <v>Human Figures and Physicality</v>
      </c>
      <c r="E2870" s="3" t="str">
        <f>IFERROR(__xludf.DUMMYFUNCTION("GOOGLETRANSLATE(B2870, ""nl"", ""en"")"),"A face that fades into abstraction")</f>
        <v>A face that fades into abstraction</v>
      </c>
    </row>
    <row r="2871" ht="15.75" customHeight="1">
      <c r="A2871" s="3" t="s">
        <v>9</v>
      </c>
      <c r="B2871" s="3" t="s">
        <v>37</v>
      </c>
      <c r="D2871" s="3" t="str">
        <f>IFERROR(__xludf.DUMMYFUNCTION("GOOGLETRANSLATE(A2871, ""nl"", ""en"")"),"Psychological and Emotional Interpretations")</f>
        <v>Psychological and Emotional Interpretations</v>
      </c>
      <c r="E2871" s="3" t="str">
        <f>IFERROR(__xludf.DUMMYFUNCTION("GOOGLETRANSLATE(B2871, ""nl"", ""en"")"),"A figure looking through itself")</f>
        <v>A figure looking through itself</v>
      </c>
    </row>
    <row r="2872" ht="15.75" customHeight="1">
      <c r="A2872" s="3" t="s">
        <v>7</v>
      </c>
      <c r="B2872" s="3" t="s">
        <v>41</v>
      </c>
      <c r="D2872" s="3" t="str">
        <f>IFERROR(__xludf.DUMMYFUNCTION("GOOGLETRANSLATE(A2872, ""nl"", ""en"")"),"Human Figures and Physicality")</f>
        <v>Human Figures and Physicality</v>
      </c>
      <c r="E2872" s="3" t="str">
        <f>IFERROR(__xludf.DUMMYFUNCTION("GOOGLETRANSLATE(B2872, ""nl"", ""en"")"),"A face that fades into abstraction")</f>
        <v>A face that fades into abstraction</v>
      </c>
    </row>
    <row r="2873" ht="15.75" customHeight="1">
      <c r="A2873" s="3" t="s">
        <v>9</v>
      </c>
      <c r="B2873" s="3" t="s">
        <v>57</v>
      </c>
      <c r="D2873" s="3" t="str">
        <f>IFERROR(__xludf.DUMMYFUNCTION("GOOGLETRANSLATE(A2873, ""nl"", ""en"")"),"Psychological and Emotional Interpretations")</f>
        <v>Psychological and Emotional Interpretations</v>
      </c>
      <c r="E2873" s="3" t="str">
        <f>IFERROR(__xludf.DUMMYFUNCTION("GOOGLETRANSLATE(B2873, ""nl"", ""en"")"),"An explosion of colours and feelings")</f>
        <v>An explosion of colours and feelings</v>
      </c>
    </row>
    <row r="2874" ht="15.75" customHeight="1">
      <c r="A2874" s="3" t="s">
        <v>12</v>
      </c>
      <c r="B2874" s="3" t="s">
        <v>18</v>
      </c>
      <c r="D2874" s="3" t="str">
        <f>IFERROR(__xludf.DUMMYFUNCTION("GOOGLETRANSLATE(A2874, ""nl"", ""en"")"),"Nature and Elements")</f>
        <v>Nature and Elements</v>
      </c>
      <c r="E2874" s="3" t="str">
        <f>IFERROR(__xludf.DUMMYFUNCTION("GOOGLETRANSLATE(B2874, ""nl"", ""en"")"),"A tree with endless branches")</f>
        <v>A tree with endless branches</v>
      </c>
    </row>
    <row r="2875" ht="15.75" customHeight="1">
      <c r="A2875" s="3" t="s">
        <v>15</v>
      </c>
      <c r="B2875" s="3" t="s">
        <v>38</v>
      </c>
      <c r="D2875" s="3" t="str">
        <f>IFERROR(__xludf.DUMMYFUNCTION("GOOGLETRANSLATE(A2875, ""nl"", ""en"")"),"Animals and Organic Forms")</f>
        <v>Animals and Organic Forms</v>
      </c>
      <c r="E2875" s="3" t="str">
        <f>IFERROR(__xludf.DUMMYFUNCTION("GOOGLETRANSLATE(B2875, ""nl"", ""en"")"),"A lion with an open mouth")</f>
        <v>A lion with an open mouth</v>
      </c>
    </row>
    <row r="2876" ht="15.75" customHeight="1">
      <c r="A2876" s="3" t="s">
        <v>12</v>
      </c>
      <c r="B2876" s="3" t="s">
        <v>19</v>
      </c>
      <c r="D2876" s="3" t="str">
        <f>IFERROR(__xludf.DUMMYFUNCTION("GOOGLETRANSLATE(A2876, ""nl"", ""en"")"),"Nature and Elements")</f>
        <v>Nature and Elements</v>
      </c>
      <c r="E2876" s="3" t="str">
        <f>IFERROR(__xludf.DUMMYFUNCTION("GOOGLETRANSLATE(B2876, ""nl"", ""en"")"),"A mountain range that seems to breathe")</f>
        <v>A mountain range that seems to breathe</v>
      </c>
    </row>
    <row r="2877" ht="15.75" customHeight="1">
      <c r="A2877" s="3" t="s">
        <v>12</v>
      </c>
      <c r="B2877" s="3" t="s">
        <v>30</v>
      </c>
      <c r="D2877" s="3" t="str">
        <f>IFERROR(__xludf.DUMMYFUNCTION("GOOGLETRANSLATE(A2877, ""nl"", ""en"")"),"Nature and Elements")</f>
        <v>Nature and Elements</v>
      </c>
      <c r="E2877" s="3" t="str">
        <f>IFERROR(__xludf.DUMMYFUNCTION("GOOGLETRANSLATE(B2877, ""nl"", ""en"")"),"Waves breaking in fractal patterns")</f>
        <v>Waves breaking in fractal patterns</v>
      </c>
    </row>
    <row r="2878" ht="15.75" customHeight="1">
      <c r="A2878" s="3" t="s">
        <v>9</v>
      </c>
      <c r="B2878" s="3" t="s">
        <v>42</v>
      </c>
      <c r="D2878" s="3" t="str">
        <f>IFERROR(__xludf.DUMMYFUNCTION("GOOGLETRANSLATE(A2878, ""nl"", ""en"")"),"Psychological and Emotional Interpretations")</f>
        <v>Psychological and Emotional Interpretations</v>
      </c>
      <c r="E2878" s="3" t="str">
        <f>IFERROR(__xludf.DUMMYFUNCTION("GOOGLETRANSLATE(B2878, ""nl"", ""en"")"),"A mask that slowly disappears")</f>
        <v>A mask that slowly disappears</v>
      </c>
    </row>
    <row r="2879" ht="15.75" customHeight="1">
      <c r="A2879" s="3" t="s">
        <v>15</v>
      </c>
      <c r="B2879" s="3" t="s">
        <v>38</v>
      </c>
      <c r="D2879" s="3" t="str">
        <f>IFERROR(__xludf.DUMMYFUNCTION("GOOGLETRANSLATE(A2879, ""nl"", ""en"")"),"Animals and Organic Forms")</f>
        <v>Animals and Organic Forms</v>
      </c>
      <c r="E2879" s="3" t="str">
        <f>IFERROR(__xludf.DUMMYFUNCTION("GOOGLETRANSLATE(B2879, ""nl"", ""en"")"),"A lion with an open mouth")</f>
        <v>A lion with an open mouth</v>
      </c>
    </row>
    <row r="2880" ht="15.75" customHeight="1">
      <c r="A2880" s="3" t="s">
        <v>24</v>
      </c>
      <c r="B2880" s="3" t="s">
        <v>54</v>
      </c>
      <c r="D2880" s="3" t="str">
        <f>IFERROR(__xludf.DUMMYFUNCTION("GOOGLETRANSLATE(A2880, ""nl"", ""en"")"),"Cosmic and Abstract Patterns")</f>
        <v>Cosmic and Abstract Patterns</v>
      </c>
      <c r="E2880" s="3" t="str">
        <f>IFERROR(__xludf.DUMMYFUNCTION("GOOGLETRANSLATE(B2880, ""nl"", ""en"")"),"A quantum particle in superposition")</f>
        <v>A quantum particle in superposition</v>
      </c>
    </row>
    <row r="2881" ht="15.75" customHeight="1">
      <c r="A2881" s="3" t="s">
        <v>7</v>
      </c>
      <c r="B2881" s="3" t="s">
        <v>56</v>
      </c>
      <c r="D2881" s="3" t="str">
        <f>IFERROR(__xludf.DUMMYFUNCTION("GOOGLETRANSLATE(A2881, ""nl"", ""en"")"),"Human Figures and Physicality")</f>
        <v>Human Figures and Physicality</v>
      </c>
      <c r="E2881" s="3" t="str">
        <f>IFERROR(__xludf.DUMMYFUNCTION("GOOGLETRANSLATE(B2881, ""nl"", ""en"")"),"A shadow that seems to move")</f>
        <v>A shadow that seems to move</v>
      </c>
    </row>
    <row r="2882" ht="15.75" customHeight="1">
      <c r="A2882" s="3" t="s">
        <v>7</v>
      </c>
      <c r="B2882" s="3" t="s">
        <v>39</v>
      </c>
      <c r="D2882" s="3" t="str">
        <f>IFERROR(__xludf.DUMMYFUNCTION("GOOGLETRANSLATE(A2882, ""nl"", ""en"")"),"Human Figures and Physicality")</f>
        <v>Human Figures and Physicality</v>
      </c>
      <c r="E2882" s="3" t="str">
        <f>IFERROR(__xludf.DUMMYFUNCTION("GOOGLETRANSLATE(B2882, ""nl"", ""en"")"),"A torso without a head")</f>
        <v>A torso without a head</v>
      </c>
    </row>
    <row r="2883" ht="15.75" customHeight="1">
      <c r="A2883" s="3" t="s">
        <v>7</v>
      </c>
      <c r="B2883" s="3" t="s">
        <v>41</v>
      </c>
      <c r="D2883" s="3" t="str">
        <f>IFERROR(__xludf.DUMMYFUNCTION("GOOGLETRANSLATE(A2883, ""nl"", ""en"")"),"Human Figures and Physicality")</f>
        <v>Human Figures and Physicality</v>
      </c>
      <c r="E2883" s="3" t="str">
        <f>IFERROR(__xludf.DUMMYFUNCTION("GOOGLETRANSLATE(B2883, ""nl"", ""en"")"),"A face that fades into abstraction")</f>
        <v>A face that fades into abstraction</v>
      </c>
    </row>
    <row r="2884" ht="15.75" customHeight="1">
      <c r="A2884" s="3" t="s">
        <v>15</v>
      </c>
      <c r="B2884" s="3" t="s">
        <v>46</v>
      </c>
      <c r="D2884" s="3" t="str">
        <f>IFERROR(__xludf.DUMMYFUNCTION("GOOGLETRANSLATE(A2884, ""nl"", ""en"")"),"Animals and Organic Forms")</f>
        <v>Animals and Organic Forms</v>
      </c>
      <c r="E2884" s="3" t="str">
        <f>IFERROR(__xludf.DUMMYFUNCTION("GOOGLETRANSLATE(B2884, ""nl"", ""en"")"),"A flock of fish moving as one")</f>
        <v>A flock of fish moving as one</v>
      </c>
    </row>
    <row r="2885" ht="15.75" customHeight="1">
      <c r="A2885" s="3" t="s">
        <v>12</v>
      </c>
      <c r="B2885" s="3" t="s">
        <v>30</v>
      </c>
      <c r="D2885" s="3" t="str">
        <f>IFERROR(__xludf.DUMMYFUNCTION("GOOGLETRANSLATE(A2885, ""nl"", ""en"")"),"Nature and Elements")</f>
        <v>Nature and Elements</v>
      </c>
      <c r="E2885" s="3" t="str">
        <f>IFERROR(__xludf.DUMMYFUNCTION("GOOGLETRANSLATE(B2885, ""nl"", ""en"")"),"Waves breaking in fractal patterns")</f>
        <v>Waves breaking in fractal patterns</v>
      </c>
    </row>
    <row r="2886" ht="15.75" customHeight="1">
      <c r="A2886" s="3" t="s">
        <v>12</v>
      </c>
      <c r="B2886" s="3" t="s">
        <v>47</v>
      </c>
      <c r="D2886" s="3" t="str">
        <f>IFERROR(__xludf.DUMMYFUNCTION("GOOGLETRANSLATE(A2886, ""nl"", ""en"")"),"Nature and Elements")</f>
        <v>Nature and Elements</v>
      </c>
      <c r="E2886" s="3" t="str">
        <f>IFERROR(__xludf.DUMMYFUNCTION("GOOGLETRANSLATE(B2886, ""nl"", ""en"")"),"A desert landscape that slowly changes")</f>
        <v>A desert landscape that slowly changes</v>
      </c>
    </row>
    <row r="2887" ht="15.75" customHeight="1">
      <c r="A2887" s="3" t="s">
        <v>9</v>
      </c>
      <c r="B2887" s="3" t="s">
        <v>42</v>
      </c>
      <c r="D2887" s="3" t="str">
        <f>IFERROR(__xludf.DUMMYFUNCTION("GOOGLETRANSLATE(A2887, ""nl"", ""en"")"),"Psychological and Emotional Interpretations")</f>
        <v>Psychological and Emotional Interpretations</v>
      </c>
      <c r="E2887" s="3" t="str">
        <f>IFERROR(__xludf.DUMMYFUNCTION("GOOGLETRANSLATE(B2887, ""nl"", ""en"")"),"A mask that slowly disappears")</f>
        <v>A mask that slowly disappears</v>
      </c>
    </row>
    <row r="2888" ht="15.75" customHeight="1">
      <c r="A2888" s="3" t="s">
        <v>7</v>
      </c>
      <c r="B2888" s="3" t="s">
        <v>56</v>
      </c>
      <c r="D2888" s="3" t="str">
        <f>IFERROR(__xludf.DUMMYFUNCTION("GOOGLETRANSLATE(A2888, ""nl"", ""en"")"),"Human Figures and Physicality")</f>
        <v>Human Figures and Physicality</v>
      </c>
      <c r="E2888" s="3" t="str">
        <f>IFERROR(__xludf.DUMMYFUNCTION("GOOGLETRANSLATE(B2888, ""nl"", ""en"")"),"A shadow that seems to move")</f>
        <v>A shadow that seems to move</v>
      </c>
    </row>
    <row r="2889" ht="15.75" customHeight="1">
      <c r="A2889" s="3" t="s">
        <v>24</v>
      </c>
      <c r="B2889" s="3" t="s">
        <v>25</v>
      </c>
      <c r="D2889" s="3" t="str">
        <f>IFERROR(__xludf.DUMMYFUNCTION("GOOGLETRANSLATE(A2889, ""nl"", ""en"")"),"Cosmic and Abstract Patterns")</f>
        <v>Cosmic and Abstract Patterns</v>
      </c>
      <c r="E2889" s="3" t="str">
        <f>IFERROR(__xludf.DUMMYFUNCTION("GOOGLETRANSLATE(B2889, ""nl"", ""en"")"),"A meteor shower dissolving into each other")</f>
        <v>A meteor shower dissolving into each other</v>
      </c>
    </row>
    <row r="2890" ht="15.75" customHeight="1">
      <c r="A2890" s="3" t="s">
        <v>12</v>
      </c>
      <c r="B2890" s="3" t="s">
        <v>36</v>
      </c>
      <c r="D2890" s="3" t="str">
        <f>IFERROR(__xludf.DUMMYFUNCTION("GOOGLETRANSLATE(A2890, ""nl"", ""en"")"),"Nature and Elements")</f>
        <v>Nature and Elements</v>
      </c>
      <c r="E2890" s="3" t="str">
        <f>IFERROR(__xludf.DUMMYFUNCTION("GOOGLETRANSLATE(B2890, ""nl"", ""en"")"),"A river delta from a bird's-eye view")</f>
        <v>A river delta from a bird's-eye view</v>
      </c>
    </row>
    <row r="2891" ht="15.75" customHeight="1">
      <c r="A2891" s="3" t="s">
        <v>12</v>
      </c>
      <c r="B2891" s="3" t="s">
        <v>18</v>
      </c>
      <c r="D2891" s="3" t="str">
        <f>IFERROR(__xludf.DUMMYFUNCTION("GOOGLETRANSLATE(A2891, ""nl"", ""en"")"),"Nature and Elements")</f>
        <v>Nature and Elements</v>
      </c>
      <c r="E2891" s="3" t="str">
        <f>IFERROR(__xludf.DUMMYFUNCTION("GOOGLETRANSLATE(B2891, ""nl"", ""en"")"),"A tree with endless branches")</f>
        <v>A tree with endless branches</v>
      </c>
    </row>
    <row r="2892" ht="15.75" customHeight="1">
      <c r="A2892" s="3" t="s">
        <v>15</v>
      </c>
      <c r="B2892" s="3" t="s">
        <v>16</v>
      </c>
      <c r="D2892" s="3" t="str">
        <f>IFERROR(__xludf.DUMMYFUNCTION("GOOGLETRANSLATE(A2892, ""nl"", ""en"")"),"Animals and Organic Forms")</f>
        <v>Animals and Organic Forms</v>
      </c>
      <c r="E2892" s="3" t="str">
        <f>IFERROR(__xludf.DUMMYFUNCTION("GOOGLETRANSLATE(B2892, ""nl"", ""en"")"),"A butterfly in transformation")</f>
        <v>A butterfly in transformation</v>
      </c>
    </row>
    <row r="2893" ht="15.75" customHeight="1">
      <c r="A2893" s="3" t="s">
        <v>24</v>
      </c>
      <c r="B2893" s="3" t="s">
        <v>29</v>
      </c>
      <c r="D2893" s="3" t="str">
        <f>IFERROR(__xludf.DUMMYFUNCTION("GOOGLETRANSLATE(A2893, ""nl"", ""en"")"),"Cosmic and Abstract Patterns")</f>
        <v>Cosmic and Abstract Patterns</v>
      </c>
      <c r="E2893" s="3" t="str">
        <f>IFERROR(__xludf.DUMMYFUNCTION("GOOGLETRANSLATE(B2893, ""nl"", ""en"")"),"A galaxy unfolding")</f>
        <v>A galaxy unfolding</v>
      </c>
    </row>
    <row r="2894" ht="15.75" customHeight="1">
      <c r="A2894" s="3" t="s">
        <v>7</v>
      </c>
      <c r="B2894" s="3" t="s">
        <v>40</v>
      </c>
      <c r="D2894" s="3" t="str">
        <f>IFERROR(__xludf.DUMMYFUNCTION("GOOGLETRANSLATE(A2894, ""nl"", ""en"")"),"Human Figures and Physicality")</f>
        <v>Human Figures and Physicality</v>
      </c>
      <c r="E2894" s="3" t="str">
        <f>IFERROR(__xludf.DUMMYFUNCTION("GOOGLETRANSLATE(B2894, ""nl"", ""en"")"),"A figure who is withdrawn into himself")</f>
        <v>A figure who is withdrawn into himself</v>
      </c>
    </row>
    <row r="2895" ht="15.75" customHeight="1">
      <c r="A2895" s="3" t="s">
        <v>4</v>
      </c>
      <c r="B2895" s="3" t="s">
        <v>43</v>
      </c>
      <c r="D2895" s="3" t="str">
        <f>IFERROR(__xludf.DUMMYFUNCTION("GOOGLETRANSLATE(A2895, ""nl"", ""en"")"),"Architectural and Structural Associations")</f>
        <v>Architectural and Structural Associations</v>
      </c>
      <c r="E2895" s="3" t="str">
        <f>IFERROR(__xludf.DUMMYFUNCTION("GOOGLETRANSLATE(B2895, ""nl"", ""en"")"),"A network of tunnels and passages")</f>
        <v>A network of tunnels and passages</v>
      </c>
    </row>
    <row r="2896" ht="15.75" customHeight="1">
      <c r="A2896" s="3" t="s">
        <v>24</v>
      </c>
      <c r="B2896" s="3" t="s">
        <v>33</v>
      </c>
      <c r="D2896" s="3" t="str">
        <f>IFERROR(__xludf.DUMMYFUNCTION("GOOGLETRANSLATE(A2896, ""nl"", ""en"")"),"Cosmic and Abstract Patterns")</f>
        <v>Cosmic and Abstract Patterns</v>
      </c>
      <c r="E2896" s="3" t="str">
        <f>IFERROR(__xludf.DUMMYFUNCTION("GOOGLETRANSLATE(B2896, ""nl"", ""en"")"),"An eye that repeats itself in endless patterns")</f>
        <v>An eye that repeats itself in endless patterns</v>
      </c>
    </row>
    <row r="2897" ht="15.75" customHeight="1">
      <c r="A2897" s="3" t="s">
        <v>12</v>
      </c>
      <c r="B2897" s="3" t="s">
        <v>30</v>
      </c>
      <c r="D2897" s="3" t="str">
        <f>IFERROR(__xludf.DUMMYFUNCTION("GOOGLETRANSLATE(A2897, ""nl"", ""en"")"),"Nature and Elements")</f>
        <v>Nature and Elements</v>
      </c>
      <c r="E2897" s="3" t="str">
        <f>IFERROR(__xludf.DUMMYFUNCTION("GOOGLETRANSLATE(B2897, ""nl"", ""en"")"),"Waves breaking in fractal patterns")</f>
        <v>Waves breaking in fractal patterns</v>
      </c>
    </row>
    <row r="2898" ht="15.75" customHeight="1">
      <c r="A2898" s="3" t="s">
        <v>12</v>
      </c>
      <c r="B2898" s="3" t="s">
        <v>30</v>
      </c>
      <c r="D2898" s="3" t="str">
        <f>IFERROR(__xludf.DUMMYFUNCTION("GOOGLETRANSLATE(A2898, ""nl"", ""en"")"),"Nature and Elements")</f>
        <v>Nature and Elements</v>
      </c>
      <c r="E2898" s="3" t="str">
        <f>IFERROR(__xludf.DUMMYFUNCTION("GOOGLETRANSLATE(B2898, ""nl"", ""en"")"),"Waves breaking in fractal patterns")</f>
        <v>Waves breaking in fractal patterns</v>
      </c>
    </row>
    <row r="2899" ht="15.75" customHeight="1">
      <c r="A2899" s="3" t="s">
        <v>7</v>
      </c>
      <c r="B2899" s="3" t="s">
        <v>39</v>
      </c>
      <c r="D2899" s="3" t="str">
        <f>IFERROR(__xludf.DUMMYFUNCTION("GOOGLETRANSLATE(A2899, ""nl"", ""en"")"),"Human Figures and Physicality")</f>
        <v>Human Figures and Physicality</v>
      </c>
      <c r="E2899" s="3" t="str">
        <f>IFERROR(__xludf.DUMMYFUNCTION("GOOGLETRANSLATE(B2899, ""nl"", ""en"")"),"A torso without a head")</f>
        <v>A torso without a head</v>
      </c>
    </row>
    <row r="2900" ht="15.75" customHeight="1">
      <c r="A2900" s="3" t="s">
        <v>7</v>
      </c>
      <c r="B2900" s="3" t="s">
        <v>40</v>
      </c>
      <c r="D2900" s="3" t="str">
        <f>IFERROR(__xludf.DUMMYFUNCTION("GOOGLETRANSLATE(A2900, ""nl"", ""en"")"),"Human Figures and Physicality")</f>
        <v>Human Figures and Physicality</v>
      </c>
      <c r="E2900" s="3" t="str">
        <f>IFERROR(__xludf.DUMMYFUNCTION("GOOGLETRANSLATE(B2900, ""nl"", ""en"")"),"A figure who is withdrawn into himself")</f>
        <v>A figure who is withdrawn into himself</v>
      </c>
    </row>
    <row r="2901" ht="15.75" customHeight="1">
      <c r="A2901" s="3" t="s">
        <v>7</v>
      </c>
      <c r="B2901" s="3" t="s">
        <v>34</v>
      </c>
      <c r="D2901" s="3" t="str">
        <f>IFERROR(__xludf.DUMMYFUNCTION("GOOGLETRANSLATE(A2901, ""nl"", ""en"")"),"Human Figures and Physicality")</f>
        <v>Human Figures and Physicality</v>
      </c>
      <c r="E2901" s="3" t="str">
        <f>IFERROR(__xludf.DUMMYFUNCTION("GOOGLETRANSLATE(B2901, ""nl"", ""en"")"),"Hands almost touching")</f>
        <v>Hands almost touching</v>
      </c>
    </row>
    <row r="2902" ht="15.75" customHeight="1">
      <c r="A2902" s="3" t="s">
        <v>15</v>
      </c>
      <c r="B2902" s="3" t="s">
        <v>26</v>
      </c>
      <c r="D2902" s="3" t="str">
        <f>IFERROR(__xludf.DUMMYFUNCTION("GOOGLETRANSLATE(A2902, ""nl"", ""en"")"),"Animals and Organic Forms")</f>
        <v>Animals and Organic Forms</v>
      </c>
      <c r="E2902" s="3" t="str">
        <f>IFERROR(__xludf.DUMMYFUNCTION("GOOGLETRANSLATE(B2902, ""nl"", ""en"")"),"A frog preparing to jump")</f>
        <v>A frog preparing to jump</v>
      </c>
    </row>
    <row r="2903" ht="15.75" customHeight="1">
      <c r="A2903" s="3" t="s">
        <v>7</v>
      </c>
      <c r="B2903" s="3" t="s">
        <v>8</v>
      </c>
      <c r="D2903" s="3" t="str">
        <f>IFERROR(__xludf.DUMMYFUNCTION("GOOGLETRANSLATE(A2903, ""nl"", ""en"")"),"Human Figures and Physicality")</f>
        <v>Human Figures and Physicality</v>
      </c>
      <c r="E2903" s="3" t="str">
        <f>IFERROR(__xludf.DUMMYFUNCTION("GOOGLETRANSLATE(B2903, ""nl"", ""en"")"),"Two figures mirroring each other")</f>
        <v>Two figures mirroring each other</v>
      </c>
    </row>
    <row r="2904" ht="15.75" customHeight="1">
      <c r="A2904" s="3" t="s">
        <v>15</v>
      </c>
      <c r="B2904" s="3" t="s">
        <v>46</v>
      </c>
      <c r="D2904" s="3" t="str">
        <f>IFERROR(__xludf.DUMMYFUNCTION("GOOGLETRANSLATE(A2904, ""nl"", ""en"")"),"Animals and Organic Forms")</f>
        <v>Animals and Organic Forms</v>
      </c>
      <c r="E2904" s="3" t="str">
        <f>IFERROR(__xludf.DUMMYFUNCTION("GOOGLETRANSLATE(B2904, ""nl"", ""en"")"),"A flock of fish moving as one")</f>
        <v>A flock of fish moving as one</v>
      </c>
    </row>
    <row r="2905" ht="15.75" customHeight="1">
      <c r="A2905" s="3" t="s">
        <v>24</v>
      </c>
      <c r="B2905" s="3" t="s">
        <v>32</v>
      </c>
      <c r="D2905" s="3" t="str">
        <f>IFERROR(__xludf.DUMMYFUNCTION("GOOGLETRANSLATE(A2905, ""nl"", ""en"")"),"Cosmic and Abstract Patterns")</f>
        <v>Cosmic and Abstract Patterns</v>
      </c>
      <c r="E2905" s="3" t="str">
        <f>IFERROR(__xludf.DUMMYFUNCTION("GOOGLETRANSLATE(B2905, ""nl"", ""en"")"),"A time loop captured in image")</f>
        <v>A time loop captured in image</v>
      </c>
    </row>
    <row r="2906" ht="15.75" customHeight="1">
      <c r="A2906" s="3" t="s">
        <v>4</v>
      </c>
      <c r="B2906" s="3" t="s">
        <v>55</v>
      </c>
      <c r="D2906" s="3" t="str">
        <f>IFERROR(__xludf.DUMMYFUNCTION("GOOGLETRANSLATE(A2906, ""nl"", ""en"")"),"Architectural and Structural Associations")</f>
        <v>Architectural and Structural Associations</v>
      </c>
      <c r="E2906" s="3" t="str">
        <f>IFERROR(__xludf.DUMMYFUNCTION("GOOGLETRANSLATE(B2906, ""nl"", ""en"")"),"A prism that splits light into colors")</f>
        <v>A prism that splits light into colors</v>
      </c>
    </row>
    <row r="2907" ht="15.75" customHeight="1">
      <c r="A2907" s="3" t="s">
        <v>12</v>
      </c>
      <c r="B2907" s="3" t="s">
        <v>36</v>
      </c>
      <c r="D2907" s="3" t="str">
        <f>IFERROR(__xludf.DUMMYFUNCTION("GOOGLETRANSLATE(A2907, ""nl"", ""en"")"),"Nature and Elements")</f>
        <v>Nature and Elements</v>
      </c>
      <c r="E2907" s="3" t="str">
        <f>IFERROR(__xludf.DUMMYFUNCTION("GOOGLETRANSLATE(B2907, ""nl"", ""en"")"),"A river delta from a bird's-eye view")</f>
        <v>A river delta from a bird's-eye view</v>
      </c>
    </row>
    <row r="2908" ht="15.75" customHeight="1">
      <c r="A2908" s="3" t="s">
        <v>7</v>
      </c>
      <c r="B2908" s="3" t="s">
        <v>8</v>
      </c>
      <c r="D2908" s="3" t="str">
        <f>IFERROR(__xludf.DUMMYFUNCTION("GOOGLETRANSLATE(A2908, ""nl"", ""en"")"),"Human Figures and Physicality")</f>
        <v>Human Figures and Physicality</v>
      </c>
      <c r="E2908" s="3" t="str">
        <f>IFERROR(__xludf.DUMMYFUNCTION("GOOGLETRANSLATE(B2908, ""nl"", ""en"")"),"Two figures mirroring each other")</f>
        <v>Two figures mirroring each other</v>
      </c>
    </row>
    <row r="2909" ht="15.75" customHeight="1">
      <c r="A2909" s="3" t="s">
        <v>7</v>
      </c>
      <c r="B2909" s="3" t="s">
        <v>34</v>
      </c>
      <c r="D2909" s="3" t="str">
        <f>IFERROR(__xludf.DUMMYFUNCTION("GOOGLETRANSLATE(A2909, ""nl"", ""en"")"),"Human Figures and Physicality")</f>
        <v>Human Figures and Physicality</v>
      </c>
      <c r="E2909" s="3" t="str">
        <f>IFERROR(__xludf.DUMMYFUNCTION("GOOGLETRANSLATE(B2909, ""nl"", ""en"")"),"Hands almost touching")</f>
        <v>Hands almost touching</v>
      </c>
    </row>
    <row r="2910" ht="15.75" customHeight="1">
      <c r="A2910" s="3" t="s">
        <v>15</v>
      </c>
      <c r="B2910" s="3" t="s">
        <v>26</v>
      </c>
      <c r="D2910" s="3" t="str">
        <f>IFERROR(__xludf.DUMMYFUNCTION("GOOGLETRANSLATE(A2910, ""nl"", ""en"")"),"Animals and Organic Forms")</f>
        <v>Animals and Organic Forms</v>
      </c>
      <c r="E2910" s="3" t="str">
        <f>IFERROR(__xludf.DUMMYFUNCTION("GOOGLETRANSLATE(B2910, ""nl"", ""en"")"),"A frog preparing to jump")</f>
        <v>A frog preparing to jump</v>
      </c>
    </row>
    <row r="2911" ht="15.75" customHeight="1">
      <c r="A2911" s="3" t="s">
        <v>15</v>
      </c>
      <c r="B2911" s="3" t="s">
        <v>26</v>
      </c>
      <c r="D2911" s="3" t="str">
        <f>IFERROR(__xludf.DUMMYFUNCTION("GOOGLETRANSLATE(A2911, ""nl"", ""en"")"),"Animals and Organic Forms")</f>
        <v>Animals and Organic Forms</v>
      </c>
      <c r="E2911" s="3" t="str">
        <f>IFERROR(__xludf.DUMMYFUNCTION("GOOGLETRANSLATE(B2911, ""nl"", ""en"")"),"A frog preparing to jump")</f>
        <v>A frog preparing to jump</v>
      </c>
    </row>
    <row r="2912" ht="15.75" customHeight="1">
      <c r="A2912" s="3" t="s">
        <v>7</v>
      </c>
      <c r="B2912" s="3" t="s">
        <v>28</v>
      </c>
      <c r="D2912" s="3" t="str">
        <f>IFERROR(__xludf.DUMMYFUNCTION("GOOGLETRANSLATE(A2912, ""nl"", ""en"")"),"Human Figures and Physicality")</f>
        <v>Human Figures and Physicality</v>
      </c>
      <c r="E2912" s="3" t="str">
        <f>IFERROR(__xludf.DUMMYFUNCTION("GOOGLETRANSLATE(B2912, ""nl"", ""en"")"),"A dancing silhouette")</f>
        <v>A dancing silhouette</v>
      </c>
    </row>
    <row r="2913" ht="15.75" customHeight="1">
      <c r="A2913" s="3" t="s">
        <v>4</v>
      </c>
      <c r="B2913" s="3" t="s">
        <v>44</v>
      </c>
      <c r="D2913" s="3" t="str">
        <f>IFERROR(__xludf.DUMMYFUNCTION("GOOGLETRANSLATE(A2913, ""nl"", ""en"")"),"Architectural and Structural Associations")</f>
        <v>Architectural and Structural Associations</v>
      </c>
      <c r="E2913" s="3" t="str">
        <f>IFERROR(__xludf.DUMMYFUNCTION("GOOGLETRANSLATE(B2913, ""nl"", ""en"")"),"A structure that pulsates in waves")</f>
        <v>A structure that pulsates in waves</v>
      </c>
    </row>
    <row r="2914" ht="15.75" customHeight="1">
      <c r="A2914" s="3" t="s">
        <v>15</v>
      </c>
      <c r="B2914" s="3" t="s">
        <v>22</v>
      </c>
      <c r="D2914" s="3" t="str">
        <f>IFERROR(__xludf.DUMMYFUNCTION("GOOGLETRANSLATE(A2914, ""nl"", ""en"")"),"Animals and Organic Forms")</f>
        <v>Animals and Organic Forms</v>
      </c>
      <c r="E2914" s="3" t="str">
        <f>IFERROR(__xludf.DUMMYFUNCTION("GOOGLETRANSLATE(B2914, ""nl"", ""en"")"),"A bird taking off")</f>
        <v>A bird taking off</v>
      </c>
    </row>
    <row r="2915" ht="15.75" customHeight="1">
      <c r="A2915" s="3" t="s">
        <v>24</v>
      </c>
      <c r="B2915" s="3" t="s">
        <v>27</v>
      </c>
      <c r="D2915" s="3" t="str">
        <f>IFERROR(__xludf.DUMMYFUNCTION("GOOGLETRANSLATE(A2915, ""nl"", ""en"")"),"Cosmic and Abstract Patterns")</f>
        <v>Cosmic and Abstract Patterns</v>
      </c>
      <c r="E2915" s="3" t="str">
        <f>IFERROR(__xludf.DUMMYFUNCTION("GOOGLETRANSLATE(B2915, ""nl"", ""en"")"),"A pair of black holes in dance")</f>
        <v>A pair of black holes in dance</v>
      </c>
    </row>
    <row r="2916" ht="15.75" customHeight="1">
      <c r="A2916" s="3" t="s">
        <v>7</v>
      </c>
      <c r="B2916" s="3" t="s">
        <v>56</v>
      </c>
      <c r="D2916" s="3" t="str">
        <f>IFERROR(__xludf.DUMMYFUNCTION("GOOGLETRANSLATE(A2916, ""nl"", ""en"")"),"Human Figures and Physicality")</f>
        <v>Human Figures and Physicality</v>
      </c>
      <c r="E2916" s="3" t="str">
        <f>IFERROR(__xludf.DUMMYFUNCTION("GOOGLETRANSLATE(B2916, ""nl"", ""en"")"),"A shadow that seems to move")</f>
        <v>A shadow that seems to move</v>
      </c>
    </row>
    <row r="2917" ht="15.75" customHeight="1">
      <c r="A2917" s="3" t="s">
        <v>24</v>
      </c>
      <c r="B2917" s="3" t="s">
        <v>33</v>
      </c>
      <c r="D2917" s="3" t="str">
        <f>IFERROR(__xludf.DUMMYFUNCTION("GOOGLETRANSLATE(A2917, ""nl"", ""en"")"),"Cosmic and Abstract Patterns")</f>
        <v>Cosmic and Abstract Patterns</v>
      </c>
      <c r="E2917" s="3" t="str">
        <f>IFERROR(__xludf.DUMMYFUNCTION("GOOGLETRANSLATE(B2917, ""nl"", ""en"")"),"An eye that repeats itself in endless patterns")</f>
        <v>An eye that repeats itself in endless patterns</v>
      </c>
    </row>
    <row r="2918" ht="15.75" customHeight="1">
      <c r="A2918" s="3" t="s">
        <v>4</v>
      </c>
      <c r="B2918" s="3" t="s">
        <v>6</v>
      </c>
      <c r="D2918" s="3" t="str">
        <f>IFERROR(__xludf.DUMMYFUNCTION("GOOGLETRANSLATE(A2918, ""nl"", ""en"")"),"Architectural and Structural Associations")</f>
        <v>Architectural and Structural Associations</v>
      </c>
      <c r="E2918" s="3" t="str">
        <f>IFERROR(__xludf.DUMMYFUNCTION("GOOGLETRANSLATE(B2918, ""nl"", ""en"")"),"An endless labyrinth")</f>
        <v>An endless labyrinth</v>
      </c>
    </row>
    <row r="2919" ht="15.75" customHeight="1">
      <c r="A2919" s="3" t="s">
        <v>9</v>
      </c>
      <c r="B2919" s="3" t="s">
        <v>10</v>
      </c>
      <c r="D2919" s="3" t="str">
        <f>IFERROR(__xludf.DUMMYFUNCTION("GOOGLETRANSLATE(A2919, ""nl"", ""en"")"),"Psychological and Emotional Interpretations")</f>
        <v>Psychological and Emotional Interpretations</v>
      </c>
      <c r="E2919" s="3" t="str">
        <f>IFERROR(__xludf.DUMMYFUNCTION("GOOGLETRANSLATE(B2919, ""nl"", ""en"")"),"A face transforming in light")</f>
        <v>A face transforming in light</v>
      </c>
    </row>
    <row r="2920" ht="15.75" customHeight="1">
      <c r="A2920" s="3" t="s">
        <v>24</v>
      </c>
      <c r="B2920" s="3" t="s">
        <v>48</v>
      </c>
      <c r="D2920" s="3" t="str">
        <f>IFERROR(__xludf.DUMMYFUNCTION("GOOGLETRANSLATE(A2920, ""nl"", ""en"")"),"Cosmic and Abstract Patterns")</f>
        <v>Cosmic and Abstract Patterns</v>
      </c>
      <c r="E2920" s="3" t="str">
        <f>IFERROR(__xludf.DUMMYFUNCTION("GOOGLETRANSLATE(B2920, ""nl"", ""en"")"),"A fractal that repeats itself")</f>
        <v>A fractal that repeats itself</v>
      </c>
    </row>
    <row r="2921" ht="15.75" customHeight="1">
      <c r="A2921" s="3" t="s">
        <v>12</v>
      </c>
      <c r="B2921" s="3" t="s">
        <v>23</v>
      </c>
      <c r="D2921" s="3" t="str">
        <f>IFERROR(__xludf.DUMMYFUNCTION("GOOGLETRANSLATE(A2921, ""nl"", ""en"")"),"Nature and Elements")</f>
        <v>Nature and Elements</v>
      </c>
      <c r="E2921" s="3" t="str">
        <f>IFERROR(__xludf.DUMMYFUNCTION("GOOGLETRANSLATE(B2921, ""nl"", ""en"")"),"A storm cloud splitting in two")</f>
        <v>A storm cloud splitting in two</v>
      </c>
    </row>
    <row r="2922" ht="15.75" customHeight="1">
      <c r="A2922" s="3" t="s">
        <v>24</v>
      </c>
      <c r="B2922" s="3" t="s">
        <v>31</v>
      </c>
      <c r="D2922" s="3" t="str">
        <f>IFERROR(__xludf.DUMMYFUNCTION("GOOGLETRANSLATE(A2922, ""nl"", ""en"")"),"Cosmic and Abstract Patterns")</f>
        <v>Cosmic and Abstract Patterns</v>
      </c>
      <c r="E2922" s="3" t="str">
        <f>IFERROR(__xludf.DUMMYFUNCTION("GOOGLETRANSLATE(B2922, ""nl"", ""en"")"),"A planet with unusual rings")</f>
        <v>A planet with unusual rings</v>
      </c>
    </row>
    <row r="2923" ht="15.75" customHeight="1">
      <c r="A2923" s="3" t="s">
        <v>7</v>
      </c>
      <c r="B2923" s="3" t="s">
        <v>8</v>
      </c>
      <c r="D2923" s="3" t="str">
        <f>IFERROR(__xludf.DUMMYFUNCTION("GOOGLETRANSLATE(A2923, ""nl"", ""en"")"),"Human Figures and Physicality")</f>
        <v>Human Figures and Physicality</v>
      </c>
      <c r="E2923" s="3" t="str">
        <f>IFERROR(__xludf.DUMMYFUNCTION("GOOGLETRANSLATE(B2923, ""nl"", ""en"")"),"Two figures mirroring each other")</f>
        <v>Two figures mirroring each other</v>
      </c>
    </row>
    <row r="2924" ht="15.75" customHeight="1">
      <c r="A2924" s="3" t="s">
        <v>7</v>
      </c>
      <c r="B2924" s="3" t="s">
        <v>34</v>
      </c>
      <c r="D2924" s="3" t="str">
        <f>IFERROR(__xludf.DUMMYFUNCTION("GOOGLETRANSLATE(A2924, ""nl"", ""en"")"),"Human Figures and Physicality")</f>
        <v>Human Figures and Physicality</v>
      </c>
      <c r="E2924" s="3" t="str">
        <f>IFERROR(__xludf.DUMMYFUNCTION("GOOGLETRANSLATE(B2924, ""nl"", ""en"")"),"Hands almost touching")</f>
        <v>Hands almost touching</v>
      </c>
    </row>
    <row r="2925" ht="15.75" customHeight="1">
      <c r="A2925" s="3" t="s">
        <v>9</v>
      </c>
      <c r="B2925" s="3" t="s">
        <v>37</v>
      </c>
      <c r="D2925" s="3" t="str">
        <f>IFERROR(__xludf.DUMMYFUNCTION("GOOGLETRANSLATE(A2925, ""nl"", ""en"")"),"Psychological and Emotional Interpretations")</f>
        <v>Psychological and Emotional Interpretations</v>
      </c>
      <c r="E2925" s="3" t="str">
        <f>IFERROR(__xludf.DUMMYFUNCTION("GOOGLETRANSLATE(B2925, ""nl"", ""en"")"),"A figure looking through itself")</f>
        <v>A figure looking through itself</v>
      </c>
    </row>
    <row r="2926" ht="15.75" customHeight="1">
      <c r="A2926" s="3" t="s">
        <v>4</v>
      </c>
      <c r="B2926" s="3" t="s">
        <v>6</v>
      </c>
      <c r="D2926" s="3" t="str">
        <f>IFERROR(__xludf.DUMMYFUNCTION("GOOGLETRANSLATE(A2926, ""nl"", ""en"")"),"Architectural and Structural Associations")</f>
        <v>Architectural and Structural Associations</v>
      </c>
      <c r="E2926" s="3" t="str">
        <f>IFERROR(__xludf.DUMMYFUNCTION("GOOGLETRANSLATE(B2926, ""nl"", ""en"")"),"An endless labyrinth")</f>
        <v>An endless labyrinth</v>
      </c>
    </row>
    <row r="2927" ht="15.75" customHeight="1">
      <c r="A2927" s="3" t="s">
        <v>12</v>
      </c>
      <c r="B2927" s="3" t="s">
        <v>13</v>
      </c>
      <c r="D2927" s="3" t="str">
        <f>IFERROR(__xludf.DUMMYFUNCTION("GOOGLETRANSLATE(A2927, ""nl"", ""en"")"),"Nature and Elements")</f>
        <v>Nature and Elements</v>
      </c>
      <c r="E2927" s="3" t="str">
        <f>IFERROR(__xludf.DUMMYFUNCTION("GOOGLETRANSLATE(B2927, ""nl"", ""en"")"),"A lightning strike in slow motion")</f>
        <v>A lightning strike in slow motion</v>
      </c>
    </row>
    <row r="2928" ht="15.75" customHeight="1">
      <c r="A2928" s="3" t="s">
        <v>24</v>
      </c>
      <c r="B2928" s="3" t="s">
        <v>33</v>
      </c>
      <c r="D2928" s="3" t="str">
        <f>IFERROR(__xludf.DUMMYFUNCTION("GOOGLETRANSLATE(A2928, ""nl"", ""en"")"),"Cosmic and Abstract Patterns")</f>
        <v>Cosmic and Abstract Patterns</v>
      </c>
      <c r="E2928" s="3" t="str">
        <f>IFERROR(__xludf.DUMMYFUNCTION("GOOGLETRANSLATE(B2928, ""nl"", ""en"")"),"An eye that repeats itself in endless patterns")</f>
        <v>An eye that repeats itself in endless patterns</v>
      </c>
    </row>
    <row r="2929" ht="15.75" customHeight="1">
      <c r="A2929" s="3" t="s">
        <v>12</v>
      </c>
      <c r="B2929" s="3" t="s">
        <v>23</v>
      </c>
      <c r="D2929" s="3" t="str">
        <f>IFERROR(__xludf.DUMMYFUNCTION("GOOGLETRANSLATE(A2929, ""nl"", ""en"")"),"Nature and Elements")</f>
        <v>Nature and Elements</v>
      </c>
      <c r="E2929" s="3" t="str">
        <f>IFERROR(__xludf.DUMMYFUNCTION("GOOGLETRANSLATE(B2929, ""nl"", ""en"")"),"A storm cloud splitting in two")</f>
        <v>A storm cloud splitting in two</v>
      </c>
    </row>
    <row r="2930" ht="15.75" customHeight="1">
      <c r="A2930" s="3" t="s">
        <v>7</v>
      </c>
      <c r="B2930" s="3" t="s">
        <v>34</v>
      </c>
      <c r="D2930" s="3" t="str">
        <f>IFERROR(__xludf.DUMMYFUNCTION("GOOGLETRANSLATE(A2930, ""nl"", ""en"")"),"Human Figures and Physicality")</f>
        <v>Human Figures and Physicality</v>
      </c>
      <c r="E2930" s="3" t="str">
        <f>IFERROR(__xludf.DUMMYFUNCTION("GOOGLETRANSLATE(B2930, ""nl"", ""en"")"),"Hands almost touching")</f>
        <v>Hands almost touching</v>
      </c>
    </row>
    <row r="2931" ht="15.75" customHeight="1">
      <c r="A2931" s="3" t="s">
        <v>24</v>
      </c>
      <c r="B2931" s="3" t="s">
        <v>32</v>
      </c>
      <c r="D2931" s="3" t="str">
        <f>IFERROR(__xludf.DUMMYFUNCTION("GOOGLETRANSLATE(A2931, ""nl"", ""en"")"),"Cosmic and Abstract Patterns")</f>
        <v>Cosmic and Abstract Patterns</v>
      </c>
      <c r="E2931" s="3" t="str">
        <f>IFERROR(__xludf.DUMMYFUNCTION("GOOGLETRANSLATE(B2931, ""nl"", ""en"")"),"A time loop captured in image")</f>
        <v>A time loop captured in image</v>
      </c>
    </row>
    <row r="2932" ht="15.75" customHeight="1">
      <c r="A2932" s="3" t="s">
        <v>15</v>
      </c>
      <c r="B2932" s="3" t="s">
        <v>16</v>
      </c>
      <c r="D2932" s="3" t="str">
        <f>IFERROR(__xludf.DUMMYFUNCTION("GOOGLETRANSLATE(A2932, ""nl"", ""en"")"),"Animals and Organic Forms")</f>
        <v>Animals and Organic Forms</v>
      </c>
      <c r="E2932" s="3" t="str">
        <f>IFERROR(__xludf.DUMMYFUNCTION("GOOGLETRANSLATE(B2932, ""nl"", ""en"")"),"A butterfly in transformation")</f>
        <v>A butterfly in transformation</v>
      </c>
    </row>
    <row r="2933" ht="15.75" customHeight="1">
      <c r="A2933" s="3" t="s">
        <v>15</v>
      </c>
      <c r="B2933" s="3" t="s">
        <v>50</v>
      </c>
      <c r="D2933" s="3" t="str">
        <f>IFERROR(__xludf.DUMMYFUNCTION("GOOGLETRANSLATE(A2933, ""nl"", ""en"")"),"Animals and Organic Forms")</f>
        <v>Animals and Organic Forms</v>
      </c>
      <c r="E2933" s="3" t="str">
        <f>IFERROR(__xludf.DUMMYFUNCTION("GOOGLETRANSLATE(B2933, ""nl"", ""en"")"),"A squid with extended tentacles")</f>
        <v>A squid with extended tentacles</v>
      </c>
    </row>
    <row r="2934" ht="15.75" customHeight="1">
      <c r="A2934" s="3" t="s">
        <v>7</v>
      </c>
      <c r="B2934" s="3" t="s">
        <v>39</v>
      </c>
      <c r="D2934" s="3" t="str">
        <f>IFERROR(__xludf.DUMMYFUNCTION("GOOGLETRANSLATE(A2934, ""nl"", ""en"")"),"Human Figures and Physicality")</f>
        <v>Human Figures and Physicality</v>
      </c>
      <c r="E2934" s="3" t="str">
        <f>IFERROR(__xludf.DUMMYFUNCTION("GOOGLETRANSLATE(B2934, ""nl"", ""en"")"),"A torso without a head")</f>
        <v>A torso without a head</v>
      </c>
    </row>
    <row r="2935" ht="15.75" customHeight="1">
      <c r="A2935" s="3" t="s">
        <v>4</v>
      </c>
      <c r="B2935" s="3" t="s">
        <v>35</v>
      </c>
      <c r="D2935" s="3" t="str">
        <f>IFERROR(__xludf.DUMMYFUNCTION("GOOGLETRANSLATE(A2935, ""nl"", ""en"")"),"Architectural and Structural Associations")</f>
        <v>Architectural and Structural Associations</v>
      </c>
      <c r="E2935" s="3" t="str">
        <f>IFERROR(__xludf.DUMMYFUNCTION("GOOGLETRANSLATE(B2935, ""nl"", ""en"")"),"A floating building without a base")</f>
        <v>A floating building without a base</v>
      </c>
    </row>
    <row r="2936" ht="15.75" customHeight="1">
      <c r="A2936" s="3" t="s">
        <v>12</v>
      </c>
      <c r="B2936" s="3" t="s">
        <v>18</v>
      </c>
      <c r="D2936" s="3" t="str">
        <f>IFERROR(__xludf.DUMMYFUNCTION("GOOGLETRANSLATE(A2936, ""nl"", ""en"")"),"Nature and Elements")</f>
        <v>Nature and Elements</v>
      </c>
      <c r="E2936" s="3" t="str">
        <f>IFERROR(__xludf.DUMMYFUNCTION("GOOGLETRANSLATE(B2936, ""nl"", ""en"")"),"A tree with endless branches")</f>
        <v>A tree with endless branches</v>
      </c>
    </row>
    <row r="2937" ht="15.75" customHeight="1">
      <c r="A2937" s="3" t="s">
        <v>24</v>
      </c>
      <c r="B2937" s="3" t="s">
        <v>25</v>
      </c>
      <c r="D2937" s="3" t="str">
        <f>IFERROR(__xludf.DUMMYFUNCTION("GOOGLETRANSLATE(A2937, ""nl"", ""en"")"),"Cosmic and Abstract Patterns")</f>
        <v>Cosmic and Abstract Patterns</v>
      </c>
      <c r="E2937" s="3" t="str">
        <f>IFERROR(__xludf.DUMMYFUNCTION("GOOGLETRANSLATE(B2937, ""nl"", ""en"")"),"A meteor shower dissolving into each other")</f>
        <v>A meteor shower dissolving into each other</v>
      </c>
    </row>
    <row r="2938" ht="15.75" customHeight="1">
      <c r="A2938" s="3" t="s">
        <v>12</v>
      </c>
      <c r="B2938" s="3" t="s">
        <v>13</v>
      </c>
      <c r="D2938" s="3" t="str">
        <f>IFERROR(__xludf.DUMMYFUNCTION("GOOGLETRANSLATE(A2938, ""nl"", ""en"")"),"Nature and Elements")</f>
        <v>Nature and Elements</v>
      </c>
      <c r="E2938" s="3" t="str">
        <f>IFERROR(__xludf.DUMMYFUNCTION("GOOGLETRANSLATE(B2938, ""nl"", ""en"")"),"A lightning strike in slow motion")</f>
        <v>A lightning strike in slow motion</v>
      </c>
    </row>
    <row r="2939" ht="15.75" customHeight="1">
      <c r="A2939" s="3" t="s">
        <v>24</v>
      </c>
      <c r="B2939" s="3" t="s">
        <v>48</v>
      </c>
      <c r="D2939" s="3" t="str">
        <f>IFERROR(__xludf.DUMMYFUNCTION("GOOGLETRANSLATE(A2939, ""nl"", ""en"")"),"Cosmic and Abstract Patterns")</f>
        <v>Cosmic and Abstract Patterns</v>
      </c>
      <c r="E2939" s="3" t="str">
        <f>IFERROR(__xludf.DUMMYFUNCTION("GOOGLETRANSLATE(B2939, ""nl"", ""en"")"),"A fractal that repeats itself")</f>
        <v>A fractal that repeats itself</v>
      </c>
    </row>
    <row r="2940" ht="15.75" customHeight="1">
      <c r="A2940" s="3" t="s">
        <v>4</v>
      </c>
      <c r="B2940" s="3" t="s">
        <v>20</v>
      </c>
      <c r="D2940" s="3" t="str">
        <f>IFERROR(__xludf.DUMMYFUNCTION("GOOGLETRANSLATE(A2940, ""nl"", ""en"")"),"Architectural and Structural Associations")</f>
        <v>Architectural and Structural Associations</v>
      </c>
      <c r="E2940" s="3" t="str">
        <f>IFERROR(__xludf.DUMMYFUNCTION("GOOGLETRANSLATE(B2940, ""nl"", ""en"")"),"A tower that grows by itself")</f>
        <v>A tower that grows by itself</v>
      </c>
    </row>
    <row r="2941" ht="15.75" customHeight="1">
      <c r="A2941" s="3" t="s">
        <v>7</v>
      </c>
      <c r="B2941" s="3" t="s">
        <v>41</v>
      </c>
      <c r="D2941" s="3" t="str">
        <f>IFERROR(__xludf.DUMMYFUNCTION("GOOGLETRANSLATE(A2941, ""nl"", ""en"")"),"Human Figures and Physicality")</f>
        <v>Human Figures and Physicality</v>
      </c>
      <c r="E2941" s="3" t="str">
        <f>IFERROR(__xludf.DUMMYFUNCTION("GOOGLETRANSLATE(B2941, ""nl"", ""en"")"),"A face that fades into abstraction")</f>
        <v>A face that fades into abstraction</v>
      </c>
    </row>
    <row r="2942" ht="15.75" customHeight="1">
      <c r="A2942" s="3" t="s">
        <v>7</v>
      </c>
      <c r="B2942" s="3" t="s">
        <v>34</v>
      </c>
      <c r="D2942" s="3" t="str">
        <f>IFERROR(__xludf.DUMMYFUNCTION("GOOGLETRANSLATE(A2942, ""nl"", ""en"")"),"Human Figures and Physicality")</f>
        <v>Human Figures and Physicality</v>
      </c>
      <c r="E2942" s="3" t="str">
        <f>IFERROR(__xludf.DUMMYFUNCTION("GOOGLETRANSLATE(B2942, ""nl"", ""en"")"),"Hands almost touching")</f>
        <v>Hands almost touching</v>
      </c>
    </row>
    <row r="2943" ht="15.75" customHeight="1">
      <c r="A2943" s="3" t="s">
        <v>12</v>
      </c>
      <c r="B2943" s="3" t="s">
        <v>51</v>
      </c>
      <c r="D2943" s="3" t="str">
        <f>IFERROR(__xludf.DUMMYFUNCTION("GOOGLETRANSLATE(A2943, ""nl"", ""en"")"),"Nature and Elements")</f>
        <v>Nature and Elements</v>
      </c>
      <c r="E2943" s="3" t="str">
        <f>IFERROR(__xludf.DUMMYFUNCTION("GOOGLETRANSLATE(B2943, ""nl"", ""en"")"),"An evaporating puddle of water")</f>
        <v>An evaporating puddle of water</v>
      </c>
    </row>
    <row r="2944" ht="15.75" customHeight="1">
      <c r="A2944" s="3" t="s">
        <v>12</v>
      </c>
      <c r="B2944" s="3" t="s">
        <v>51</v>
      </c>
      <c r="D2944" s="3" t="str">
        <f>IFERROR(__xludf.DUMMYFUNCTION("GOOGLETRANSLATE(A2944, ""nl"", ""en"")"),"Nature and Elements")</f>
        <v>Nature and Elements</v>
      </c>
      <c r="E2944" s="3" t="str">
        <f>IFERROR(__xludf.DUMMYFUNCTION("GOOGLETRANSLATE(B2944, ""nl"", ""en"")"),"An evaporating puddle of water")</f>
        <v>An evaporating puddle of water</v>
      </c>
    </row>
    <row r="2945" ht="15.75" customHeight="1">
      <c r="A2945" s="3" t="s">
        <v>24</v>
      </c>
      <c r="B2945" s="3" t="s">
        <v>29</v>
      </c>
      <c r="D2945" s="3" t="str">
        <f>IFERROR(__xludf.DUMMYFUNCTION("GOOGLETRANSLATE(A2945, ""nl"", ""en"")"),"Cosmic and Abstract Patterns")</f>
        <v>Cosmic and Abstract Patterns</v>
      </c>
      <c r="E2945" s="3" t="str">
        <f>IFERROR(__xludf.DUMMYFUNCTION("GOOGLETRANSLATE(B2945, ""nl"", ""en"")"),"A galaxy unfolding")</f>
        <v>A galaxy unfolding</v>
      </c>
    </row>
    <row r="2946" ht="15.75" customHeight="1">
      <c r="A2946" s="3" t="s">
        <v>9</v>
      </c>
      <c r="B2946" s="3" t="s">
        <v>17</v>
      </c>
      <c r="D2946" s="3" t="str">
        <f>IFERROR(__xludf.DUMMYFUNCTION("GOOGLETRANSLATE(A2946, ""nl"", ""en"")"),"Psychological and Emotional Interpretations")</f>
        <v>Psychological and Emotional Interpretations</v>
      </c>
      <c r="E2946" s="3" t="str">
        <f>IFERROR(__xludf.DUMMYFUNCTION("GOOGLETRANSLATE(B2946, ""nl"", ""en"")"),"A figure that seems to melt")</f>
        <v>A figure that seems to melt</v>
      </c>
    </row>
    <row r="2947" ht="15.75" customHeight="1">
      <c r="A2947" s="3" t="s">
        <v>4</v>
      </c>
      <c r="B2947" s="3" t="s">
        <v>43</v>
      </c>
      <c r="D2947" s="3" t="str">
        <f>IFERROR(__xludf.DUMMYFUNCTION("GOOGLETRANSLATE(A2947, ""nl"", ""en"")"),"Architectural and Structural Associations")</f>
        <v>Architectural and Structural Associations</v>
      </c>
      <c r="E2947" s="3" t="str">
        <f>IFERROR(__xludf.DUMMYFUNCTION("GOOGLETRANSLATE(B2947, ""nl"", ""en"")"),"A network of tunnels and passages")</f>
        <v>A network of tunnels and passages</v>
      </c>
    </row>
    <row r="2948" ht="15.75" customHeight="1">
      <c r="A2948" s="3" t="s">
        <v>12</v>
      </c>
      <c r="B2948" s="3" t="s">
        <v>19</v>
      </c>
      <c r="D2948" s="3" t="str">
        <f>IFERROR(__xludf.DUMMYFUNCTION("GOOGLETRANSLATE(A2948, ""nl"", ""en"")"),"Nature and Elements")</f>
        <v>Nature and Elements</v>
      </c>
      <c r="E2948" s="3" t="str">
        <f>IFERROR(__xludf.DUMMYFUNCTION("GOOGLETRANSLATE(B2948, ""nl"", ""en"")"),"A mountain range that seems to breathe")</f>
        <v>A mountain range that seems to breathe</v>
      </c>
    </row>
    <row r="2949" ht="15.75" customHeight="1">
      <c r="A2949" s="3" t="s">
        <v>24</v>
      </c>
      <c r="B2949" s="3" t="s">
        <v>29</v>
      </c>
      <c r="D2949" s="3" t="str">
        <f>IFERROR(__xludf.DUMMYFUNCTION("GOOGLETRANSLATE(A2949, ""nl"", ""en"")"),"Cosmic and Abstract Patterns")</f>
        <v>Cosmic and Abstract Patterns</v>
      </c>
      <c r="E2949" s="3" t="str">
        <f>IFERROR(__xludf.DUMMYFUNCTION("GOOGLETRANSLATE(B2949, ""nl"", ""en"")"),"A galaxy unfolding")</f>
        <v>A galaxy unfolding</v>
      </c>
    </row>
    <row r="2950" ht="15.75" customHeight="1">
      <c r="A2950" s="3" t="s">
        <v>12</v>
      </c>
      <c r="B2950" s="3" t="s">
        <v>36</v>
      </c>
      <c r="D2950" s="3" t="str">
        <f>IFERROR(__xludf.DUMMYFUNCTION("GOOGLETRANSLATE(A2950, ""nl"", ""en"")"),"Nature and Elements")</f>
        <v>Nature and Elements</v>
      </c>
      <c r="E2950" s="3" t="str">
        <f>IFERROR(__xludf.DUMMYFUNCTION("GOOGLETRANSLATE(B2950, ""nl"", ""en"")"),"A river delta from a bird's-eye view")</f>
        <v>A river delta from a bird's-eye view</v>
      </c>
    </row>
    <row r="2951" ht="15.75" customHeight="1">
      <c r="A2951" s="3" t="s">
        <v>4</v>
      </c>
      <c r="B2951" s="3" t="s">
        <v>20</v>
      </c>
      <c r="D2951" s="3" t="str">
        <f>IFERROR(__xludf.DUMMYFUNCTION("GOOGLETRANSLATE(A2951, ""nl"", ""en"")"),"Architectural and Structural Associations")</f>
        <v>Architectural and Structural Associations</v>
      </c>
      <c r="E2951" s="3" t="str">
        <f>IFERROR(__xludf.DUMMYFUNCTION("GOOGLETRANSLATE(B2951, ""nl"", ""en"")"),"A tower that grows by itself")</f>
        <v>A tower that grows by itself</v>
      </c>
    </row>
    <row r="2952" ht="15.75" customHeight="1">
      <c r="A2952" s="3" t="s">
        <v>12</v>
      </c>
      <c r="B2952" s="3" t="s">
        <v>23</v>
      </c>
      <c r="D2952" s="3" t="str">
        <f>IFERROR(__xludf.DUMMYFUNCTION("GOOGLETRANSLATE(A2952, ""nl"", ""en"")"),"Nature and Elements")</f>
        <v>Nature and Elements</v>
      </c>
      <c r="E2952" s="3" t="str">
        <f>IFERROR(__xludf.DUMMYFUNCTION("GOOGLETRANSLATE(B2952, ""nl"", ""en"")"),"A storm cloud splitting in two")</f>
        <v>A storm cloud splitting in two</v>
      </c>
    </row>
    <row r="2953" ht="15.75" customHeight="1">
      <c r="A2953" s="3" t="s">
        <v>15</v>
      </c>
      <c r="B2953" s="3" t="s">
        <v>38</v>
      </c>
      <c r="D2953" s="3" t="str">
        <f>IFERROR(__xludf.DUMMYFUNCTION("GOOGLETRANSLATE(A2953, ""nl"", ""en"")"),"Animals and Organic Forms")</f>
        <v>Animals and Organic Forms</v>
      </c>
      <c r="E2953" s="3" t="str">
        <f>IFERROR(__xludf.DUMMYFUNCTION("GOOGLETRANSLATE(B2953, ""nl"", ""en"")"),"A lion with an open mouth")</f>
        <v>A lion with an open mouth</v>
      </c>
    </row>
    <row r="2954" ht="15.75" customHeight="1">
      <c r="A2954" s="3" t="s">
        <v>7</v>
      </c>
      <c r="B2954" s="3" t="s">
        <v>28</v>
      </c>
      <c r="D2954" s="3" t="str">
        <f>IFERROR(__xludf.DUMMYFUNCTION("GOOGLETRANSLATE(A2954, ""nl"", ""en"")"),"Human Figures and Physicality")</f>
        <v>Human Figures and Physicality</v>
      </c>
      <c r="E2954" s="3" t="str">
        <f>IFERROR(__xludf.DUMMYFUNCTION("GOOGLETRANSLATE(B2954, ""nl"", ""en"")"),"A dancing silhouette")</f>
        <v>A dancing silhouette</v>
      </c>
    </row>
    <row r="2955" ht="15.75" customHeight="1">
      <c r="A2955" s="3" t="s">
        <v>9</v>
      </c>
      <c r="B2955" s="3" t="s">
        <v>42</v>
      </c>
      <c r="D2955" s="3" t="str">
        <f>IFERROR(__xludf.DUMMYFUNCTION("GOOGLETRANSLATE(A2955, ""nl"", ""en"")"),"Psychological and Emotional Interpretations")</f>
        <v>Psychological and Emotional Interpretations</v>
      </c>
      <c r="E2955" s="3" t="str">
        <f>IFERROR(__xludf.DUMMYFUNCTION("GOOGLETRANSLATE(B2955, ""nl"", ""en"")"),"A mask that slowly disappears")</f>
        <v>A mask that slowly disappears</v>
      </c>
    </row>
    <row r="2956" ht="15.75" customHeight="1">
      <c r="A2956" s="3" t="s">
        <v>4</v>
      </c>
      <c r="B2956" s="3" t="s">
        <v>5</v>
      </c>
      <c r="D2956" s="3" t="str">
        <f>IFERROR(__xludf.DUMMYFUNCTION("GOOGLETRANSLATE(A2956, ""nl"", ""en"")"),"Architectural and Structural Associations")</f>
        <v>Architectural and Structural Associations</v>
      </c>
      <c r="E2956" s="3" t="str">
        <f>IFERROR(__xludf.DUMMYFUNCTION("GOOGLETRANSLATE(B2956, ""nl"", ""en"")"),"A cathedral shaped from mist")</f>
        <v>A cathedral shaped from mist</v>
      </c>
    </row>
    <row r="2957" ht="15.75" customHeight="1">
      <c r="A2957" s="3" t="s">
        <v>7</v>
      </c>
      <c r="B2957" s="3" t="s">
        <v>28</v>
      </c>
      <c r="D2957" s="3" t="str">
        <f>IFERROR(__xludf.DUMMYFUNCTION("GOOGLETRANSLATE(A2957, ""nl"", ""en"")"),"Human Figures and Physicality")</f>
        <v>Human Figures and Physicality</v>
      </c>
      <c r="E2957" s="3" t="str">
        <f>IFERROR(__xludf.DUMMYFUNCTION("GOOGLETRANSLATE(B2957, ""nl"", ""en"")"),"A dancing silhouette")</f>
        <v>A dancing silhouette</v>
      </c>
    </row>
    <row r="2958" ht="15.75" customHeight="1">
      <c r="A2958" s="3" t="s">
        <v>7</v>
      </c>
      <c r="B2958" s="3" t="s">
        <v>40</v>
      </c>
      <c r="D2958" s="3" t="str">
        <f>IFERROR(__xludf.DUMMYFUNCTION("GOOGLETRANSLATE(A2958, ""nl"", ""en"")"),"Human Figures and Physicality")</f>
        <v>Human Figures and Physicality</v>
      </c>
      <c r="E2958" s="3" t="str">
        <f>IFERROR(__xludf.DUMMYFUNCTION("GOOGLETRANSLATE(B2958, ""nl"", ""en"")"),"A figure who is withdrawn into himself")</f>
        <v>A figure who is withdrawn into himself</v>
      </c>
    </row>
    <row r="2959" ht="15.75" customHeight="1">
      <c r="A2959" s="3" t="s">
        <v>4</v>
      </c>
      <c r="B2959" s="3" t="s">
        <v>43</v>
      </c>
      <c r="D2959" s="3" t="str">
        <f>IFERROR(__xludf.DUMMYFUNCTION("GOOGLETRANSLATE(A2959, ""nl"", ""en"")"),"Architectural and Structural Associations")</f>
        <v>Architectural and Structural Associations</v>
      </c>
      <c r="E2959" s="3" t="str">
        <f>IFERROR(__xludf.DUMMYFUNCTION("GOOGLETRANSLATE(B2959, ""nl"", ""en"")"),"A network of tunnels and passages")</f>
        <v>A network of tunnels and passages</v>
      </c>
    </row>
    <row r="2960" ht="15.75" customHeight="1">
      <c r="A2960" s="3" t="s">
        <v>7</v>
      </c>
      <c r="B2960" s="3" t="s">
        <v>41</v>
      </c>
      <c r="D2960" s="3" t="str">
        <f>IFERROR(__xludf.DUMMYFUNCTION("GOOGLETRANSLATE(A2960, ""nl"", ""en"")"),"Human Figures and Physicality")</f>
        <v>Human Figures and Physicality</v>
      </c>
      <c r="E2960" s="3" t="str">
        <f>IFERROR(__xludf.DUMMYFUNCTION("GOOGLETRANSLATE(B2960, ""nl"", ""en"")"),"A face that fades into abstraction")</f>
        <v>A face that fades into abstraction</v>
      </c>
    </row>
    <row r="2961" ht="15.75" customHeight="1">
      <c r="A2961" s="3" t="s">
        <v>7</v>
      </c>
      <c r="B2961" s="3" t="s">
        <v>53</v>
      </c>
      <c r="D2961" s="3" t="str">
        <f>IFERROR(__xludf.DUMMYFUNCTION("GOOGLETRANSLATE(A2961, ""nl"", ""en"")"),"Human Figures and Physicality")</f>
        <v>Human Figures and Physicality</v>
      </c>
      <c r="E2961" s="3" t="str">
        <f>IFERROR(__xludf.DUMMYFUNCTION("GOOGLETRANSLATE(B2961, ""nl"", ""en"")"),"A face that both smiles and cries")</f>
        <v>A face that both smiles and cries</v>
      </c>
    </row>
    <row r="2962" ht="15.75" customHeight="1">
      <c r="A2962" s="3" t="s">
        <v>12</v>
      </c>
      <c r="B2962" s="3" t="s">
        <v>30</v>
      </c>
      <c r="D2962" s="3" t="str">
        <f>IFERROR(__xludf.DUMMYFUNCTION("GOOGLETRANSLATE(A2962, ""nl"", ""en"")"),"Nature and Elements")</f>
        <v>Nature and Elements</v>
      </c>
      <c r="E2962" s="3" t="str">
        <f>IFERROR(__xludf.DUMMYFUNCTION("GOOGLETRANSLATE(B2962, ""nl"", ""en"")"),"Waves breaking in fractal patterns")</f>
        <v>Waves breaking in fractal patterns</v>
      </c>
    </row>
    <row r="2963" ht="15.75" customHeight="1">
      <c r="A2963" s="3" t="s">
        <v>12</v>
      </c>
      <c r="B2963" s="3" t="s">
        <v>30</v>
      </c>
      <c r="D2963" s="3" t="str">
        <f>IFERROR(__xludf.DUMMYFUNCTION("GOOGLETRANSLATE(A2963, ""nl"", ""en"")"),"Nature and Elements")</f>
        <v>Nature and Elements</v>
      </c>
      <c r="E2963" s="3" t="str">
        <f>IFERROR(__xludf.DUMMYFUNCTION("GOOGLETRANSLATE(B2963, ""nl"", ""en"")"),"Waves breaking in fractal patterns")</f>
        <v>Waves breaking in fractal patterns</v>
      </c>
    </row>
    <row r="2964" ht="15.75" customHeight="1">
      <c r="A2964" s="3" t="s">
        <v>12</v>
      </c>
      <c r="B2964" s="3" t="s">
        <v>47</v>
      </c>
      <c r="D2964" s="3" t="str">
        <f>IFERROR(__xludf.DUMMYFUNCTION("GOOGLETRANSLATE(A2964, ""nl"", ""en"")"),"Nature and Elements")</f>
        <v>Nature and Elements</v>
      </c>
      <c r="E2964" s="3" t="str">
        <f>IFERROR(__xludf.DUMMYFUNCTION("GOOGLETRANSLATE(B2964, ""nl"", ""en"")"),"A desert landscape that slowly changes")</f>
        <v>A desert landscape that slowly changes</v>
      </c>
    </row>
    <row r="2965" ht="15.75" customHeight="1">
      <c r="A2965" s="3" t="s">
        <v>7</v>
      </c>
      <c r="B2965" s="3" t="s">
        <v>41</v>
      </c>
      <c r="D2965" s="3" t="str">
        <f>IFERROR(__xludf.DUMMYFUNCTION("GOOGLETRANSLATE(A2965, ""nl"", ""en"")"),"Human Figures and Physicality")</f>
        <v>Human Figures and Physicality</v>
      </c>
      <c r="E2965" s="3" t="str">
        <f>IFERROR(__xludf.DUMMYFUNCTION("GOOGLETRANSLATE(B2965, ""nl"", ""en"")"),"A face that fades into abstraction")</f>
        <v>A face that fades into abstraction</v>
      </c>
    </row>
    <row r="2966" ht="15.75" customHeight="1">
      <c r="A2966" s="3" t="s">
        <v>9</v>
      </c>
      <c r="B2966" s="3" t="s">
        <v>17</v>
      </c>
      <c r="D2966" s="3" t="str">
        <f>IFERROR(__xludf.DUMMYFUNCTION("GOOGLETRANSLATE(A2966, ""nl"", ""en"")"),"Psychological and Emotional Interpretations")</f>
        <v>Psychological and Emotional Interpretations</v>
      </c>
      <c r="E2966" s="3" t="str">
        <f>IFERROR(__xludf.DUMMYFUNCTION("GOOGLETRANSLATE(B2966, ""nl"", ""en"")"),"A figure that seems to melt")</f>
        <v>A figure that seems to melt</v>
      </c>
    </row>
    <row r="2967" ht="15.75" customHeight="1">
      <c r="A2967" s="3" t="s">
        <v>4</v>
      </c>
      <c r="B2967" s="3" t="s">
        <v>21</v>
      </c>
      <c r="D2967" s="3" t="str">
        <f>IFERROR(__xludf.DUMMYFUNCTION("GOOGLETRANSLATE(A2967, ""nl"", ""en"")"),"Architectural and Structural Associations")</f>
        <v>Architectural and Structural Associations</v>
      </c>
      <c r="E2967" s="3" t="str">
        <f>IFERROR(__xludf.DUMMYFUNCTION("GOOGLETRANSLATE(B2967, ""nl"", ""en"")"),"A bridge that leads nowhere")</f>
        <v>A bridge that leads nowhere</v>
      </c>
    </row>
    <row r="2968" ht="15.75" customHeight="1">
      <c r="A2968" s="3" t="s">
        <v>7</v>
      </c>
      <c r="B2968" s="3" t="s">
        <v>40</v>
      </c>
      <c r="D2968" s="3" t="str">
        <f>IFERROR(__xludf.DUMMYFUNCTION("GOOGLETRANSLATE(A2968, ""nl"", ""en"")"),"Human Figures and Physicality")</f>
        <v>Human Figures and Physicality</v>
      </c>
      <c r="E2968" s="3" t="str">
        <f>IFERROR(__xludf.DUMMYFUNCTION("GOOGLETRANSLATE(B2968, ""nl"", ""en"")"),"A figure who is withdrawn into himself")</f>
        <v>A figure who is withdrawn into himself</v>
      </c>
    </row>
    <row r="2969" ht="15.75" customHeight="1">
      <c r="A2969" s="3" t="s">
        <v>24</v>
      </c>
      <c r="B2969" s="3" t="s">
        <v>32</v>
      </c>
      <c r="D2969" s="3" t="str">
        <f>IFERROR(__xludf.DUMMYFUNCTION("GOOGLETRANSLATE(A2969, ""nl"", ""en"")"),"Cosmic and Abstract Patterns")</f>
        <v>Cosmic and Abstract Patterns</v>
      </c>
      <c r="E2969" s="3" t="str">
        <f>IFERROR(__xludf.DUMMYFUNCTION("GOOGLETRANSLATE(B2969, ""nl"", ""en"")"),"A time loop captured in image")</f>
        <v>A time loop captured in image</v>
      </c>
    </row>
    <row r="2970" ht="15.75" customHeight="1">
      <c r="A2970" s="3" t="s">
        <v>12</v>
      </c>
      <c r="B2970" s="3" t="s">
        <v>47</v>
      </c>
      <c r="D2970" s="3" t="str">
        <f>IFERROR(__xludf.DUMMYFUNCTION("GOOGLETRANSLATE(A2970, ""nl"", ""en"")"),"Nature and Elements")</f>
        <v>Nature and Elements</v>
      </c>
      <c r="E2970" s="3" t="str">
        <f>IFERROR(__xludf.DUMMYFUNCTION("GOOGLETRANSLATE(B2970, ""nl"", ""en"")"),"A desert landscape that slowly changes")</f>
        <v>A desert landscape that slowly changes</v>
      </c>
    </row>
    <row r="2971" ht="15.75" customHeight="1">
      <c r="A2971" s="3" t="s">
        <v>9</v>
      </c>
      <c r="B2971" s="3" t="s">
        <v>11</v>
      </c>
      <c r="D2971" s="3" t="str">
        <f>IFERROR(__xludf.DUMMYFUNCTION("GOOGLETRANSLATE(A2971, ""nl"", ""en"")"),"Psychological and Emotional Interpretations")</f>
        <v>Psychological and Emotional Interpretations</v>
      </c>
      <c r="E2971" s="3" t="str">
        <f>IFERROR(__xludf.DUMMYFUNCTION("GOOGLETRANSLATE(B2971, ""nl"", ""en"")"),"An emotion captured in abstraction")</f>
        <v>An emotion captured in abstraction</v>
      </c>
    </row>
    <row r="2972" ht="15.75" customHeight="1">
      <c r="A2972" s="3" t="s">
        <v>4</v>
      </c>
      <c r="B2972" s="3" t="s">
        <v>21</v>
      </c>
      <c r="D2972" s="3" t="str">
        <f>IFERROR(__xludf.DUMMYFUNCTION("GOOGLETRANSLATE(A2972, ""nl"", ""en"")"),"Architectural and Structural Associations")</f>
        <v>Architectural and Structural Associations</v>
      </c>
      <c r="E2972" s="3" t="str">
        <f>IFERROR(__xludf.DUMMYFUNCTION("GOOGLETRANSLATE(B2972, ""nl"", ""en"")"),"A bridge that leads nowhere")</f>
        <v>A bridge that leads nowhere</v>
      </c>
    </row>
    <row r="2973" ht="15.75" customHeight="1">
      <c r="A2973" s="3" t="s">
        <v>12</v>
      </c>
      <c r="B2973" s="3" t="s">
        <v>30</v>
      </c>
      <c r="D2973" s="3" t="str">
        <f>IFERROR(__xludf.DUMMYFUNCTION("GOOGLETRANSLATE(A2973, ""nl"", ""en"")"),"Nature and Elements")</f>
        <v>Nature and Elements</v>
      </c>
      <c r="E2973" s="3" t="str">
        <f>IFERROR(__xludf.DUMMYFUNCTION("GOOGLETRANSLATE(B2973, ""nl"", ""en"")"),"Waves breaking in fractal patterns")</f>
        <v>Waves breaking in fractal patterns</v>
      </c>
    </row>
    <row r="2974" ht="15.75" customHeight="1">
      <c r="A2974" s="3" t="s">
        <v>4</v>
      </c>
      <c r="B2974" s="3" t="s">
        <v>43</v>
      </c>
      <c r="D2974" s="3" t="str">
        <f>IFERROR(__xludf.DUMMYFUNCTION("GOOGLETRANSLATE(A2974, ""nl"", ""en"")"),"Architectural and Structural Associations")</f>
        <v>Architectural and Structural Associations</v>
      </c>
      <c r="E2974" s="3" t="str">
        <f>IFERROR(__xludf.DUMMYFUNCTION("GOOGLETRANSLATE(B2974, ""nl"", ""en"")"),"A network of tunnels and passages")</f>
        <v>A network of tunnels and passages</v>
      </c>
    </row>
    <row r="2975" ht="15.75" customHeight="1">
      <c r="A2975" s="3" t="s">
        <v>7</v>
      </c>
      <c r="B2975" s="3" t="s">
        <v>39</v>
      </c>
      <c r="D2975" s="3" t="str">
        <f>IFERROR(__xludf.DUMMYFUNCTION("GOOGLETRANSLATE(A2975, ""nl"", ""en"")"),"Human Figures and Physicality")</f>
        <v>Human Figures and Physicality</v>
      </c>
      <c r="E2975" s="3" t="str">
        <f>IFERROR(__xludf.DUMMYFUNCTION("GOOGLETRANSLATE(B2975, ""nl"", ""en"")"),"A torso without a head")</f>
        <v>A torso without a head</v>
      </c>
    </row>
    <row r="2976" ht="15.75" customHeight="1">
      <c r="A2976" s="3" t="s">
        <v>12</v>
      </c>
      <c r="B2976" s="3" t="s">
        <v>51</v>
      </c>
      <c r="D2976" s="3" t="str">
        <f>IFERROR(__xludf.DUMMYFUNCTION("GOOGLETRANSLATE(A2976, ""nl"", ""en"")"),"Nature and Elements")</f>
        <v>Nature and Elements</v>
      </c>
      <c r="E2976" s="3" t="str">
        <f>IFERROR(__xludf.DUMMYFUNCTION("GOOGLETRANSLATE(B2976, ""nl"", ""en"")"),"An evaporating puddle of water")</f>
        <v>An evaporating puddle of water</v>
      </c>
    </row>
    <row r="2977" ht="15.75" customHeight="1">
      <c r="A2977" s="3" t="s">
        <v>7</v>
      </c>
      <c r="B2977" s="3" t="s">
        <v>34</v>
      </c>
      <c r="D2977" s="3" t="str">
        <f>IFERROR(__xludf.DUMMYFUNCTION("GOOGLETRANSLATE(A2977, ""nl"", ""en"")"),"Human Figures and Physicality")</f>
        <v>Human Figures and Physicality</v>
      </c>
      <c r="E2977" s="3" t="str">
        <f>IFERROR(__xludf.DUMMYFUNCTION("GOOGLETRANSLATE(B2977, ""nl"", ""en"")"),"Hands almost touching")</f>
        <v>Hands almost touching</v>
      </c>
    </row>
    <row r="2978" ht="15.75" customHeight="1">
      <c r="A2978" s="3" t="s">
        <v>4</v>
      </c>
      <c r="B2978" s="3" t="s">
        <v>6</v>
      </c>
      <c r="D2978" s="3" t="str">
        <f>IFERROR(__xludf.DUMMYFUNCTION("GOOGLETRANSLATE(A2978, ""nl"", ""en"")"),"Architectural and Structural Associations")</f>
        <v>Architectural and Structural Associations</v>
      </c>
      <c r="E2978" s="3" t="str">
        <f>IFERROR(__xludf.DUMMYFUNCTION("GOOGLETRANSLATE(B2978, ""nl"", ""en"")"),"An endless labyrinth")</f>
        <v>An endless labyrinth</v>
      </c>
    </row>
    <row r="2979" ht="15.75" customHeight="1">
      <c r="A2979" s="3" t="s">
        <v>24</v>
      </c>
      <c r="B2979" s="3" t="s">
        <v>29</v>
      </c>
      <c r="D2979" s="3" t="str">
        <f>IFERROR(__xludf.DUMMYFUNCTION("GOOGLETRANSLATE(A2979, ""nl"", ""en"")"),"Cosmic and Abstract Patterns")</f>
        <v>Cosmic and Abstract Patterns</v>
      </c>
      <c r="E2979" s="3" t="str">
        <f>IFERROR(__xludf.DUMMYFUNCTION("GOOGLETRANSLATE(B2979, ""nl"", ""en"")"),"A galaxy unfolding")</f>
        <v>A galaxy unfolding</v>
      </c>
    </row>
    <row r="2980" ht="15.75" customHeight="1">
      <c r="A2980" s="3" t="s">
        <v>4</v>
      </c>
      <c r="B2980" s="3" t="s">
        <v>5</v>
      </c>
      <c r="D2980" s="3" t="str">
        <f>IFERROR(__xludf.DUMMYFUNCTION("GOOGLETRANSLATE(A2980, ""nl"", ""en"")"),"Architectural and Structural Associations")</f>
        <v>Architectural and Structural Associations</v>
      </c>
      <c r="E2980" s="3" t="str">
        <f>IFERROR(__xludf.DUMMYFUNCTION("GOOGLETRANSLATE(B2980, ""nl"", ""en"")"),"A cathedral shaped from mist")</f>
        <v>A cathedral shaped from mist</v>
      </c>
    </row>
    <row r="2981" ht="15.75" customHeight="1">
      <c r="A2981" s="3" t="s">
        <v>9</v>
      </c>
      <c r="B2981" s="3" t="s">
        <v>11</v>
      </c>
      <c r="D2981" s="3" t="str">
        <f>IFERROR(__xludf.DUMMYFUNCTION("GOOGLETRANSLATE(A2981, ""nl"", ""en"")"),"Psychological and Emotional Interpretations")</f>
        <v>Psychological and Emotional Interpretations</v>
      </c>
      <c r="E2981" s="3" t="str">
        <f>IFERROR(__xludf.DUMMYFUNCTION("GOOGLETRANSLATE(B2981, ""nl"", ""en"")"),"An emotion captured in abstraction")</f>
        <v>An emotion captured in abstraction</v>
      </c>
    </row>
    <row r="2982" ht="15.75" customHeight="1">
      <c r="A2982" s="3" t="s">
        <v>7</v>
      </c>
      <c r="B2982" s="3" t="s">
        <v>53</v>
      </c>
      <c r="D2982" s="3" t="str">
        <f>IFERROR(__xludf.DUMMYFUNCTION("GOOGLETRANSLATE(A2982, ""nl"", ""en"")"),"Human Figures and Physicality")</f>
        <v>Human Figures and Physicality</v>
      </c>
      <c r="E2982" s="3" t="str">
        <f>IFERROR(__xludf.DUMMYFUNCTION("GOOGLETRANSLATE(B2982, ""nl"", ""en"")"),"A face that both smiles and cries")</f>
        <v>A face that both smiles and cries</v>
      </c>
    </row>
    <row r="2983" ht="15.75" customHeight="1">
      <c r="A2983" s="3" t="s">
        <v>12</v>
      </c>
      <c r="B2983" s="3" t="s">
        <v>47</v>
      </c>
      <c r="D2983" s="3" t="str">
        <f>IFERROR(__xludf.DUMMYFUNCTION("GOOGLETRANSLATE(A2983, ""nl"", ""en"")"),"Nature and Elements")</f>
        <v>Nature and Elements</v>
      </c>
      <c r="E2983" s="3" t="str">
        <f>IFERROR(__xludf.DUMMYFUNCTION("GOOGLETRANSLATE(B2983, ""nl"", ""en"")"),"A desert landscape that slowly changes")</f>
        <v>A desert landscape that slowly changes</v>
      </c>
    </row>
    <row r="2984" ht="15.75" customHeight="1">
      <c r="A2984" s="3" t="s">
        <v>9</v>
      </c>
      <c r="B2984" s="3" t="s">
        <v>14</v>
      </c>
      <c r="D2984" s="3" t="str">
        <f>IFERROR(__xludf.DUMMYFUNCTION("GOOGLETRANSLATE(A2984, ""nl"", ""en"")"),"Psychological and Emotional Interpretations")</f>
        <v>Psychological and Emotional Interpretations</v>
      </c>
      <c r="E2984" s="3" t="str">
        <f>IFERROR(__xludf.DUMMYFUNCTION("GOOGLETRANSLATE(B2984, ""nl"", ""en"")"),"An unclear hug")</f>
        <v>An unclear hug</v>
      </c>
    </row>
    <row r="2985" ht="15.75" customHeight="1">
      <c r="A2985" s="3" t="s">
        <v>7</v>
      </c>
      <c r="B2985" s="3" t="s">
        <v>28</v>
      </c>
      <c r="D2985" s="3" t="str">
        <f>IFERROR(__xludf.DUMMYFUNCTION("GOOGLETRANSLATE(A2985, ""nl"", ""en"")"),"Human Figures and Physicality")</f>
        <v>Human Figures and Physicality</v>
      </c>
      <c r="E2985" s="3" t="str">
        <f>IFERROR(__xludf.DUMMYFUNCTION("GOOGLETRANSLATE(B2985, ""nl"", ""en"")"),"A dancing silhouette")</f>
        <v>A dancing silhouette</v>
      </c>
    </row>
    <row r="2986" ht="15.75" customHeight="1">
      <c r="A2986" s="3" t="s">
        <v>9</v>
      </c>
      <c r="B2986" s="3" t="s">
        <v>57</v>
      </c>
      <c r="D2986" s="3" t="str">
        <f>IFERROR(__xludf.DUMMYFUNCTION("GOOGLETRANSLATE(A2986, ""nl"", ""en"")"),"Psychological and Emotional Interpretations")</f>
        <v>Psychological and Emotional Interpretations</v>
      </c>
      <c r="E2986" s="3" t="str">
        <f>IFERROR(__xludf.DUMMYFUNCTION("GOOGLETRANSLATE(B2986, ""nl"", ""en"")"),"An explosion of colours and feelings")</f>
        <v>An explosion of colours and feelings</v>
      </c>
    </row>
    <row r="2987" ht="15.75" customHeight="1">
      <c r="A2987" s="3" t="s">
        <v>24</v>
      </c>
      <c r="B2987" s="3" t="s">
        <v>32</v>
      </c>
      <c r="D2987" s="3" t="str">
        <f>IFERROR(__xludf.DUMMYFUNCTION("GOOGLETRANSLATE(A2987, ""nl"", ""en"")"),"Cosmic and Abstract Patterns")</f>
        <v>Cosmic and Abstract Patterns</v>
      </c>
      <c r="E2987" s="3" t="str">
        <f>IFERROR(__xludf.DUMMYFUNCTION("GOOGLETRANSLATE(B2987, ""nl"", ""en"")"),"A time loop captured in image")</f>
        <v>A time loop captured in image</v>
      </c>
    </row>
    <row r="2988" ht="15.75" customHeight="1">
      <c r="A2988" s="3" t="s">
        <v>12</v>
      </c>
      <c r="B2988" s="3" t="s">
        <v>13</v>
      </c>
      <c r="D2988" s="3" t="str">
        <f>IFERROR(__xludf.DUMMYFUNCTION("GOOGLETRANSLATE(A2988, ""nl"", ""en"")"),"Nature and Elements")</f>
        <v>Nature and Elements</v>
      </c>
      <c r="E2988" s="3" t="str">
        <f>IFERROR(__xludf.DUMMYFUNCTION("GOOGLETRANSLATE(B2988, ""nl"", ""en"")"),"A lightning strike in slow motion")</f>
        <v>A lightning strike in slow motion</v>
      </c>
    </row>
    <row r="2989" ht="15.75" customHeight="1">
      <c r="A2989" s="3" t="s">
        <v>15</v>
      </c>
      <c r="B2989" s="3" t="s">
        <v>50</v>
      </c>
      <c r="D2989" s="3" t="str">
        <f>IFERROR(__xludf.DUMMYFUNCTION("GOOGLETRANSLATE(A2989, ""nl"", ""en"")"),"Animals and Organic Forms")</f>
        <v>Animals and Organic Forms</v>
      </c>
      <c r="E2989" s="3" t="str">
        <f>IFERROR(__xludf.DUMMYFUNCTION("GOOGLETRANSLATE(B2989, ""nl"", ""en"")"),"A squid with extended tentacles")</f>
        <v>A squid with extended tentacles</v>
      </c>
    </row>
    <row r="2990" ht="15.75" customHeight="1">
      <c r="A2990" s="3" t="s">
        <v>4</v>
      </c>
      <c r="B2990" s="3" t="s">
        <v>5</v>
      </c>
      <c r="D2990" s="3" t="str">
        <f>IFERROR(__xludf.DUMMYFUNCTION("GOOGLETRANSLATE(A2990, ""nl"", ""en"")"),"Architectural and Structural Associations")</f>
        <v>Architectural and Structural Associations</v>
      </c>
      <c r="E2990" s="3" t="str">
        <f>IFERROR(__xludf.DUMMYFUNCTION("GOOGLETRANSLATE(B2990, ""nl"", ""en"")"),"A cathedral shaped from mist")</f>
        <v>A cathedral shaped from mist</v>
      </c>
    </row>
    <row r="2991" ht="15.75" customHeight="1">
      <c r="A2991" s="3" t="s">
        <v>7</v>
      </c>
      <c r="B2991" s="3" t="s">
        <v>28</v>
      </c>
      <c r="D2991" s="3" t="str">
        <f>IFERROR(__xludf.DUMMYFUNCTION("GOOGLETRANSLATE(A2991, ""nl"", ""en"")"),"Human Figures and Physicality")</f>
        <v>Human Figures and Physicality</v>
      </c>
      <c r="E2991" s="3" t="str">
        <f>IFERROR(__xludf.DUMMYFUNCTION("GOOGLETRANSLATE(B2991, ""nl"", ""en"")"),"A dancing silhouette")</f>
        <v>A dancing silhouette</v>
      </c>
    </row>
    <row r="2992" ht="15.75" customHeight="1">
      <c r="A2992" s="3" t="s">
        <v>24</v>
      </c>
      <c r="B2992" s="3" t="s">
        <v>31</v>
      </c>
      <c r="D2992" s="3" t="str">
        <f>IFERROR(__xludf.DUMMYFUNCTION("GOOGLETRANSLATE(A2992, ""nl"", ""en"")"),"Cosmic and Abstract Patterns")</f>
        <v>Cosmic and Abstract Patterns</v>
      </c>
      <c r="E2992" s="3" t="str">
        <f>IFERROR(__xludf.DUMMYFUNCTION("GOOGLETRANSLATE(B2992, ""nl"", ""en"")"),"A planet with unusual rings")</f>
        <v>A planet with unusual rings</v>
      </c>
    </row>
    <row r="2993" ht="15.75" customHeight="1">
      <c r="A2993" s="3" t="s">
        <v>4</v>
      </c>
      <c r="B2993" s="3" t="s">
        <v>20</v>
      </c>
      <c r="D2993" s="3" t="str">
        <f>IFERROR(__xludf.DUMMYFUNCTION("GOOGLETRANSLATE(A2993, ""nl"", ""en"")"),"Architectural and Structural Associations")</f>
        <v>Architectural and Structural Associations</v>
      </c>
      <c r="E2993" s="3" t="str">
        <f>IFERROR(__xludf.DUMMYFUNCTION("GOOGLETRANSLATE(B2993, ""nl"", ""en"")"),"A tower that grows by itself")</f>
        <v>A tower that grows by itself</v>
      </c>
    </row>
    <row r="2994" ht="15.75" customHeight="1">
      <c r="A2994" s="3" t="s">
        <v>9</v>
      </c>
      <c r="B2994" s="3" t="s">
        <v>42</v>
      </c>
      <c r="D2994" s="3" t="str">
        <f>IFERROR(__xludf.DUMMYFUNCTION("GOOGLETRANSLATE(A2994, ""nl"", ""en"")"),"Psychological and Emotional Interpretations")</f>
        <v>Psychological and Emotional Interpretations</v>
      </c>
      <c r="E2994" s="3" t="str">
        <f>IFERROR(__xludf.DUMMYFUNCTION("GOOGLETRANSLATE(B2994, ""nl"", ""en"")"),"A mask that slowly disappears")</f>
        <v>A mask that slowly disappears</v>
      </c>
    </row>
    <row r="2995" ht="15.75" customHeight="1">
      <c r="A2995" s="3" t="s">
        <v>9</v>
      </c>
      <c r="B2995" s="3" t="s">
        <v>37</v>
      </c>
      <c r="D2995" s="3" t="str">
        <f>IFERROR(__xludf.DUMMYFUNCTION("GOOGLETRANSLATE(A2995, ""nl"", ""en"")"),"Psychological and Emotional Interpretations")</f>
        <v>Psychological and Emotional Interpretations</v>
      </c>
      <c r="E2995" s="3" t="str">
        <f>IFERROR(__xludf.DUMMYFUNCTION("GOOGLETRANSLATE(B2995, ""nl"", ""en"")"),"A figure looking through itself")</f>
        <v>A figure looking through itself</v>
      </c>
    </row>
    <row r="2996" ht="15.75" customHeight="1">
      <c r="A2996" s="3" t="s">
        <v>4</v>
      </c>
      <c r="B2996" s="3" t="s">
        <v>5</v>
      </c>
      <c r="D2996" s="3" t="str">
        <f>IFERROR(__xludf.DUMMYFUNCTION("GOOGLETRANSLATE(A2996, ""nl"", ""en"")"),"Architectural and Structural Associations")</f>
        <v>Architectural and Structural Associations</v>
      </c>
      <c r="E2996" s="3" t="str">
        <f>IFERROR(__xludf.DUMMYFUNCTION("GOOGLETRANSLATE(B2996, ""nl"", ""en"")"),"A cathedral shaped from mist")</f>
        <v>A cathedral shaped from mist</v>
      </c>
    </row>
    <row r="2997" ht="15.75" customHeight="1">
      <c r="A2997" s="3" t="s">
        <v>15</v>
      </c>
      <c r="B2997" s="3" t="s">
        <v>46</v>
      </c>
      <c r="D2997" s="3" t="str">
        <f>IFERROR(__xludf.DUMMYFUNCTION("GOOGLETRANSLATE(A2997, ""nl"", ""en"")"),"Animals and Organic Forms")</f>
        <v>Animals and Organic Forms</v>
      </c>
      <c r="E2997" s="3" t="str">
        <f>IFERROR(__xludf.DUMMYFUNCTION("GOOGLETRANSLATE(B2997, ""nl"", ""en"")"),"A flock of fish moving as one")</f>
        <v>A flock of fish moving as one</v>
      </c>
    </row>
    <row r="2998" ht="15.75" customHeight="1">
      <c r="A2998" s="3" t="s">
        <v>15</v>
      </c>
      <c r="B2998" s="3" t="s">
        <v>46</v>
      </c>
      <c r="D2998" s="3" t="str">
        <f>IFERROR(__xludf.DUMMYFUNCTION("GOOGLETRANSLATE(A2998, ""nl"", ""en"")"),"Animals and Organic Forms")</f>
        <v>Animals and Organic Forms</v>
      </c>
      <c r="E2998" s="3" t="str">
        <f>IFERROR(__xludf.DUMMYFUNCTION("GOOGLETRANSLATE(B2998, ""nl"", ""en"")"),"A flock of fish moving as one")</f>
        <v>A flock of fish moving as one</v>
      </c>
    </row>
    <row r="2999" ht="15.75" customHeight="1">
      <c r="A2999" s="3" t="s">
        <v>12</v>
      </c>
      <c r="B2999" s="3" t="s">
        <v>18</v>
      </c>
      <c r="D2999" s="3" t="str">
        <f>IFERROR(__xludf.DUMMYFUNCTION("GOOGLETRANSLATE(A2999, ""nl"", ""en"")"),"Nature and Elements")</f>
        <v>Nature and Elements</v>
      </c>
      <c r="E2999" s="3" t="str">
        <f>IFERROR(__xludf.DUMMYFUNCTION("GOOGLETRANSLATE(B2999, ""nl"", ""en"")"),"A tree with endless branches")</f>
        <v>A tree with endless branches</v>
      </c>
    </row>
    <row r="3000" ht="15.75" customHeight="1">
      <c r="A3000" s="3" t="s">
        <v>24</v>
      </c>
      <c r="B3000" s="3" t="s">
        <v>48</v>
      </c>
      <c r="D3000" s="3" t="str">
        <f>IFERROR(__xludf.DUMMYFUNCTION("GOOGLETRANSLATE(A3000, ""nl"", ""en"")"),"Cosmic and Abstract Patterns")</f>
        <v>Cosmic and Abstract Patterns</v>
      </c>
      <c r="E3000" s="3" t="str">
        <f>IFERROR(__xludf.DUMMYFUNCTION("GOOGLETRANSLATE(B3000, ""nl"", ""en"")"),"A fractal that repeats itself")</f>
        <v>A fractal that repeats itself</v>
      </c>
    </row>
    <row r="3001" ht="15.75" customHeight="1">
      <c r="A3001" s="3" t="s">
        <v>9</v>
      </c>
      <c r="B3001" s="3" t="s">
        <v>10</v>
      </c>
      <c r="D3001" s="3" t="str">
        <f>IFERROR(__xludf.DUMMYFUNCTION("GOOGLETRANSLATE(A3001, ""nl"", ""en"")"),"Psychological and Emotional Interpretations")</f>
        <v>Psychological and Emotional Interpretations</v>
      </c>
      <c r="E3001" s="3" t="str">
        <f>IFERROR(__xludf.DUMMYFUNCTION("GOOGLETRANSLATE(B3001, ""nl"", ""en"")"),"A face transforming in light")</f>
        <v>A face transforming in light</v>
      </c>
    </row>
    <row r="3002" ht="15.75" customHeight="1">
      <c r="A3002" s="3" t="s">
        <v>4</v>
      </c>
      <c r="B3002" s="3" t="s">
        <v>43</v>
      </c>
      <c r="D3002" s="3" t="str">
        <f>IFERROR(__xludf.DUMMYFUNCTION("GOOGLETRANSLATE(A3002, ""nl"", ""en"")"),"Architectural and Structural Associations")</f>
        <v>Architectural and Structural Associations</v>
      </c>
      <c r="E3002" s="3" t="str">
        <f>IFERROR(__xludf.DUMMYFUNCTION("GOOGLETRANSLATE(B3002, ""nl"", ""en"")"),"A network of tunnels and passages")</f>
        <v>A network of tunnels and passages</v>
      </c>
    </row>
    <row r="3003" ht="15.75" customHeight="1">
      <c r="A3003" s="3" t="s">
        <v>4</v>
      </c>
      <c r="B3003" s="3" t="s">
        <v>43</v>
      </c>
      <c r="D3003" s="3" t="str">
        <f>IFERROR(__xludf.DUMMYFUNCTION("GOOGLETRANSLATE(A3003, ""nl"", ""en"")"),"Architectural and Structural Associations")</f>
        <v>Architectural and Structural Associations</v>
      </c>
      <c r="E3003" s="3" t="str">
        <f>IFERROR(__xludf.DUMMYFUNCTION("GOOGLETRANSLATE(B3003, ""nl"", ""en"")"),"A network of tunnels and passages")</f>
        <v>A network of tunnels and passages</v>
      </c>
    </row>
    <row r="3004" ht="15.75" customHeight="1">
      <c r="A3004" s="3" t="s">
        <v>24</v>
      </c>
      <c r="B3004" s="3" t="s">
        <v>31</v>
      </c>
      <c r="D3004" s="3" t="str">
        <f>IFERROR(__xludf.DUMMYFUNCTION("GOOGLETRANSLATE(A3004, ""nl"", ""en"")"),"Cosmic and Abstract Patterns")</f>
        <v>Cosmic and Abstract Patterns</v>
      </c>
      <c r="E3004" s="3" t="str">
        <f>IFERROR(__xludf.DUMMYFUNCTION("GOOGLETRANSLATE(B3004, ""nl"", ""en"")"),"A planet with unusual rings")</f>
        <v>A planet with unusual rings</v>
      </c>
    </row>
    <row r="3005" ht="15.75" customHeight="1">
      <c r="A3005" s="3" t="s">
        <v>12</v>
      </c>
      <c r="B3005" s="3" t="s">
        <v>19</v>
      </c>
      <c r="D3005" s="3" t="str">
        <f>IFERROR(__xludf.DUMMYFUNCTION("GOOGLETRANSLATE(A3005, ""nl"", ""en"")"),"Nature and Elements")</f>
        <v>Nature and Elements</v>
      </c>
      <c r="E3005" s="3" t="str">
        <f>IFERROR(__xludf.DUMMYFUNCTION("GOOGLETRANSLATE(B3005, ""nl"", ""en"")"),"A mountain range that seems to breathe")</f>
        <v>A mountain range that seems to breathe</v>
      </c>
    </row>
    <row r="3006" ht="15.75" customHeight="1">
      <c r="A3006" s="3" t="s">
        <v>15</v>
      </c>
      <c r="B3006" s="3" t="s">
        <v>46</v>
      </c>
      <c r="D3006" s="3" t="str">
        <f>IFERROR(__xludf.DUMMYFUNCTION("GOOGLETRANSLATE(A3006, ""nl"", ""en"")"),"Animals and Organic Forms")</f>
        <v>Animals and Organic Forms</v>
      </c>
      <c r="E3006" s="3" t="str">
        <f>IFERROR(__xludf.DUMMYFUNCTION("GOOGLETRANSLATE(B3006, ""nl"", ""en"")"),"A flock of fish moving as one")</f>
        <v>A flock of fish moving as one</v>
      </c>
    </row>
    <row r="3007" ht="15.75" customHeight="1">
      <c r="A3007" s="3" t="s">
        <v>7</v>
      </c>
      <c r="B3007" s="3" t="s">
        <v>40</v>
      </c>
      <c r="D3007" s="3" t="str">
        <f>IFERROR(__xludf.DUMMYFUNCTION("GOOGLETRANSLATE(A3007, ""nl"", ""en"")"),"Human Figures and Physicality")</f>
        <v>Human Figures and Physicality</v>
      </c>
      <c r="E3007" s="3" t="str">
        <f>IFERROR(__xludf.DUMMYFUNCTION("GOOGLETRANSLATE(B3007, ""nl"", ""en"")"),"A figure who is withdrawn into himself")</f>
        <v>A figure who is withdrawn into himself</v>
      </c>
    </row>
    <row r="3008" ht="15.75" customHeight="1">
      <c r="A3008" s="3" t="s">
        <v>9</v>
      </c>
      <c r="B3008" s="3" t="s">
        <v>49</v>
      </c>
      <c r="D3008" s="3" t="str">
        <f>IFERROR(__xludf.DUMMYFUNCTION("GOOGLETRANSLATE(A3008, ""nl"", ""en"")"),"Psychological and Emotional Interpretations")</f>
        <v>Psychological and Emotional Interpretations</v>
      </c>
      <c r="E3008" s="3" t="str">
        <f>IFERROR(__xludf.DUMMYFUNCTION("GOOGLETRANSLATE(B3008, ""nl"", ""en"")"),"A spiral that turns inward")</f>
        <v>A spiral that turns inward</v>
      </c>
    </row>
    <row r="3009" ht="15.75" customHeight="1">
      <c r="A3009" s="3" t="s">
        <v>12</v>
      </c>
      <c r="B3009" s="3" t="s">
        <v>36</v>
      </c>
      <c r="D3009" s="3" t="str">
        <f>IFERROR(__xludf.DUMMYFUNCTION("GOOGLETRANSLATE(A3009, ""nl"", ""en"")"),"Nature and Elements")</f>
        <v>Nature and Elements</v>
      </c>
      <c r="E3009" s="3" t="str">
        <f>IFERROR(__xludf.DUMMYFUNCTION("GOOGLETRANSLATE(B3009, ""nl"", ""en"")"),"A river delta from a bird's-eye view")</f>
        <v>A river delta from a bird's-eye view</v>
      </c>
    </row>
    <row r="3010" ht="15.75" customHeight="1">
      <c r="A3010" s="3" t="s">
        <v>24</v>
      </c>
      <c r="B3010" s="3" t="s">
        <v>31</v>
      </c>
      <c r="D3010" s="3" t="str">
        <f>IFERROR(__xludf.DUMMYFUNCTION("GOOGLETRANSLATE(A3010, ""nl"", ""en"")"),"Cosmic and Abstract Patterns")</f>
        <v>Cosmic and Abstract Patterns</v>
      </c>
      <c r="E3010" s="3" t="str">
        <f>IFERROR(__xludf.DUMMYFUNCTION("GOOGLETRANSLATE(B3010, ""nl"", ""en"")"),"A planet with unusual rings")</f>
        <v>A planet with unusual rings</v>
      </c>
    </row>
    <row r="3011" ht="15.75" customHeight="1">
      <c r="A3011" s="3" t="s">
        <v>12</v>
      </c>
      <c r="B3011" s="3" t="s">
        <v>51</v>
      </c>
      <c r="D3011" s="3" t="str">
        <f>IFERROR(__xludf.DUMMYFUNCTION("GOOGLETRANSLATE(A3011, ""nl"", ""en"")"),"Nature and Elements")</f>
        <v>Nature and Elements</v>
      </c>
      <c r="E3011" s="3" t="str">
        <f>IFERROR(__xludf.DUMMYFUNCTION("GOOGLETRANSLATE(B3011, ""nl"", ""en"")"),"An evaporating puddle of water")</f>
        <v>An evaporating puddle of water</v>
      </c>
    </row>
    <row r="3012" ht="15.75" customHeight="1">
      <c r="A3012" s="3" t="s">
        <v>4</v>
      </c>
      <c r="B3012" s="3" t="s">
        <v>43</v>
      </c>
      <c r="D3012" s="3" t="str">
        <f>IFERROR(__xludf.DUMMYFUNCTION("GOOGLETRANSLATE(A3012, ""nl"", ""en"")"),"Architectural and Structural Associations")</f>
        <v>Architectural and Structural Associations</v>
      </c>
      <c r="E3012" s="3" t="str">
        <f>IFERROR(__xludf.DUMMYFUNCTION("GOOGLETRANSLATE(B3012, ""nl"", ""en"")"),"A network of tunnels and passages")</f>
        <v>A network of tunnels and passages</v>
      </c>
    </row>
    <row r="3013" ht="15.75" customHeight="1">
      <c r="A3013" s="3" t="s">
        <v>24</v>
      </c>
      <c r="B3013" s="3" t="s">
        <v>33</v>
      </c>
      <c r="D3013" s="3" t="str">
        <f>IFERROR(__xludf.DUMMYFUNCTION("GOOGLETRANSLATE(A3013, ""nl"", ""en"")"),"Cosmic and Abstract Patterns")</f>
        <v>Cosmic and Abstract Patterns</v>
      </c>
      <c r="E3013" s="3" t="str">
        <f>IFERROR(__xludf.DUMMYFUNCTION("GOOGLETRANSLATE(B3013, ""nl"", ""en"")"),"An eye that repeats itself in endless patterns")</f>
        <v>An eye that repeats itself in endless patterns</v>
      </c>
    </row>
    <row r="3014" ht="15.75" customHeight="1">
      <c r="A3014" s="3" t="s">
        <v>24</v>
      </c>
      <c r="B3014" s="3" t="s">
        <v>29</v>
      </c>
      <c r="D3014" s="3" t="str">
        <f>IFERROR(__xludf.DUMMYFUNCTION("GOOGLETRANSLATE(A3014, ""nl"", ""en"")"),"Cosmic and Abstract Patterns")</f>
        <v>Cosmic and Abstract Patterns</v>
      </c>
      <c r="E3014" s="3" t="str">
        <f>IFERROR(__xludf.DUMMYFUNCTION("GOOGLETRANSLATE(B3014, ""nl"", ""en"")"),"A galaxy unfolding")</f>
        <v>A galaxy unfolding</v>
      </c>
    </row>
    <row r="3015" ht="15.75" customHeight="1">
      <c r="A3015" s="3" t="s">
        <v>7</v>
      </c>
      <c r="B3015" s="3" t="s">
        <v>56</v>
      </c>
      <c r="D3015" s="3" t="str">
        <f>IFERROR(__xludf.DUMMYFUNCTION("GOOGLETRANSLATE(A3015, ""nl"", ""en"")"),"Human Figures and Physicality")</f>
        <v>Human Figures and Physicality</v>
      </c>
      <c r="E3015" s="3" t="str">
        <f>IFERROR(__xludf.DUMMYFUNCTION("GOOGLETRANSLATE(B3015, ""nl"", ""en"")"),"A shadow that seems to move")</f>
        <v>A shadow that seems to move</v>
      </c>
    </row>
    <row r="3016" ht="15.75" customHeight="1">
      <c r="A3016" s="3" t="s">
        <v>7</v>
      </c>
      <c r="B3016" s="3" t="s">
        <v>56</v>
      </c>
      <c r="D3016" s="3" t="str">
        <f>IFERROR(__xludf.DUMMYFUNCTION("GOOGLETRANSLATE(A3016, ""nl"", ""en"")"),"Human Figures and Physicality")</f>
        <v>Human Figures and Physicality</v>
      </c>
      <c r="E3016" s="3" t="str">
        <f>IFERROR(__xludf.DUMMYFUNCTION("GOOGLETRANSLATE(B3016, ""nl"", ""en"")"),"A shadow that seems to move")</f>
        <v>A shadow that seems to move</v>
      </c>
    </row>
    <row r="3017" ht="15.75" customHeight="1">
      <c r="A3017" s="3" t="s">
        <v>4</v>
      </c>
      <c r="B3017" s="3" t="s">
        <v>20</v>
      </c>
      <c r="D3017" s="3" t="str">
        <f>IFERROR(__xludf.DUMMYFUNCTION("GOOGLETRANSLATE(A3017, ""nl"", ""en"")"),"Architectural and Structural Associations")</f>
        <v>Architectural and Structural Associations</v>
      </c>
      <c r="E3017" s="3" t="str">
        <f>IFERROR(__xludf.DUMMYFUNCTION("GOOGLETRANSLATE(B3017, ""nl"", ""en"")"),"A tower that grows by itself")</f>
        <v>A tower that grows by itself</v>
      </c>
    </row>
    <row r="3018" ht="15.75" customHeight="1">
      <c r="A3018" s="3" t="s">
        <v>12</v>
      </c>
      <c r="B3018" s="3" t="s">
        <v>13</v>
      </c>
      <c r="D3018" s="3" t="str">
        <f>IFERROR(__xludf.DUMMYFUNCTION("GOOGLETRANSLATE(A3018, ""nl"", ""en"")"),"Nature and Elements")</f>
        <v>Nature and Elements</v>
      </c>
      <c r="E3018" s="3" t="str">
        <f>IFERROR(__xludf.DUMMYFUNCTION("GOOGLETRANSLATE(B3018, ""nl"", ""en"")"),"A lightning strike in slow motion")</f>
        <v>A lightning strike in slow motion</v>
      </c>
    </row>
    <row r="3019" ht="15.75" customHeight="1">
      <c r="A3019" s="3" t="s">
        <v>15</v>
      </c>
      <c r="B3019" s="3" t="s">
        <v>52</v>
      </c>
      <c r="D3019" s="3" t="str">
        <f>IFERROR(__xludf.DUMMYFUNCTION("GOOGLETRANSLATE(A3019, ""nl"", ""en"")"),"Animals and Organic Forms")</f>
        <v>Animals and Organic Forms</v>
      </c>
      <c r="E3019" s="3" t="str">
        <f>IFERROR(__xludf.DUMMYFUNCTION("GOOGLETRANSLATE(B3019, ""nl"", ""en"")"),"A mask made of leaves")</f>
        <v>A mask made of leaves</v>
      </c>
    </row>
    <row r="3020" ht="15.75" customHeight="1">
      <c r="A3020" s="3" t="s">
        <v>15</v>
      </c>
      <c r="B3020" s="3" t="s">
        <v>38</v>
      </c>
      <c r="D3020" s="3" t="str">
        <f>IFERROR(__xludf.DUMMYFUNCTION("GOOGLETRANSLATE(A3020, ""nl"", ""en"")"),"Animals and Organic Forms")</f>
        <v>Animals and Organic Forms</v>
      </c>
      <c r="E3020" s="3" t="str">
        <f>IFERROR(__xludf.DUMMYFUNCTION("GOOGLETRANSLATE(B3020, ""nl"", ""en"")"),"A lion with an open mouth")</f>
        <v>A lion with an open mouth</v>
      </c>
    </row>
    <row r="3021" ht="15.75" customHeight="1">
      <c r="A3021" s="3" t="s">
        <v>7</v>
      </c>
      <c r="B3021" s="3" t="s">
        <v>39</v>
      </c>
      <c r="D3021" s="3" t="str">
        <f>IFERROR(__xludf.DUMMYFUNCTION("GOOGLETRANSLATE(A3021, ""nl"", ""en"")"),"Human Figures and Physicality")</f>
        <v>Human Figures and Physicality</v>
      </c>
      <c r="E3021" s="3" t="str">
        <f>IFERROR(__xludf.DUMMYFUNCTION("GOOGLETRANSLATE(B3021, ""nl"", ""en"")"),"A torso without a head")</f>
        <v>A torso without a head</v>
      </c>
    </row>
    <row r="3022" ht="15.75" customHeight="1">
      <c r="A3022" s="3" t="s">
        <v>15</v>
      </c>
      <c r="B3022" s="3" t="s">
        <v>46</v>
      </c>
      <c r="D3022" s="3" t="str">
        <f>IFERROR(__xludf.DUMMYFUNCTION("GOOGLETRANSLATE(A3022, ""nl"", ""en"")"),"Animals and Organic Forms")</f>
        <v>Animals and Organic Forms</v>
      </c>
      <c r="E3022" s="3" t="str">
        <f>IFERROR(__xludf.DUMMYFUNCTION("GOOGLETRANSLATE(B3022, ""nl"", ""en"")"),"A flock of fish moving as one")</f>
        <v>A flock of fish moving as one</v>
      </c>
    </row>
    <row r="3023" ht="15.75" customHeight="1">
      <c r="A3023" s="3" t="s">
        <v>9</v>
      </c>
      <c r="B3023" s="3" t="s">
        <v>42</v>
      </c>
      <c r="D3023" s="3" t="str">
        <f>IFERROR(__xludf.DUMMYFUNCTION("GOOGLETRANSLATE(A3023, ""nl"", ""en"")"),"Psychological and Emotional Interpretations")</f>
        <v>Psychological and Emotional Interpretations</v>
      </c>
      <c r="E3023" s="3" t="str">
        <f>IFERROR(__xludf.DUMMYFUNCTION("GOOGLETRANSLATE(B3023, ""nl"", ""en"")"),"A mask that slowly disappears")</f>
        <v>A mask that slowly disappears</v>
      </c>
    </row>
    <row r="3024" ht="15.75" customHeight="1">
      <c r="A3024" s="3" t="s">
        <v>7</v>
      </c>
      <c r="B3024" s="3" t="s">
        <v>39</v>
      </c>
      <c r="D3024" s="3" t="str">
        <f>IFERROR(__xludf.DUMMYFUNCTION("GOOGLETRANSLATE(A3024, ""nl"", ""en"")"),"Human Figures and Physicality")</f>
        <v>Human Figures and Physicality</v>
      </c>
      <c r="E3024" s="3" t="str">
        <f>IFERROR(__xludf.DUMMYFUNCTION("GOOGLETRANSLATE(B3024, ""nl"", ""en"")"),"A torso without a head")</f>
        <v>A torso without a head</v>
      </c>
    </row>
    <row r="3025" ht="15.75" customHeight="1">
      <c r="A3025" s="3" t="s">
        <v>12</v>
      </c>
      <c r="B3025" s="3" t="s">
        <v>47</v>
      </c>
      <c r="D3025" s="3" t="str">
        <f>IFERROR(__xludf.DUMMYFUNCTION("GOOGLETRANSLATE(A3025, ""nl"", ""en"")"),"Nature and Elements")</f>
        <v>Nature and Elements</v>
      </c>
      <c r="E3025" s="3" t="str">
        <f>IFERROR(__xludf.DUMMYFUNCTION("GOOGLETRANSLATE(B3025, ""nl"", ""en"")"),"A desert landscape that slowly changes")</f>
        <v>A desert landscape that slowly changes</v>
      </c>
    </row>
    <row r="3026" ht="15.75" customHeight="1">
      <c r="A3026" s="3" t="s">
        <v>9</v>
      </c>
      <c r="B3026" s="3" t="s">
        <v>57</v>
      </c>
      <c r="D3026" s="3" t="str">
        <f>IFERROR(__xludf.DUMMYFUNCTION("GOOGLETRANSLATE(A3026, ""nl"", ""en"")"),"Psychological and Emotional Interpretations")</f>
        <v>Psychological and Emotional Interpretations</v>
      </c>
      <c r="E3026" s="3" t="str">
        <f>IFERROR(__xludf.DUMMYFUNCTION("GOOGLETRANSLATE(B3026, ""nl"", ""en"")"),"An explosion of colours and feelings")</f>
        <v>An explosion of colours and feelings</v>
      </c>
    </row>
    <row r="3027" ht="15.75" customHeight="1">
      <c r="A3027" s="3" t="s">
        <v>12</v>
      </c>
      <c r="B3027" s="3" t="s">
        <v>19</v>
      </c>
      <c r="D3027" s="3" t="str">
        <f>IFERROR(__xludf.DUMMYFUNCTION("GOOGLETRANSLATE(A3027, ""nl"", ""en"")"),"Nature and Elements")</f>
        <v>Nature and Elements</v>
      </c>
      <c r="E3027" s="3" t="str">
        <f>IFERROR(__xludf.DUMMYFUNCTION("GOOGLETRANSLATE(B3027, ""nl"", ""en"")"),"A mountain range that seems to breathe")</f>
        <v>A mountain range that seems to breathe</v>
      </c>
    </row>
    <row r="3028" ht="15.75" customHeight="1">
      <c r="A3028" s="3" t="s">
        <v>24</v>
      </c>
      <c r="B3028" s="3" t="s">
        <v>33</v>
      </c>
      <c r="D3028" s="3" t="str">
        <f>IFERROR(__xludf.DUMMYFUNCTION("GOOGLETRANSLATE(A3028, ""nl"", ""en"")"),"Cosmic and Abstract Patterns")</f>
        <v>Cosmic and Abstract Patterns</v>
      </c>
      <c r="E3028" s="3" t="str">
        <f>IFERROR(__xludf.DUMMYFUNCTION("GOOGLETRANSLATE(B3028, ""nl"", ""en"")"),"An eye that repeats itself in endless patterns")</f>
        <v>An eye that repeats itself in endless patterns</v>
      </c>
    </row>
    <row r="3029" ht="15.75" customHeight="1">
      <c r="A3029" s="3" t="s">
        <v>24</v>
      </c>
      <c r="B3029" s="3" t="s">
        <v>25</v>
      </c>
      <c r="D3029" s="3" t="str">
        <f>IFERROR(__xludf.DUMMYFUNCTION("GOOGLETRANSLATE(A3029, ""nl"", ""en"")"),"Cosmic and Abstract Patterns")</f>
        <v>Cosmic and Abstract Patterns</v>
      </c>
      <c r="E3029" s="3" t="str">
        <f>IFERROR(__xludf.DUMMYFUNCTION("GOOGLETRANSLATE(B3029, ""nl"", ""en"")"),"A meteor shower dissolving into each other")</f>
        <v>A meteor shower dissolving into each other</v>
      </c>
    </row>
    <row r="3030" ht="15.75" customHeight="1">
      <c r="A3030" s="3" t="s">
        <v>15</v>
      </c>
      <c r="B3030" s="3" t="s">
        <v>22</v>
      </c>
      <c r="D3030" s="3" t="str">
        <f>IFERROR(__xludf.DUMMYFUNCTION("GOOGLETRANSLATE(A3030, ""nl"", ""en"")"),"Animals and Organic Forms")</f>
        <v>Animals and Organic Forms</v>
      </c>
      <c r="E3030" s="3" t="str">
        <f>IFERROR(__xludf.DUMMYFUNCTION("GOOGLETRANSLATE(B3030, ""nl"", ""en"")"),"A bird taking off")</f>
        <v>A bird taking off</v>
      </c>
    </row>
    <row r="3031" ht="15.75" customHeight="1">
      <c r="A3031" s="3" t="s">
        <v>12</v>
      </c>
      <c r="B3031" s="3" t="s">
        <v>51</v>
      </c>
      <c r="D3031" s="3" t="str">
        <f>IFERROR(__xludf.DUMMYFUNCTION("GOOGLETRANSLATE(A3031, ""nl"", ""en"")"),"Nature and Elements")</f>
        <v>Nature and Elements</v>
      </c>
      <c r="E3031" s="3" t="str">
        <f>IFERROR(__xludf.DUMMYFUNCTION("GOOGLETRANSLATE(B3031, ""nl"", ""en"")"),"An evaporating puddle of water")</f>
        <v>An evaporating puddle of water</v>
      </c>
    </row>
    <row r="3032" ht="15.75" customHeight="1">
      <c r="A3032" s="3" t="s">
        <v>24</v>
      </c>
      <c r="B3032" s="3" t="s">
        <v>27</v>
      </c>
      <c r="D3032" s="3" t="str">
        <f>IFERROR(__xludf.DUMMYFUNCTION("GOOGLETRANSLATE(A3032, ""nl"", ""en"")"),"Cosmic and Abstract Patterns")</f>
        <v>Cosmic and Abstract Patterns</v>
      </c>
      <c r="E3032" s="3" t="str">
        <f>IFERROR(__xludf.DUMMYFUNCTION("GOOGLETRANSLATE(B3032, ""nl"", ""en"")"),"A pair of black holes in dance")</f>
        <v>A pair of black holes in dance</v>
      </c>
    </row>
    <row r="3033" ht="15.75" customHeight="1">
      <c r="A3033" s="3" t="s">
        <v>12</v>
      </c>
      <c r="B3033" s="3" t="s">
        <v>51</v>
      </c>
      <c r="D3033" s="3" t="str">
        <f>IFERROR(__xludf.DUMMYFUNCTION("GOOGLETRANSLATE(A3033, ""nl"", ""en"")"),"Nature and Elements")</f>
        <v>Nature and Elements</v>
      </c>
      <c r="E3033" s="3" t="str">
        <f>IFERROR(__xludf.DUMMYFUNCTION("GOOGLETRANSLATE(B3033, ""nl"", ""en"")"),"An evaporating puddle of water")</f>
        <v>An evaporating puddle of water</v>
      </c>
    </row>
    <row r="3034" ht="15.75" customHeight="1">
      <c r="A3034" s="3" t="s">
        <v>12</v>
      </c>
      <c r="B3034" s="3" t="s">
        <v>30</v>
      </c>
      <c r="D3034" s="3" t="str">
        <f>IFERROR(__xludf.DUMMYFUNCTION("GOOGLETRANSLATE(A3034, ""nl"", ""en"")"),"Nature and Elements")</f>
        <v>Nature and Elements</v>
      </c>
      <c r="E3034" s="3" t="str">
        <f>IFERROR(__xludf.DUMMYFUNCTION("GOOGLETRANSLATE(B3034, ""nl"", ""en"")"),"Waves breaking in fractal patterns")</f>
        <v>Waves breaking in fractal patterns</v>
      </c>
    </row>
    <row r="3035" ht="15.75" customHeight="1">
      <c r="A3035" s="3" t="s">
        <v>12</v>
      </c>
      <c r="B3035" s="3" t="s">
        <v>13</v>
      </c>
      <c r="D3035" s="3" t="str">
        <f>IFERROR(__xludf.DUMMYFUNCTION("GOOGLETRANSLATE(A3035, ""nl"", ""en"")"),"Nature and Elements")</f>
        <v>Nature and Elements</v>
      </c>
      <c r="E3035" s="3" t="str">
        <f>IFERROR(__xludf.DUMMYFUNCTION("GOOGLETRANSLATE(B3035, ""nl"", ""en"")"),"A lightning strike in slow motion")</f>
        <v>A lightning strike in slow motion</v>
      </c>
    </row>
    <row r="3036" ht="15.75" customHeight="1">
      <c r="A3036" s="3" t="s">
        <v>15</v>
      </c>
      <c r="B3036" s="3" t="s">
        <v>45</v>
      </c>
      <c r="D3036" s="3" t="str">
        <f>IFERROR(__xludf.DUMMYFUNCTION("GOOGLETRANSLATE(A3036, ""nl"", ""en"")"),"Animals and Organic Forms")</f>
        <v>Animals and Organic Forms</v>
      </c>
      <c r="E3036" s="3" t="str">
        <f>IFERROR(__xludf.DUMMYFUNCTION("GOOGLETRANSLATE(B3036, ""nl"", ""en"")"),"A snake biting its own tail")</f>
        <v>A snake biting its own tail</v>
      </c>
    </row>
    <row r="3037" ht="15.75" customHeight="1">
      <c r="A3037" s="3" t="s">
        <v>4</v>
      </c>
      <c r="B3037" s="3" t="s">
        <v>55</v>
      </c>
      <c r="D3037" s="3" t="str">
        <f>IFERROR(__xludf.DUMMYFUNCTION("GOOGLETRANSLATE(A3037, ""nl"", ""en"")"),"Architectural and Structural Associations")</f>
        <v>Architectural and Structural Associations</v>
      </c>
      <c r="E3037" s="3" t="str">
        <f>IFERROR(__xludf.DUMMYFUNCTION("GOOGLETRANSLATE(B3037, ""nl"", ""en"")"),"A prism that splits light into colors")</f>
        <v>A prism that splits light into colors</v>
      </c>
    </row>
    <row r="3038" ht="15.75" customHeight="1">
      <c r="A3038" s="3" t="s">
        <v>15</v>
      </c>
      <c r="B3038" s="3" t="s">
        <v>16</v>
      </c>
      <c r="D3038" s="3" t="str">
        <f>IFERROR(__xludf.DUMMYFUNCTION("GOOGLETRANSLATE(A3038, ""nl"", ""en"")"),"Animals and Organic Forms")</f>
        <v>Animals and Organic Forms</v>
      </c>
      <c r="E3038" s="3" t="str">
        <f>IFERROR(__xludf.DUMMYFUNCTION("GOOGLETRANSLATE(B3038, ""nl"", ""en"")"),"A butterfly in transformation")</f>
        <v>A butterfly in transformation</v>
      </c>
    </row>
    <row r="3039" ht="15.75" customHeight="1">
      <c r="A3039" s="3" t="s">
        <v>12</v>
      </c>
      <c r="B3039" s="3" t="s">
        <v>47</v>
      </c>
      <c r="D3039" s="3" t="str">
        <f>IFERROR(__xludf.DUMMYFUNCTION("GOOGLETRANSLATE(A3039, ""nl"", ""en"")"),"Nature and Elements")</f>
        <v>Nature and Elements</v>
      </c>
      <c r="E3039" s="3" t="str">
        <f>IFERROR(__xludf.DUMMYFUNCTION("GOOGLETRANSLATE(B3039, ""nl"", ""en"")"),"A desert landscape that slowly changes")</f>
        <v>A desert landscape that slowly changes</v>
      </c>
    </row>
    <row r="3040" ht="15.75" customHeight="1">
      <c r="A3040" s="3" t="s">
        <v>4</v>
      </c>
      <c r="B3040" s="3" t="s">
        <v>21</v>
      </c>
      <c r="D3040" s="3" t="str">
        <f>IFERROR(__xludf.DUMMYFUNCTION("GOOGLETRANSLATE(A3040, ""nl"", ""en"")"),"Architectural and Structural Associations")</f>
        <v>Architectural and Structural Associations</v>
      </c>
      <c r="E3040" s="3" t="str">
        <f>IFERROR(__xludf.DUMMYFUNCTION("GOOGLETRANSLATE(B3040, ""nl"", ""en"")"),"A bridge that leads nowhere")</f>
        <v>A bridge that leads nowhere</v>
      </c>
    </row>
    <row r="3041" ht="15.75" customHeight="1">
      <c r="A3041" s="3" t="s">
        <v>4</v>
      </c>
      <c r="B3041" s="3" t="s">
        <v>35</v>
      </c>
      <c r="D3041" s="3" t="str">
        <f>IFERROR(__xludf.DUMMYFUNCTION("GOOGLETRANSLATE(A3041, ""nl"", ""en"")"),"Architectural and Structural Associations")</f>
        <v>Architectural and Structural Associations</v>
      </c>
      <c r="E3041" s="3" t="str">
        <f>IFERROR(__xludf.DUMMYFUNCTION("GOOGLETRANSLATE(B3041, ""nl"", ""en"")"),"A floating building without a base")</f>
        <v>A floating building without a base</v>
      </c>
    </row>
    <row r="3042" ht="15.75" customHeight="1">
      <c r="A3042" s="3" t="s">
        <v>4</v>
      </c>
      <c r="B3042" s="3" t="s">
        <v>6</v>
      </c>
      <c r="D3042" s="3" t="str">
        <f>IFERROR(__xludf.DUMMYFUNCTION("GOOGLETRANSLATE(A3042, ""nl"", ""en"")"),"Architectural and Structural Associations")</f>
        <v>Architectural and Structural Associations</v>
      </c>
      <c r="E3042" s="3" t="str">
        <f>IFERROR(__xludf.DUMMYFUNCTION("GOOGLETRANSLATE(B3042, ""nl"", ""en"")"),"An endless labyrinth")</f>
        <v>An endless labyrinth</v>
      </c>
    </row>
    <row r="3043" ht="15.75" customHeight="1">
      <c r="A3043" s="3" t="s">
        <v>24</v>
      </c>
      <c r="B3043" s="3" t="s">
        <v>54</v>
      </c>
      <c r="D3043" s="3" t="str">
        <f>IFERROR(__xludf.DUMMYFUNCTION("GOOGLETRANSLATE(A3043, ""nl"", ""en"")"),"Cosmic and Abstract Patterns")</f>
        <v>Cosmic and Abstract Patterns</v>
      </c>
      <c r="E3043" s="3" t="str">
        <f>IFERROR(__xludf.DUMMYFUNCTION("GOOGLETRANSLATE(B3043, ""nl"", ""en"")"),"A quantum particle in superposition")</f>
        <v>A quantum particle in superposition</v>
      </c>
    </row>
    <row r="3044" ht="15.75" customHeight="1">
      <c r="A3044" s="3" t="s">
        <v>7</v>
      </c>
      <c r="B3044" s="3" t="s">
        <v>34</v>
      </c>
      <c r="D3044" s="3" t="str">
        <f>IFERROR(__xludf.DUMMYFUNCTION("GOOGLETRANSLATE(A3044, ""nl"", ""en"")"),"Human Figures and Physicality")</f>
        <v>Human Figures and Physicality</v>
      </c>
      <c r="E3044" s="3" t="str">
        <f>IFERROR(__xludf.DUMMYFUNCTION("GOOGLETRANSLATE(B3044, ""nl"", ""en"")"),"Hands almost touching")</f>
        <v>Hands almost touching</v>
      </c>
    </row>
    <row r="3045" ht="15.75" customHeight="1">
      <c r="A3045" s="3" t="s">
        <v>24</v>
      </c>
      <c r="B3045" s="3" t="s">
        <v>48</v>
      </c>
      <c r="D3045" s="3" t="str">
        <f>IFERROR(__xludf.DUMMYFUNCTION("GOOGLETRANSLATE(A3045, ""nl"", ""en"")"),"Cosmic and Abstract Patterns")</f>
        <v>Cosmic and Abstract Patterns</v>
      </c>
      <c r="E3045" s="3" t="str">
        <f>IFERROR(__xludf.DUMMYFUNCTION("GOOGLETRANSLATE(B3045, ""nl"", ""en"")"),"A fractal that repeats itself")</f>
        <v>A fractal that repeats itself</v>
      </c>
    </row>
    <row r="3046" ht="15.75" customHeight="1">
      <c r="A3046" s="3" t="s">
        <v>12</v>
      </c>
      <c r="B3046" s="3" t="s">
        <v>51</v>
      </c>
      <c r="D3046" s="3" t="str">
        <f>IFERROR(__xludf.DUMMYFUNCTION("GOOGLETRANSLATE(A3046, ""nl"", ""en"")"),"Nature and Elements")</f>
        <v>Nature and Elements</v>
      </c>
      <c r="E3046" s="3" t="str">
        <f>IFERROR(__xludf.DUMMYFUNCTION("GOOGLETRANSLATE(B3046, ""nl"", ""en"")"),"An evaporating puddle of water")</f>
        <v>An evaporating puddle of water</v>
      </c>
    </row>
    <row r="3047" ht="15.75" customHeight="1">
      <c r="A3047" s="3" t="s">
        <v>15</v>
      </c>
      <c r="B3047" s="3" t="s">
        <v>46</v>
      </c>
      <c r="D3047" s="3" t="str">
        <f>IFERROR(__xludf.DUMMYFUNCTION("GOOGLETRANSLATE(A3047, ""nl"", ""en"")"),"Animals and Organic Forms")</f>
        <v>Animals and Organic Forms</v>
      </c>
      <c r="E3047" s="3" t="str">
        <f>IFERROR(__xludf.DUMMYFUNCTION("GOOGLETRANSLATE(B3047, ""nl"", ""en"")"),"A flock of fish moving as one")</f>
        <v>A flock of fish moving as one</v>
      </c>
    </row>
    <row r="3048" ht="15.75" customHeight="1">
      <c r="A3048" s="3" t="s">
        <v>24</v>
      </c>
      <c r="B3048" s="3" t="s">
        <v>32</v>
      </c>
      <c r="D3048" s="3" t="str">
        <f>IFERROR(__xludf.DUMMYFUNCTION("GOOGLETRANSLATE(A3048, ""nl"", ""en"")"),"Cosmic and Abstract Patterns")</f>
        <v>Cosmic and Abstract Patterns</v>
      </c>
      <c r="E3048" s="3" t="str">
        <f>IFERROR(__xludf.DUMMYFUNCTION("GOOGLETRANSLATE(B3048, ""nl"", ""en"")"),"A time loop captured in image")</f>
        <v>A time loop captured in image</v>
      </c>
    </row>
    <row r="3049" ht="15.75" customHeight="1">
      <c r="A3049" s="3" t="s">
        <v>15</v>
      </c>
      <c r="B3049" s="3" t="s">
        <v>38</v>
      </c>
      <c r="D3049" s="3" t="str">
        <f>IFERROR(__xludf.DUMMYFUNCTION("GOOGLETRANSLATE(A3049, ""nl"", ""en"")"),"Animals and Organic Forms")</f>
        <v>Animals and Organic Forms</v>
      </c>
      <c r="E3049" s="3" t="str">
        <f>IFERROR(__xludf.DUMMYFUNCTION("GOOGLETRANSLATE(B3049, ""nl"", ""en"")"),"A lion with an open mouth")</f>
        <v>A lion with an open mouth</v>
      </c>
    </row>
    <row r="3050" ht="15.75" customHeight="1">
      <c r="A3050" s="3" t="s">
        <v>4</v>
      </c>
      <c r="B3050" s="3" t="s">
        <v>5</v>
      </c>
      <c r="D3050" s="3" t="str">
        <f>IFERROR(__xludf.DUMMYFUNCTION("GOOGLETRANSLATE(A3050, ""nl"", ""en"")"),"Architectural and Structural Associations")</f>
        <v>Architectural and Structural Associations</v>
      </c>
      <c r="E3050" s="3" t="str">
        <f>IFERROR(__xludf.DUMMYFUNCTION("GOOGLETRANSLATE(B3050, ""nl"", ""en"")"),"A cathedral shaped from mist")</f>
        <v>A cathedral shaped from mist</v>
      </c>
    </row>
    <row r="3051" ht="15.75" customHeight="1">
      <c r="A3051" s="3" t="s">
        <v>15</v>
      </c>
      <c r="B3051" s="3" t="s">
        <v>38</v>
      </c>
      <c r="D3051" s="3" t="str">
        <f>IFERROR(__xludf.DUMMYFUNCTION("GOOGLETRANSLATE(A3051, ""nl"", ""en"")"),"Animals and Organic Forms")</f>
        <v>Animals and Organic Forms</v>
      </c>
      <c r="E3051" s="3" t="str">
        <f>IFERROR(__xludf.DUMMYFUNCTION("GOOGLETRANSLATE(B3051, ""nl"", ""en"")"),"A lion with an open mouth")</f>
        <v>A lion with an open mouth</v>
      </c>
    </row>
    <row r="3052" ht="15.75" customHeight="1">
      <c r="A3052" s="3" t="s">
        <v>9</v>
      </c>
      <c r="B3052" s="3" t="s">
        <v>49</v>
      </c>
      <c r="D3052" s="3" t="str">
        <f>IFERROR(__xludf.DUMMYFUNCTION("GOOGLETRANSLATE(A3052, ""nl"", ""en"")"),"Psychological and Emotional Interpretations")</f>
        <v>Psychological and Emotional Interpretations</v>
      </c>
      <c r="E3052" s="3" t="str">
        <f>IFERROR(__xludf.DUMMYFUNCTION("GOOGLETRANSLATE(B3052, ""nl"", ""en"")"),"A spiral that turns inward")</f>
        <v>A spiral that turns inward</v>
      </c>
    </row>
    <row r="3053" ht="15.75" customHeight="1">
      <c r="A3053" s="3" t="s">
        <v>12</v>
      </c>
      <c r="B3053" s="3" t="s">
        <v>30</v>
      </c>
      <c r="D3053" s="3" t="str">
        <f>IFERROR(__xludf.DUMMYFUNCTION("GOOGLETRANSLATE(A3053, ""nl"", ""en"")"),"Nature and Elements")</f>
        <v>Nature and Elements</v>
      </c>
      <c r="E3053" s="3" t="str">
        <f>IFERROR(__xludf.DUMMYFUNCTION("GOOGLETRANSLATE(B3053, ""nl"", ""en"")"),"Waves breaking in fractal patterns")</f>
        <v>Waves breaking in fractal patterns</v>
      </c>
    </row>
    <row r="3054" ht="15.75" customHeight="1">
      <c r="A3054" s="3" t="s">
        <v>24</v>
      </c>
      <c r="B3054" s="3" t="s">
        <v>33</v>
      </c>
      <c r="D3054" s="3" t="str">
        <f>IFERROR(__xludf.DUMMYFUNCTION("GOOGLETRANSLATE(A3054, ""nl"", ""en"")"),"Cosmic and Abstract Patterns")</f>
        <v>Cosmic and Abstract Patterns</v>
      </c>
      <c r="E3054" s="3" t="str">
        <f>IFERROR(__xludf.DUMMYFUNCTION("GOOGLETRANSLATE(B3054, ""nl"", ""en"")"),"An eye that repeats itself in endless patterns")</f>
        <v>An eye that repeats itself in endless patterns</v>
      </c>
    </row>
    <row r="3055" ht="15.75" customHeight="1">
      <c r="A3055" s="3" t="s">
        <v>4</v>
      </c>
      <c r="B3055" s="3" t="s">
        <v>21</v>
      </c>
      <c r="D3055" s="3" t="str">
        <f>IFERROR(__xludf.DUMMYFUNCTION("GOOGLETRANSLATE(A3055, ""nl"", ""en"")"),"Architectural and Structural Associations")</f>
        <v>Architectural and Structural Associations</v>
      </c>
      <c r="E3055" s="3" t="str">
        <f>IFERROR(__xludf.DUMMYFUNCTION("GOOGLETRANSLATE(B3055, ""nl"", ""en"")"),"A bridge that leads nowhere")</f>
        <v>A bridge that leads nowhere</v>
      </c>
    </row>
    <row r="3056" ht="15.75" customHeight="1">
      <c r="A3056" s="3" t="s">
        <v>24</v>
      </c>
      <c r="B3056" s="3" t="s">
        <v>48</v>
      </c>
      <c r="D3056" s="3" t="str">
        <f>IFERROR(__xludf.DUMMYFUNCTION("GOOGLETRANSLATE(A3056, ""nl"", ""en"")"),"Cosmic and Abstract Patterns")</f>
        <v>Cosmic and Abstract Patterns</v>
      </c>
      <c r="E3056" s="3" t="str">
        <f>IFERROR(__xludf.DUMMYFUNCTION("GOOGLETRANSLATE(B3056, ""nl"", ""en"")"),"A fractal that repeats itself")</f>
        <v>A fractal that repeats itself</v>
      </c>
    </row>
    <row r="3057" ht="15.75" customHeight="1">
      <c r="A3057" s="3" t="s">
        <v>12</v>
      </c>
      <c r="B3057" s="3" t="s">
        <v>30</v>
      </c>
      <c r="D3057" s="3" t="str">
        <f>IFERROR(__xludf.DUMMYFUNCTION("GOOGLETRANSLATE(A3057, ""nl"", ""en"")"),"Nature and Elements")</f>
        <v>Nature and Elements</v>
      </c>
      <c r="E3057" s="3" t="str">
        <f>IFERROR(__xludf.DUMMYFUNCTION("GOOGLETRANSLATE(B3057, ""nl"", ""en"")"),"Waves breaking in fractal patterns")</f>
        <v>Waves breaking in fractal patterns</v>
      </c>
    </row>
    <row r="3058" ht="15.75" customHeight="1">
      <c r="A3058" s="3" t="s">
        <v>4</v>
      </c>
      <c r="B3058" s="3" t="s">
        <v>21</v>
      </c>
      <c r="D3058" s="3" t="str">
        <f>IFERROR(__xludf.DUMMYFUNCTION("GOOGLETRANSLATE(A3058, ""nl"", ""en"")"),"Architectural and Structural Associations")</f>
        <v>Architectural and Structural Associations</v>
      </c>
      <c r="E3058" s="3" t="str">
        <f>IFERROR(__xludf.DUMMYFUNCTION("GOOGLETRANSLATE(B3058, ""nl"", ""en"")"),"A bridge that leads nowhere")</f>
        <v>A bridge that leads nowhere</v>
      </c>
    </row>
    <row r="3059" ht="15.75" customHeight="1">
      <c r="A3059" s="3" t="s">
        <v>4</v>
      </c>
      <c r="B3059" s="3" t="s">
        <v>55</v>
      </c>
      <c r="D3059" s="3" t="str">
        <f>IFERROR(__xludf.DUMMYFUNCTION("GOOGLETRANSLATE(A3059, ""nl"", ""en"")"),"Architectural and Structural Associations")</f>
        <v>Architectural and Structural Associations</v>
      </c>
      <c r="E3059" s="3" t="str">
        <f>IFERROR(__xludf.DUMMYFUNCTION("GOOGLETRANSLATE(B3059, ""nl"", ""en"")"),"A prism that splits light into colors")</f>
        <v>A prism that splits light into colors</v>
      </c>
    </row>
    <row r="3060" ht="15.75" customHeight="1">
      <c r="A3060" s="3" t="s">
        <v>9</v>
      </c>
      <c r="B3060" s="3" t="s">
        <v>10</v>
      </c>
      <c r="D3060" s="3" t="str">
        <f>IFERROR(__xludf.DUMMYFUNCTION("GOOGLETRANSLATE(A3060, ""nl"", ""en"")"),"Psychological and Emotional Interpretations")</f>
        <v>Psychological and Emotional Interpretations</v>
      </c>
      <c r="E3060" s="3" t="str">
        <f>IFERROR(__xludf.DUMMYFUNCTION("GOOGLETRANSLATE(B3060, ""nl"", ""en"")"),"A face transforming in light")</f>
        <v>A face transforming in light</v>
      </c>
    </row>
    <row r="3061" ht="15.75" customHeight="1">
      <c r="A3061" s="3" t="s">
        <v>7</v>
      </c>
      <c r="B3061" s="3" t="s">
        <v>28</v>
      </c>
      <c r="D3061" s="3" t="str">
        <f>IFERROR(__xludf.DUMMYFUNCTION("GOOGLETRANSLATE(A3061, ""nl"", ""en"")"),"Human Figures and Physicality")</f>
        <v>Human Figures and Physicality</v>
      </c>
      <c r="E3061" s="3" t="str">
        <f>IFERROR(__xludf.DUMMYFUNCTION("GOOGLETRANSLATE(B3061, ""nl"", ""en"")"),"A dancing silhouette")</f>
        <v>A dancing silhouette</v>
      </c>
    </row>
    <row r="3062" ht="15.75" customHeight="1">
      <c r="A3062" s="3" t="s">
        <v>24</v>
      </c>
      <c r="B3062" s="3" t="s">
        <v>25</v>
      </c>
      <c r="D3062" s="3" t="str">
        <f>IFERROR(__xludf.DUMMYFUNCTION("GOOGLETRANSLATE(A3062, ""nl"", ""en"")"),"Cosmic and Abstract Patterns")</f>
        <v>Cosmic and Abstract Patterns</v>
      </c>
      <c r="E3062" s="3" t="str">
        <f>IFERROR(__xludf.DUMMYFUNCTION("GOOGLETRANSLATE(B3062, ""nl"", ""en"")"),"A meteor shower dissolving into each other")</f>
        <v>A meteor shower dissolving into each other</v>
      </c>
    </row>
    <row r="3063" ht="15.75" customHeight="1">
      <c r="A3063" s="3" t="s">
        <v>9</v>
      </c>
      <c r="B3063" s="3" t="s">
        <v>11</v>
      </c>
      <c r="D3063" s="3" t="str">
        <f>IFERROR(__xludf.DUMMYFUNCTION("GOOGLETRANSLATE(A3063, ""nl"", ""en"")"),"Psychological and Emotional Interpretations")</f>
        <v>Psychological and Emotional Interpretations</v>
      </c>
      <c r="E3063" s="3" t="str">
        <f>IFERROR(__xludf.DUMMYFUNCTION("GOOGLETRANSLATE(B3063, ""nl"", ""en"")"),"An emotion captured in abstraction")</f>
        <v>An emotion captured in abstraction</v>
      </c>
    </row>
    <row r="3064" ht="15.75" customHeight="1">
      <c r="A3064" s="3" t="s">
        <v>4</v>
      </c>
      <c r="B3064" s="3" t="s">
        <v>55</v>
      </c>
      <c r="D3064" s="3" t="str">
        <f>IFERROR(__xludf.DUMMYFUNCTION("GOOGLETRANSLATE(A3064, ""nl"", ""en"")"),"Architectural and Structural Associations")</f>
        <v>Architectural and Structural Associations</v>
      </c>
      <c r="E3064" s="3" t="str">
        <f>IFERROR(__xludf.DUMMYFUNCTION("GOOGLETRANSLATE(B3064, ""nl"", ""en"")"),"A prism that splits light into colors")</f>
        <v>A prism that splits light into colors</v>
      </c>
    </row>
    <row r="3065" ht="15.75" customHeight="1">
      <c r="A3065" s="3" t="s">
        <v>24</v>
      </c>
      <c r="B3065" s="3" t="s">
        <v>29</v>
      </c>
      <c r="D3065" s="3" t="str">
        <f>IFERROR(__xludf.DUMMYFUNCTION("GOOGLETRANSLATE(A3065, ""nl"", ""en"")"),"Cosmic and Abstract Patterns")</f>
        <v>Cosmic and Abstract Patterns</v>
      </c>
      <c r="E3065" s="3" t="str">
        <f>IFERROR(__xludf.DUMMYFUNCTION("GOOGLETRANSLATE(B3065, ""nl"", ""en"")"),"A galaxy unfolding")</f>
        <v>A galaxy unfolding</v>
      </c>
    </row>
    <row r="3066" ht="15.75" customHeight="1">
      <c r="A3066" s="3" t="s">
        <v>15</v>
      </c>
      <c r="B3066" s="3" t="s">
        <v>46</v>
      </c>
      <c r="D3066" s="3" t="str">
        <f>IFERROR(__xludf.DUMMYFUNCTION("GOOGLETRANSLATE(A3066, ""nl"", ""en"")"),"Animals and Organic Forms")</f>
        <v>Animals and Organic Forms</v>
      </c>
      <c r="E3066" s="3" t="str">
        <f>IFERROR(__xludf.DUMMYFUNCTION("GOOGLETRANSLATE(B3066, ""nl"", ""en"")"),"A flock of fish moving as one")</f>
        <v>A flock of fish moving as one</v>
      </c>
    </row>
    <row r="3067" ht="15.75" customHeight="1">
      <c r="A3067" s="3" t="s">
        <v>24</v>
      </c>
      <c r="B3067" s="3" t="s">
        <v>27</v>
      </c>
      <c r="D3067" s="3" t="str">
        <f>IFERROR(__xludf.DUMMYFUNCTION("GOOGLETRANSLATE(A3067, ""nl"", ""en"")"),"Cosmic and Abstract Patterns")</f>
        <v>Cosmic and Abstract Patterns</v>
      </c>
      <c r="E3067" s="3" t="str">
        <f>IFERROR(__xludf.DUMMYFUNCTION("GOOGLETRANSLATE(B3067, ""nl"", ""en"")"),"A pair of black holes in dance")</f>
        <v>A pair of black holes in dance</v>
      </c>
    </row>
    <row r="3068" ht="15.75" customHeight="1">
      <c r="A3068" s="3" t="s">
        <v>12</v>
      </c>
      <c r="B3068" s="3" t="s">
        <v>47</v>
      </c>
      <c r="D3068" s="3" t="str">
        <f>IFERROR(__xludf.DUMMYFUNCTION("GOOGLETRANSLATE(A3068, ""nl"", ""en"")"),"Nature and Elements")</f>
        <v>Nature and Elements</v>
      </c>
      <c r="E3068" s="3" t="str">
        <f>IFERROR(__xludf.DUMMYFUNCTION("GOOGLETRANSLATE(B3068, ""nl"", ""en"")"),"A desert landscape that slowly changes")</f>
        <v>A desert landscape that slowly changes</v>
      </c>
    </row>
    <row r="3069" ht="15.75" customHeight="1">
      <c r="A3069" s="3" t="s">
        <v>12</v>
      </c>
      <c r="B3069" s="3" t="s">
        <v>19</v>
      </c>
      <c r="D3069" s="3" t="str">
        <f>IFERROR(__xludf.DUMMYFUNCTION("GOOGLETRANSLATE(A3069, ""nl"", ""en"")"),"Nature and Elements")</f>
        <v>Nature and Elements</v>
      </c>
      <c r="E3069" s="3" t="str">
        <f>IFERROR(__xludf.DUMMYFUNCTION("GOOGLETRANSLATE(B3069, ""nl"", ""en"")"),"A mountain range that seems to breathe")</f>
        <v>A mountain range that seems to breathe</v>
      </c>
    </row>
    <row r="3070" ht="15.75" customHeight="1">
      <c r="A3070" s="3" t="s">
        <v>15</v>
      </c>
      <c r="B3070" s="3" t="s">
        <v>38</v>
      </c>
      <c r="D3070" s="3" t="str">
        <f>IFERROR(__xludf.DUMMYFUNCTION("GOOGLETRANSLATE(A3070, ""nl"", ""en"")"),"Animals and Organic Forms")</f>
        <v>Animals and Organic Forms</v>
      </c>
      <c r="E3070" s="3" t="str">
        <f>IFERROR(__xludf.DUMMYFUNCTION("GOOGLETRANSLATE(B3070, ""nl"", ""en"")"),"A lion with an open mouth")</f>
        <v>A lion with an open mouth</v>
      </c>
    </row>
    <row r="3071" ht="15.75" customHeight="1">
      <c r="A3071" s="3" t="s">
        <v>15</v>
      </c>
      <c r="B3071" s="3" t="s">
        <v>45</v>
      </c>
      <c r="D3071" s="3" t="str">
        <f>IFERROR(__xludf.DUMMYFUNCTION("GOOGLETRANSLATE(A3071, ""nl"", ""en"")"),"Animals and Organic Forms")</f>
        <v>Animals and Organic Forms</v>
      </c>
      <c r="E3071" s="3" t="str">
        <f>IFERROR(__xludf.DUMMYFUNCTION("GOOGLETRANSLATE(B3071, ""nl"", ""en"")"),"A snake biting its own tail")</f>
        <v>A snake biting its own tail</v>
      </c>
    </row>
    <row r="3072" ht="15.75" customHeight="1">
      <c r="A3072" s="3" t="s">
        <v>15</v>
      </c>
      <c r="B3072" s="3" t="s">
        <v>22</v>
      </c>
      <c r="D3072" s="3" t="str">
        <f>IFERROR(__xludf.DUMMYFUNCTION("GOOGLETRANSLATE(A3072, ""nl"", ""en"")"),"Animals and Organic Forms")</f>
        <v>Animals and Organic Forms</v>
      </c>
      <c r="E3072" s="3" t="str">
        <f>IFERROR(__xludf.DUMMYFUNCTION("GOOGLETRANSLATE(B3072, ""nl"", ""en"")"),"A bird taking off")</f>
        <v>A bird taking off</v>
      </c>
    </row>
    <row r="3073" ht="15.75" customHeight="1">
      <c r="A3073" s="3" t="s">
        <v>24</v>
      </c>
      <c r="B3073" s="3" t="s">
        <v>48</v>
      </c>
      <c r="D3073" s="3" t="str">
        <f>IFERROR(__xludf.DUMMYFUNCTION("GOOGLETRANSLATE(A3073, ""nl"", ""en"")"),"Cosmic and Abstract Patterns")</f>
        <v>Cosmic and Abstract Patterns</v>
      </c>
      <c r="E3073" s="3" t="str">
        <f>IFERROR(__xludf.DUMMYFUNCTION("GOOGLETRANSLATE(B3073, ""nl"", ""en"")"),"A fractal that repeats itself")</f>
        <v>A fractal that repeats itself</v>
      </c>
    </row>
    <row r="3074" ht="15.75" customHeight="1">
      <c r="A3074" s="3" t="s">
        <v>4</v>
      </c>
      <c r="B3074" s="3" t="s">
        <v>5</v>
      </c>
      <c r="D3074" s="3" t="str">
        <f>IFERROR(__xludf.DUMMYFUNCTION("GOOGLETRANSLATE(A3074, ""nl"", ""en"")"),"Architectural and Structural Associations")</f>
        <v>Architectural and Structural Associations</v>
      </c>
      <c r="E3074" s="3" t="str">
        <f>IFERROR(__xludf.DUMMYFUNCTION("GOOGLETRANSLATE(B3074, ""nl"", ""en"")"),"A cathedral shaped from mist")</f>
        <v>A cathedral shaped from mist</v>
      </c>
    </row>
    <row r="3075" ht="15.75" customHeight="1">
      <c r="A3075" s="3" t="s">
        <v>12</v>
      </c>
      <c r="B3075" s="3" t="s">
        <v>51</v>
      </c>
      <c r="D3075" s="3" t="str">
        <f>IFERROR(__xludf.DUMMYFUNCTION("GOOGLETRANSLATE(A3075, ""nl"", ""en"")"),"Nature and Elements")</f>
        <v>Nature and Elements</v>
      </c>
      <c r="E3075" s="3" t="str">
        <f>IFERROR(__xludf.DUMMYFUNCTION("GOOGLETRANSLATE(B3075, ""nl"", ""en"")"),"An evaporating puddle of water")</f>
        <v>An evaporating puddle of water</v>
      </c>
    </row>
    <row r="3076" ht="15.75" customHeight="1">
      <c r="A3076" s="3" t="s">
        <v>9</v>
      </c>
      <c r="B3076" s="3" t="s">
        <v>10</v>
      </c>
      <c r="D3076" s="3" t="str">
        <f>IFERROR(__xludf.DUMMYFUNCTION("GOOGLETRANSLATE(A3076, ""nl"", ""en"")"),"Psychological and Emotional Interpretations")</f>
        <v>Psychological and Emotional Interpretations</v>
      </c>
      <c r="E3076" s="3" t="str">
        <f>IFERROR(__xludf.DUMMYFUNCTION("GOOGLETRANSLATE(B3076, ""nl"", ""en"")"),"A face transforming in light")</f>
        <v>A face transforming in light</v>
      </c>
    </row>
    <row r="3077" ht="15.75" customHeight="1">
      <c r="A3077" s="3" t="s">
        <v>24</v>
      </c>
      <c r="B3077" s="3" t="s">
        <v>27</v>
      </c>
      <c r="D3077" s="3" t="str">
        <f>IFERROR(__xludf.DUMMYFUNCTION("GOOGLETRANSLATE(A3077, ""nl"", ""en"")"),"Cosmic and Abstract Patterns")</f>
        <v>Cosmic and Abstract Patterns</v>
      </c>
      <c r="E3077" s="3" t="str">
        <f>IFERROR(__xludf.DUMMYFUNCTION("GOOGLETRANSLATE(B3077, ""nl"", ""en"")"),"A pair of black holes in dance")</f>
        <v>A pair of black holes in dance</v>
      </c>
    </row>
    <row r="3078" ht="15.75" customHeight="1">
      <c r="A3078" s="3" t="s">
        <v>4</v>
      </c>
      <c r="B3078" s="3" t="s">
        <v>21</v>
      </c>
      <c r="D3078" s="3" t="str">
        <f>IFERROR(__xludf.DUMMYFUNCTION("GOOGLETRANSLATE(A3078, ""nl"", ""en"")"),"Architectural and Structural Associations")</f>
        <v>Architectural and Structural Associations</v>
      </c>
      <c r="E3078" s="3" t="str">
        <f>IFERROR(__xludf.DUMMYFUNCTION("GOOGLETRANSLATE(B3078, ""nl"", ""en"")"),"A bridge that leads nowhere")</f>
        <v>A bridge that leads nowhere</v>
      </c>
    </row>
    <row r="3079" ht="15.75" customHeight="1">
      <c r="A3079" s="3" t="s">
        <v>15</v>
      </c>
      <c r="B3079" s="3" t="s">
        <v>22</v>
      </c>
      <c r="D3079" s="3" t="str">
        <f>IFERROR(__xludf.DUMMYFUNCTION("GOOGLETRANSLATE(A3079, ""nl"", ""en"")"),"Animals and Organic Forms")</f>
        <v>Animals and Organic Forms</v>
      </c>
      <c r="E3079" s="3" t="str">
        <f>IFERROR(__xludf.DUMMYFUNCTION("GOOGLETRANSLATE(B3079, ""nl"", ""en"")"),"A bird taking off")</f>
        <v>A bird taking off</v>
      </c>
    </row>
    <row r="3080" ht="15.75" customHeight="1">
      <c r="A3080" s="3" t="s">
        <v>15</v>
      </c>
      <c r="B3080" s="3" t="s">
        <v>52</v>
      </c>
      <c r="D3080" s="3" t="str">
        <f>IFERROR(__xludf.DUMMYFUNCTION("GOOGLETRANSLATE(A3080, ""nl"", ""en"")"),"Animals and Organic Forms")</f>
        <v>Animals and Organic Forms</v>
      </c>
      <c r="E3080" s="3" t="str">
        <f>IFERROR(__xludf.DUMMYFUNCTION("GOOGLETRANSLATE(B3080, ""nl"", ""en"")"),"A mask made of leaves")</f>
        <v>A mask made of leaves</v>
      </c>
    </row>
    <row r="3081" ht="15.75" customHeight="1">
      <c r="A3081" s="3" t="s">
        <v>4</v>
      </c>
      <c r="B3081" s="3" t="s">
        <v>55</v>
      </c>
      <c r="D3081" s="3" t="str">
        <f>IFERROR(__xludf.DUMMYFUNCTION("GOOGLETRANSLATE(A3081, ""nl"", ""en"")"),"Architectural and Structural Associations")</f>
        <v>Architectural and Structural Associations</v>
      </c>
      <c r="E3081" s="3" t="str">
        <f>IFERROR(__xludf.DUMMYFUNCTION("GOOGLETRANSLATE(B3081, ""nl"", ""en"")"),"A prism that splits light into colors")</f>
        <v>A prism that splits light into colors</v>
      </c>
    </row>
    <row r="3082" ht="15.75" customHeight="1">
      <c r="A3082" s="3" t="s">
        <v>7</v>
      </c>
      <c r="B3082" s="3" t="s">
        <v>39</v>
      </c>
      <c r="D3082" s="3" t="str">
        <f>IFERROR(__xludf.DUMMYFUNCTION("GOOGLETRANSLATE(A3082, ""nl"", ""en"")"),"Human Figures and Physicality")</f>
        <v>Human Figures and Physicality</v>
      </c>
      <c r="E3082" s="3" t="str">
        <f>IFERROR(__xludf.DUMMYFUNCTION("GOOGLETRANSLATE(B3082, ""nl"", ""en"")"),"A torso without a head")</f>
        <v>A torso without a head</v>
      </c>
    </row>
    <row r="3083" ht="15.75" customHeight="1">
      <c r="A3083" s="3" t="s">
        <v>12</v>
      </c>
      <c r="B3083" s="3" t="s">
        <v>47</v>
      </c>
      <c r="D3083" s="3" t="str">
        <f>IFERROR(__xludf.DUMMYFUNCTION("GOOGLETRANSLATE(A3083, ""nl"", ""en"")"),"Nature and Elements")</f>
        <v>Nature and Elements</v>
      </c>
      <c r="E3083" s="3" t="str">
        <f>IFERROR(__xludf.DUMMYFUNCTION("GOOGLETRANSLATE(B3083, ""nl"", ""en"")"),"A desert landscape that slowly changes")</f>
        <v>A desert landscape that slowly changes</v>
      </c>
    </row>
    <row r="3084" ht="15.75" customHeight="1">
      <c r="A3084" s="3" t="s">
        <v>4</v>
      </c>
      <c r="B3084" s="3" t="s">
        <v>21</v>
      </c>
      <c r="D3084" s="3" t="str">
        <f>IFERROR(__xludf.DUMMYFUNCTION("GOOGLETRANSLATE(A3084, ""nl"", ""en"")"),"Architectural and Structural Associations")</f>
        <v>Architectural and Structural Associations</v>
      </c>
      <c r="E3084" s="3" t="str">
        <f>IFERROR(__xludf.DUMMYFUNCTION("GOOGLETRANSLATE(B3084, ""nl"", ""en"")"),"A bridge that leads nowhere")</f>
        <v>A bridge that leads nowhere</v>
      </c>
    </row>
    <row r="3085" ht="15.75" customHeight="1">
      <c r="A3085" s="3" t="s">
        <v>24</v>
      </c>
      <c r="B3085" s="3" t="s">
        <v>33</v>
      </c>
      <c r="D3085" s="3" t="str">
        <f>IFERROR(__xludf.DUMMYFUNCTION("GOOGLETRANSLATE(A3085, ""nl"", ""en"")"),"Cosmic and Abstract Patterns")</f>
        <v>Cosmic and Abstract Patterns</v>
      </c>
      <c r="E3085" s="3" t="str">
        <f>IFERROR(__xludf.DUMMYFUNCTION("GOOGLETRANSLATE(B3085, ""nl"", ""en"")"),"An eye that repeats itself in endless patterns")</f>
        <v>An eye that repeats itself in endless patterns</v>
      </c>
    </row>
    <row r="3086" ht="15.75" customHeight="1">
      <c r="A3086" s="3" t="s">
        <v>7</v>
      </c>
      <c r="B3086" s="3" t="s">
        <v>40</v>
      </c>
      <c r="D3086" s="3" t="str">
        <f>IFERROR(__xludf.DUMMYFUNCTION("GOOGLETRANSLATE(A3086, ""nl"", ""en"")"),"Human Figures and Physicality")</f>
        <v>Human Figures and Physicality</v>
      </c>
      <c r="E3086" s="3" t="str">
        <f>IFERROR(__xludf.DUMMYFUNCTION("GOOGLETRANSLATE(B3086, ""nl"", ""en"")"),"A figure who is withdrawn into himself")</f>
        <v>A figure who is withdrawn into himself</v>
      </c>
    </row>
    <row r="3087" ht="15.75" customHeight="1">
      <c r="A3087" s="3" t="s">
        <v>15</v>
      </c>
      <c r="B3087" s="3" t="s">
        <v>45</v>
      </c>
      <c r="D3087" s="3" t="str">
        <f>IFERROR(__xludf.DUMMYFUNCTION("GOOGLETRANSLATE(A3087, ""nl"", ""en"")"),"Animals and Organic Forms")</f>
        <v>Animals and Organic Forms</v>
      </c>
      <c r="E3087" s="3" t="str">
        <f>IFERROR(__xludf.DUMMYFUNCTION("GOOGLETRANSLATE(B3087, ""nl"", ""en"")"),"A snake biting its own tail")</f>
        <v>A snake biting its own tail</v>
      </c>
    </row>
    <row r="3088" ht="15.75" customHeight="1">
      <c r="A3088" s="3" t="s">
        <v>24</v>
      </c>
      <c r="B3088" s="3" t="s">
        <v>33</v>
      </c>
      <c r="D3088" s="3" t="str">
        <f>IFERROR(__xludf.DUMMYFUNCTION("GOOGLETRANSLATE(A3088, ""nl"", ""en"")"),"Cosmic and Abstract Patterns")</f>
        <v>Cosmic and Abstract Patterns</v>
      </c>
      <c r="E3088" s="3" t="str">
        <f>IFERROR(__xludf.DUMMYFUNCTION("GOOGLETRANSLATE(B3088, ""nl"", ""en"")"),"An eye that repeats itself in endless patterns")</f>
        <v>An eye that repeats itself in endless patterns</v>
      </c>
    </row>
    <row r="3089" ht="15.75" customHeight="1">
      <c r="A3089" s="3" t="s">
        <v>12</v>
      </c>
      <c r="B3089" s="3" t="s">
        <v>51</v>
      </c>
      <c r="D3089" s="3" t="str">
        <f>IFERROR(__xludf.DUMMYFUNCTION("GOOGLETRANSLATE(A3089, ""nl"", ""en"")"),"Nature and Elements")</f>
        <v>Nature and Elements</v>
      </c>
      <c r="E3089" s="3" t="str">
        <f>IFERROR(__xludf.DUMMYFUNCTION("GOOGLETRANSLATE(B3089, ""nl"", ""en"")"),"An evaporating puddle of water")</f>
        <v>An evaporating puddle of water</v>
      </c>
    </row>
    <row r="3090" ht="15.75" customHeight="1">
      <c r="A3090" s="3" t="s">
        <v>15</v>
      </c>
      <c r="B3090" s="3" t="s">
        <v>46</v>
      </c>
      <c r="D3090" s="3" t="str">
        <f>IFERROR(__xludf.DUMMYFUNCTION("GOOGLETRANSLATE(A3090, ""nl"", ""en"")"),"Animals and Organic Forms")</f>
        <v>Animals and Organic Forms</v>
      </c>
      <c r="E3090" s="3" t="str">
        <f>IFERROR(__xludf.DUMMYFUNCTION("GOOGLETRANSLATE(B3090, ""nl"", ""en"")"),"A flock of fish moving as one")</f>
        <v>A flock of fish moving as one</v>
      </c>
    </row>
    <row r="3091" ht="15.75" customHeight="1">
      <c r="A3091" s="3" t="s">
        <v>24</v>
      </c>
      <c r="B3091" s="3" t="s">
        <v>27</v>
      </c>
      <c r="D3091" s="3" t="str">
        <f>IFERROR(__xludf.DUMMYFUNCTION("GOOGLETRANSLATE(A3091, ""nl"", ""en"")"),"Cosmic and Abstract Patterns")</f>
        <v>Cosmic and Abstract Patterns</v>
      </c>
      <c r="E3091" s="3" t="str">
        <f>IFERROR(__xludf.DUMMYFUNCTION("GOOGLETRANSLATE(B3091, ""nl"", ""en"")"),"A pair of black holes in dance")</f>
        <v>A pair of black holes in dance</v>
      </c>
    </row>
    <row r="3092" ht="15.75" customHeight="1">
      <c r="A3092" s="3" t="s">
        <v>12</v>
      </c>
      <c r="B3092" s="3" t="s">
        <v>23</v>
      </c>
      <c r="D3092" s="3" t="str">
        <f>IFERROR(__xludf.DUMMYFUNCTION("GOOGLETRANSLATE(A3092, ""nl"", ""en"")"),"Nature and Elements")</f>
        <v>Nature and Elements</v>
      </c>
      <c r="E3092" s="3" t="str">
        <f>IFERROR(__xludf.DUMMYFUNCTION("GOOGLETRANSLATE(B3092, ""nl"", ""en"")"),"A storm cloud splitting in two")</f>
        <v>A storm cloud splitting in two</v>
      </c>
    </row>
    <row r="3093" ht="15.75" customHeight="1">
      <c r="A3093" s="3" t="s">
        <v>4</v>
      </c>
      <c r="B3093" s="3" t="s">
        <v>5</v>
      </c>
      <c r="D3093" s="3" t="str">
        <f>IFERROR(__xludf.DUMMYFUNCTION("GOOGLETRANSLATE(A3093, ""nl"", ""en"")"),"Architectural and Structural Associations")</f>
        <v>Architectural and Structural Associations</v>
      </c>
      <c r="E3093" s="3" t="str">
        <f>IFERROR(__xludf.DUMMYFUNCTION("GOOGLETRANSLATE(B3093, ""nl"", ""en"")"),"A cathedral shaped from mist")</f>
        <v>A cathedral shaped from mist</v>
      </c>
    </row>
    <row r="3094" ht="15.75" customHeight="1">
      <c r="A3094" s="3" t="s">
        <v>7</v>
      </c>
      <c r="B3094" s="3" t="s">
        <v>39</v>
      </c>
      <c r="D3094" s="3" t="str">
        <f>IFERROR(__xludf.DUMMYFUNCTION("GOOGLETRANSLATE(A3094, ""nl"", ""en"")"),"Human Figures and Physicality")</f>
        <v>Human Figures and Physicality</v>
      </c>
      <c r="E3094" s="3" t="str">
        <f>IFERROR(__xludf.DUMMYFUNCTION("GOOGLETRANSLATE(B3094, ""nl"", ""en"")"),"A torso without a head")</f>
        <v>A torso without a head</v>
      </c>
    </row>
    <row r="3095" ht="15.75" customHeight="1">
      <c r="A3095" s="3" t="s">
        <v>9</v>
      </c>
      <c r="B3095" s="3" t="s">
        <v>37</v>
      </c>
      <c r="D3095" s="3" t="str">
        <f>IFERROR(__xludf.DUMMYFUNCTION("GOOGLETRANSLATE(A3095, ""nl"", ""en"")"),"Psychological and Emotional Interpretations")</f>
        <v>Psychological and Emotional Interpretations</v>
      </c>
      <c r="E3095" s="3" t="str">
        <f>IFERROR(__xludf.DUMMYFUNCTION("GOOGLETRANSLATE(B3095, ""nl"", ""en"")"),"A figure looking through itself")</f>
        <v>A figure looking through itself</v>
      </c>
    </row>
    <row r="3096" ht="15.75" customHeight="1">
      <c r="A3096" s="3" t="s">
        <v>15</v>
      </c>
      <c r="B3096" s="3" t="s">
        <v>22</v>
      </c>
      <c r="D3096" s="3" t="str">
        <f>IFERROR(__xludf.DUMMYFUNCTION("GOOGLETRANSLATE(A3096, ""nl"", ""en"")"),"Animals and Organic Forms")</f>
        <v>Animals and Organic Forms</v>
      </c>
      <c r="E3096" s="3" t="str">
        <f>IFERROR(__xludf.DUMMYFUNCTION("GOOGLETRANSLATE(B3096, ""nl"", ""en"")"),"A bird taking off")</f>
        <v>A bird taking off</v>
      </c>
    </row>
    <row r="3097" ht="15.75" customHeight="1">
      <c r="A3097" s="3" t="s">
        <v>9</v>
      </c>
      <c r="B3097" s="3" t="s">
        <v>17</v>
      </c>
      <c r="D3097" s="3" t="str">
        <f>IFERROR(__xludf.DUMMYFUNCTION("GOOGLETRANSLATE(A3097, ""nl"", ""en"")"),"Psychological and Emotional Interpretations")</f>
        <v>Psychological and Emotional Interpretations</v>
      </c>
      <c r="E3097" s="3" t="str">
        <f>IFERROR(__xludf.DUMMYFUNCTION("GOOGLETRANSLATE(B3097, ""nl"", ""en"")"),"A figure that seems to melt")</f>
        <v>A figure that seems to melt</v>
      </c>
    </row>
    <row r="3098" ht="15.75" customHeight="1">
      <c r="A3098" s="3" t="s">
        <v>24</v>
      </c>
      <c r="B3098" s="3" t="s">
        <v>54</v>
      </c>
      <c r="D3098" s="3" t="str">
        <f>IFERROR(__xludf.DUMMYFUNCTION("GOOGLETRANSLATE(A3098, ""nl"", ""en"")"),"Cosmic and Abstract Patterns")</f>
        <v>Cosmic and Abstract Patterns</v>
      </c>
      <c r="E3098" s="3" t="str">
        <f>IFERROR(__xludf.DUMMYFUNCTION("GOOGLETRANSLATE(B3098, ""nl"", ""en"")"),"A quantum particle in superposition")</f>
        <v>A quantum particle in superposition</v>
      </c>
    </row>
    <row r="3099" ht="15.75" customHeight="1">
      <c r="A3099" s="3" t="s">
        <v>4</v>
      </c>
      <c r="B3099" s="3" t="s">
        <v>20</v>
      </c>
      <c r="D3099" s="3" t="str">
        <f>IFERROR(__xludf.DUMMYFUNCTION("GOOGLETRANSLATE(A3099, ""nl"", ""en"")"),"Architectural and Structural Associations")</f>
        <v>Architectural and Structural Associations</v>
      </c>
      <c r="E3099" s="3" t="str">
        <f>IFERROR(__xludf.DUMMYFUNCTION("GOOGLETRANSLATE(B3099, ""nl"", ""en"")"),"A tower that grows by itself")</f>
        <v>A tower that grows by itself</v>
      </c>
    </row>
    <row r="3100" ht="15.75" customHeight="1">
      <c r="A3100" s="3" t="s">
        <v>12</v>
      </c>
      <c r="B3100" s="3" t="s">
        <v>19</v>
      </c>
      <c r="D3100" s="3" t="str">
        <f>IFERROR(__xludf.DUMMYFUNCTION("GOOGLETRANSLATE(A3100, ""nl"", ""en"")"),"Nature and Elements")</f>
        <v>Nature and Elements</v>
      </c>
      <c r="E3100" s="3" t="str">
        <f>IFERROR(__xludf.DUMMYFUNCTION("GOOGLETRANSLATE(B3100, ""nl"", ""en"")"),"A mountain range that seems to breathe")</f>
        <v>A mountain range that seems to breathe</v>
      </c>
    </row>
    <row r="3101" ht="15.75" customHeight="1">
      <c r="A3101" s="3" t="s">
        <v>7</v>
      </c>
      <c r="B3101" s="3" t="s">
        <v>34</v>
      </c>
      <c r="D3101" s="3" t="str">
        <f>IFERROR(__xludf.DUMMYFUNCTION("GOOGLETRANSLATE(A3101, ""nl"", ""en"")"),"Human Figures and Physicality")</f>
        <v>Human Figures and Physicality</v>
      </c>
      <c r="E3101" s="3" t="str">
        <f>IFERROR(__xludf.DUMMYFUNCTION("GOOGLETRANSLATE(B3101, ""nl"", ""en"")"),"Hands almost touching")</f>
        <v>Hands almost touching</v>
      </c>
    </row>
    <row r="3102" ht="15.75" customHeight="1">
      <c r="A3102" s="3" t="s">
        <v>24</v>
      </c>
      <c r="B3102" s="3" t="s">
        <v>54</v>
      </c>
      <c r="D3102" s="3" t="str">
        <f>IFERROR(__xludf.DUMMYFUNCTION("GOOGLETRANSLATE(A3102, ""nl"", ""en"")"),"Cosmic and Abstract Patterns")</f>
        <v>Cosmic and Abstract Patterns</v>
      </c>
      <c r="E3102" s="3" t="str">
        <f>IFERROR(__xludf.DUMMYFUNCTION("GOOGLETRANSLATE(B3102, ""nl"", ""en"")"),"A quantum particle in superposition")</f>
        <v>A quantum particle in superposition</v>
      </c>
    </row>
    <row r="3103" ht="15.75" customHeight="1">
      <c r="A3103" s="3" t="s">
        <v>7</v>
      </c>
      <c r="B3103" s="3" t="s">
        <v>39</v>
      </c>
      <c r="D3103" s="3" t="str">
        <f>IFERROR(__xludf.DUMMYFUNCTION("GOOGLETRANSLATE(A3103, ""nl"", ""en"")"),"Human Figures and Physicality")</f>
        <v>Human Figures and Physicality</v>
      </c>
      <c r="E3103" s="3" t="str">
        <f>IFERROR(__xludf.DUMMYFUNCTION("GOOGLETRANSLATE(B3103, ""nl"", ""en"")"),"A torso without a head")</f>
        <v>A torso without a head</v>
      </c>
    </row>
    <row r="3104" ht="15.75" customHeight="1">
      <c r="A3104" s="3" t="s">
        <v>15</v>
      </c>
      <c r="B3104" s="3" t="s">
        <v>52</v>
      </c>
      <c r="D3104" s="3" t="str">
        <f>IFERROR(__xludf.DUMMYFUNCTION("GOOGLETRANSLATE(A3104, ""nl"", ""en"")"),"Animals and Organic Forms")</f>
        <v>Animals and Organic Forms</v>
      </c>
      <c r="E3104" s="3" t="str">
        <f>IFERROR(__xludf.DUMMYFUNCTION("GOOGLETRANSLATE(B3104, ""nl"", ""en"")"),"A mask made of leaves")</f>
        <v>A mask made of leaves</v>
      </c>
    </row>
    <row r="3105" ht="15.75" customHeight="1">
      <c r="A3105" s="3" t="s">
        <v>12</v>
      </c>
      <c r="B3105" s="3" t="s">
        <v>30</v>
      </c>
      <c r="D3105" s="3" t="str">
        <f>IFERROR(__xludf.DUMMYFUNCTION("GOOGLETRANSLATE(A3105, ""nl"", ""en"")"),"Nature and Elements")</f>
        <v>Nature and Elements</v>
      </c>
      <c r="E3105" s="3" t="str">
        <f>IFERROR(__xludf.DUMMYFUNCTION("GOOGLETRANSLATE(B3105, ""nl"", ""en"")"),"Waves breaking in fractal patterns")</f>
        <v>Waves breaking in fractal patterns</v>
      </c>
    </row>
    <row r="3106" ht="15.75" customHeight="1">
      <c r="A3106" s="3" t="s">
        <v>4</v>
      </c>
      <c r="B3106" s="3" t="s">
        <v>43</v>
      </c>
      <c r="D3106" s="3" t="str">
        <f>IFERROR(__xludf.DUMMYFUNCTION("GOOGLETRANSLATE(A3106, ""nl"", ""en"")"),"Architectural and Structural Associations")</f>
        <v>Architectural and Structural Associations</v>
      </c>
      <c r="E3106" s="3" t="str">
        <f>IFERROR(__xludf.DUMMYFUNCTION("GOOGLETRANSLATE(B3106, ""nl"", ""en"")"),"A network of tunnels and passages")</f>
        <v>A network of tunnels and passages</v>
      </c>
    </row>
    <row r="3107" ht="15.75" customHeight="1">
      <c r="A3107" s="3" t="s">
        <v>24</v>
      </c>
      <c r="B3107" s="3" t="s">
        <v>32</v>
      </c>
      <c r="D3107" s="3" t="str">
        <f>IFERROR(__xludf.DUMMYFUNCTION("GOOGLETRANSLATE(A3107, ""nl"", ""en"")"),"Cosmic and Abstract Patterns")</f>
        <v>Cosmic and Abstract Patterns</v>
      </c>
      <c r="E3107" s="3" t="str">
        <f>IFERROR(__xludf.DUMMYFUNCTION("GOOGLETRANSLATE(B3107, ""nl"", ""en"")"),"A time loop captured in image")</f>
        <v>A time loop captured in image</v>
      </c>
    </row>
    <row r="3108" ht="15.75" customHeight="1">
      <c r="A3108" s="3" t="s">
        <v>15</v>
      </c>
      <c r="B3108" s="3" t="s">
        <v>22</v>
      </c>
      <c r="D3108" s="3" t="str">
        <f>IFERROR(__xludf.DUMMYFUNCTION("GOOGLETRANSLATE(A3108, ""nl"", ""en"")"),"Animals and Organic Forms")</f>
        <v>Animals and Organic Forms</v>
      </c>
      <c r="E3108" s="3" t="str">
        <f>IFERROR(__xludf.DUMMYFUNCTION("GOOGLETRANSLATE(B3108, ""nl"", ""en"")"),"A bird taking off")</f>
        <v>A bird taking off</v>
      </c>
    </row>
    <row r="3109" ht="15.75" customHeight="1">
      <c r="A3109" s="3" t="s">
        <v>12</v>
      </c>
      <c r="B3109" s="3" t="s">
        <v>47</v>
      </c>
      <c r="D3109" s="3" t="str">
        <f>IFERROR(__xludf.DUMMYFUNCTION("GOOGLETRANSLATE(A3109, ""nl"", ""en"")"),"Nature and Elements")</f>
        <v>Nature and Elements</v>
      </c>
      <c r="E3109" s="3" t="str">
        <f>IFERROR(__xludf.DUMMYFUNCTION("GOOGLETRANSLATE(B3109, ""nl"", ""en"")"),"A desert landscape that slowly changes")</f>
        <v>A desert landscape that slowly changes</v>
      </c>
    </row>
    <row r="3110" ht="15.75" customHeight="1">
      <c r="A3110" s="3" t="s">
        <v>12</v>
      </c>
      <c r="B3110" s="3" t="s">
        <v>51</v>
      </c>
      <c r="D3110" s="3" t="str">
        <f>IFERROR(__xludf.DUMMYFUNCTION("GOOGLETRANSLATE(A3110, ""nl"", ""en"")"),"Nature and Elements")</f>
        <v>Nature and Elements</v>
      </c>
      <c r="E3110" s="3" t="str">
        <f>IFERROR(__xludf.DUMMYFUNCTION("GOOGLETRANSLATE(B3110, ""nl"", ""en"")"),"An evaporating puddle of water")</f>
        <v>An evaporating puddle of water</v>
      </c>
    </row>
    <row r="3111" ht="15.75" customHeight="1">
      <c r="A3111" s="3" t="s">
        <v>15</v>
      </c>
      <c r="B3111" s="3" t="s">
        <v>16</v>
      </c>
      <c r="D3111" s="3" t="str">
        <f>IFERROR(__xludf.DUMMYFUNCTION("GOOGLETRANSLATE(A3111, ""nl"", ""en"")"),"Animals and Organic Forms")</f>
        <v>Animals and Organic Forms</v>
      </c>
      <c r="E3111" s="3" t="str">
        <f>IFERROR(__xludf.DUMMYFUNCTION("GOOGLETRANSLATE(B3111, ""nl"", ""en"")"),"A butterfly in transformation")</f>
        <v>A butterfly in transformation</v>
      </c>
    </row>
    <row r="3112" ht="15.75" customHeight="1">
      <c r="A3112" s="3" t="s">
        <v>12</v>
      </c>
      <c r="B3112" s="3" t="s">
        <v>30</v>
      </c>
      <c r="D3112" s="3" t="str">
        <f>IFERROR(__xludf.DUMMYFUNCTION("GOOGLETRANSLATE(A3112, ""nl"", ""en"")"),"Nature and Elements")</f>
        <v>Nature and Elements</v>
      </c>
      <c r="E3112" s="3" t="str">
        <f>IFERROR(__xludf.DUMMYFUNCTION("GOOGLETRANSLATE(B3112, ""nl"", ""en"")"),"Waves breaking in fractal patterns")</f>
        <v>Waves breaking in fractal patterns</v>
      </c>
    </row>
    <row r="3113" ht="15.75" customHeight="1">
      <c r="A3113" s="3" t="s">
        <v>4</v>
      </c>
      <c r="B3113" s="3" t="s">
        <v>5</v>
      </c>
      <c r="D3113" s="3" t="str">
        <f>IFERROR(__xludf.DUMMYFUNCTION("GOOGLETRANSLATE(A3113, ""nl"", ""en"")"),"Architectural and Structural Associations")</f>
        <v>Architectural and Structural Associations</v>
      </c>
      <c r="E3113" s="3" t="str">
        <f>IFERROR(__xludf.DUMMYFUNCTION("GOOGLETRANSLATE(B3113, ""nl"", ""en"")"),"A cathedral shaped from mist")</f>
        <v>A cathedral shaped from mist</v>
      </c>
    </row>
    <row r="3114" ht="15.75" customHeight="1">
      <c r="A3114" s="3" t="s">
        <v>9</v>
      </c>
      <c r="B3114" s="3" t="s">
        <v>57</v>
      </c>
      <c r="D3114" s="3" t="str">
        <f>IFERROR(__xludf.DUMMYFUNCTION("GOOGLETRANSLATE(A3114, ""nl"", ""en"")"),"Psychological and Emotional Interpretations")</f>
        <v>Psychological and Emotional Interpretations</v>
      </c>
      <c r="E3114" s="3" t="str">
        <f>IFERROR(__xludf.DUMMYFUNCTION("GOOGLETRANSLATE(B3114, ""nl"", ""en"")"),"An explosion of colours and feelings")</f>
        <v>An explosion of colours and feelings</v>
      </c>
    </row>
    <row r="3115" ht="15.75" customHeight="1">
      <c r="A3115" s="3" t="s">
        <v>15</v>
      </c>
      <c r="B3115" s="3" t="s">
        <v>50</v>
      </c>
      <c r="D3115" s="3" t="str">
        <f>IFERROR(__xludf.DUMMYFUNCTION("GOOGLETRANSLATE(A3115, ""nl"", ""en"")"),"Animals and Organic Forms")</f>
        <v>Animals and Organic Forms</v>
      </c>
      <c r="E3115" s="3" t="str">
        <f>IFERROR(__xludf.DUMMYFUNCTION("GOOGLETRANSLATE(B3115, ""nl"", ""en"")"),"A squid with extended tentacles")</f>
        <v>A squid with extended tentacles</v>
      </c>
    </row>
    <row r="3116" ht="15.75" customHeight="1">
      <c r="A3116" s="3" t="s">
        <v>4</v>
      </c>
      <c r="B3116" s="3" t="s">
        <v>44</v>
      </c>
      <c r="D3116" s="3" t="str">
        <f>IFERROR(__xludf.DUMMYFUNCTION("GOOGLETRANSLATE(A3116, ""nl"", ""en"")"),"Architectural and Structural Associations")</f>
        <v>Architectural and Structural Associations</v>
      </c>
      <c r="E3116" s="3" t="str">
        <f>IFERROR(__xludf.DUMMYFUNCTION("GOOGLETRANSLATE(B3116, ""nl"", ""en"")"),"A structure that pulsates in waves")</f>
        <v>A structure that pulsates in waves</v>
      </c>
    </row>
    <row r="3117" ht="15.75" customHeight="1">
      <c r="A3117" s="3" t="s">
        <v>7</v>
      </c>
      <c r="B3117" s="3" t="s">
        <v>56</v>
      </c>
      <c r="D3117" s="3" t="str">
        <f>IFERROR(__xludf.DUMMYFUNCTION("GOOGLETRANSLATE(A3117, ""nl"", ""en"")"),"Human Figures and Physicality")</f>
        <v>Human Figures and Physicality</v>
      </c>
      <c r="E3117" s="3" t="str">
        <f>IFERROR(__xludf.DUMMYFUNCTION("GOOGLETRANSLATE(B3117, ""nl"", ""en"")"),"A shadow that seems to move")</f>
        <v>A shadow that seems to move</v>
      </c>
    </row>
    <row r="3118" ht="15.75" customHeight="1">
      <c r="A3118" s="3" t="s">
        <v>4</v>
      </c>
      <c r="B3118" s="3" t="s">
        <v>20</v>
      </c>
      <c r="D3118" s="3" t="str">
        <f>IFERROR(__xludf.DUMMYFUNCTION("GOOGLETRANSLATE(A3118, ""nl"", ""en"")"),"Architectural and Structural Associations")</f>
        <v>Architectural and Structural Associations</v>
      </c>
      <c r="E3118" s="3" t="str">
        <f>IFERROR(__xludf.DUMMYFUNCTION("GOOGLETRANSLATE(B3118, ""nl"", ""en"")"),"A tower that grows by itself")</f>
        <v>A tower that grows by itself</v>
      </c>
    </row>
    <row r="3119" ht="15.75" customHeight="1">
      <c r="A3119" s="3" t="s">
        <v>15</v>
      </c>
      <c r="B3119" s="3" t="s">
        <v>45</v>
      </c>
      <c r="D3119" s="3" t="str">
        <f>IFERROR(__xludf.DUMMYFUNCTION("GOOGLETRANSLATE(A3119, ""nl"", ""en"")"),"Animals and Organic Forms")</f>
        <v>Animals and Organic Forms</v>
      </c>
      <c r="E3119" s="3" t="str">
        <f>IFERROR(__xludf.DUMMYFUNCTION("GOOGLETRANSLATE(B3119, ""nl"", ""en"")"),"A snake biting its own tail")</f>
        <v>A snake biting its own tail</v>
      </c>
    </row>
    <row r="3120" ht="15.75" customHeight="1">
      <c r="A3120" s="3" t="s">
        <v>9</v>
      </c>
      <c r="B3120" s="3" t="s">
        <v>42</v>
      </c>
      <c r="D3120" s="3" t="str">
        <f>IFERROR(__xludf.DUMMYFUNCTION("GOOGLETRANSLATE(A3120, ""nl"", ""en"")"),"Psychological and Emotional Interpretations")</f>
        <v>Psychological and Emotional Interpretations</v>
      </c>
      <c r="E3120" s="3" t="str">
        <f>IFERROR(__xludf.DUMMYFUNCTION("GOOGLETRANSLATE(B3120, ""nl"", ""en"")"),"A mask that slowly disappears")</f>
        <v>A mask that slowly disappears</v>
      </c>
    </row>
    <row r="3121" ht="15.75" customHeight="1">
      <c r="A3121" s="3" t="s">
        <v>15</v>
      </c>
      <c r="B3121" s="3" t="s">
        <v>45</v>
      </c>
      <c r="D3121" s="3" t="str">
        <f>IFERROR(__xludf.DUMMYFUNCTION("GOOGLETRANSLATE(A3121, ""nl"", ""en"")"),"Animals and Organic Forms")</f>
        <v>Animals and Organic Forms</v>
      </c>
      <c r="E3121" s="3" t="str">
        <f>IFERROR(__xludf.DUMMYFUNCTION("GOOGLETRANSLATE(B3121, ""nl"", ""en"")"),"A snake biting its own tail")</f>
        <v>A snake biting its own tail</v>
      </c>
    </row>
    <row r="3122" ht="15.75" customHeight="1">
      <c r="A3122" s="3" t="s">
        <v>7</v>
      </c>
      <c r="B3122" s="3" t="s">
        <v>39</v>
      </c>
      <c r="D3122" s="3" t="str">
        <f>IFERROR(__xludf.DUMMYFUNCTION("GOOGLETRANSLATE(A3122, ""nl"", ""en"")"),"Human Figures and Physicality")</f>
        <v>Human Figures and Physicality</v>
      </c>
      <c r="E3122" s="3" t="str">
        <f>IFERROR(__xludf.DUMMYFUNCTION("GOOGLETRANSLATE(B3122, ""nl"", ""en"")"),"A torso without a head")</f>
        <v>A torso without a head</v>
      </c>
    </row>
    <row r="3123" ht="15.75" customHeight="1">
      <c r="A3123" s="3" t="s">
        <v>7</v>
      </c>
      <c r="B3123" s="3" t="s">
        <v>8</v>
      </c>
      <c r="D3123" s="3" t="str">
        <f>IFERROR(__xludf.DUMMYFUNCTION("GOOGLETRANSLATE(A3123, ""nl"", ""en"")"),"Human Figures and Physicality")</f>
        <v>Human Figures and Physicality</v>
      </c>
      <c r="E3123" s="3" t="str">
        <f>IFERROR(__xludf.DUMMYFUNCTION("GOOGLETRANSLATE(B3123, ""nl"", ""en"")"),"Two figures mirroring each other")</f>
        <v>Two figures mirroring each other</v>
      </c>
    </row>
    <row r="3124" ht="15.75" customHeight="1">
      <c r="A3124" s="3" t="s">
        <v>7</v>
      </c>
      <c r="B3124" s="3" t="s">
        <v>40</v>
      </c>
      <c r="D3124" s="3" t="str">
        <f>IFERROR(__xludf.DUMMYFUNCTION("GOOGLETRANSLATE(A3124, ""nl"", ""en"")"),"Human Figures and Physicality")</f>
        <v>Human Figures and Physicality</v>
      </c>
      <c r="E3124" s="3" t="str">
        <f>IFERROR(__xludf.DUMMYFUNCTION("GOOGLETRANSLATE(B3124, ""nl"", ""en"")"),"A figure who is withdrawn into himself")</f>
        <v>A figure who is withdrawn into himself</v>
      </c>
    </row>
    <row r="3125" ht="15.75" customHeight="1">
      <c r="A3125" s="3" t="s">
        <v>4</v>
      </c>
      <c r="B3125" s="3" t="s">
        <v>35</v>
      </c>
      <c r="D3125" s="3" t="str">
        <f>IFERROR(__xludf.DUMMYFUNCTION("GOOGLETRANSLATE(A3125, ""nl"", ""en"")"),"Architectural and Structural Associations")</f>
        <v>Architectural and Structural Associations</v>
      </c>
      <c r="E3125" s="3" t="str">
        <f>IFERROR(__xludf.DUMMYFUNCTION("GOOGLETRANSLATE(B3125, ""nl"", ""en"")"),"A floating building without a base")</f>
        <v>A floating building without a base</v>
      </c>
    </row>
    <row r="3126" ht="15.75" customHeight="1">
      <c r="A3126" s="3" t="s">
        <v>15</v>
      </c>
      <c r="B3126" s="3" t="s">
        <v>16</v>
      </c>
      <c r="D3126" s="3" t="str">
        <f>IFERROR(__xludf.DUMMYFUNCTION("GOOGLETRANSLATE(A3126, ""nl"", ""en"")"),"Animals and Organic Forms")</f>
        <v>Animals and Organic Forms</v>
      </c>
      <c r="E3126" s="3" t="str">
        <f>IFERROR(__xludf.DUMMYFUNCTION("GOOGLETRANSLATE(B3126, ""nl"", ""en"")"),"A butterfly in transformation")</f>
        <v>A butterfly in transformation</v>
      </c>
    </row>
    <row r="3127" ht="15.75" customHeight="1">
      <c r="A3127" s="3" t="s">
        <v>15</v>
      </c>
      <c r="B3127" s="3" t="s">
        <v>52</v>
      </c>
      <c r="D3127" s="3" t="str">
        <f>IFERROR(__xludf.DUMMYFUNCTION("GOOGLETRANSLATE(A3127, ""nl"", ""en"")"),"Animals and Organic Forms")</f>
        <v>Animals and Organic Forms</v>
      </c>
      <c r="E3127" s="3" t="str">
        <f>IFERROR(__xludf.DUMMYFUNCTION("GOOGLETRANSLATE(B3127, ""nl"", ""en"")"),"A mask made of leaves")</f>
        <v>A mask made of leaves</v>
      </c>
    </row>
    <row r="3128" ht="15.75" customHeight="1">
      <c r="A3128" s="3" t="s">
        <v>4</v>
      </c>
      <c r="B3128" s="3" t="s">
        <v>21</v>
      </c>
      <c r="D3128" s="3" t="str">
        <f>IFERROR(__xludf.DUMMYFUNCTION("GOOGLETRANSLATE(A3128, ""nl"", ""en"")"),"Architectural and Structural Associations")</f>
        <v>Architectural and Structural Associations</v>
      </c>
      <c r="E3128" s="3" t="str">
        <f>IFERROR(__xludf.DUMMYFUNCTION("GOOGLETRANSLATE(B3128, ""nl"", ""en"")"),"A bridge that leads nowhere")</f>
        <v>A bridge that leads nowhere</v>
      </c>
    </row>
    <row r="3129" ht="15.75" customHeight="1">
      <c r="A3129" s="3" t="s">
        <v>9</v>
      </c>
      <c r="B3129" s="3" t="s">
        <v>37</v>
      </c>
      <c r="D3129" s="3" t="str">
        <f>IFERROR(__xludf.DUMMYFUNCTION("GOOGLETRANSLATE(A3129, ""nl"", ""en"")"),"Psychological and Emotional Interpretations")</f>
        <v>Psychological and Emotional Interpretations</v>
      </c>
      <c r="E3129" s="3" t="str">
        <f>IFERROR(__xludf.DUMMYFUNCTION("GOOGLETRANSLATE(B3129, ""nl"", ""en"")"),"A figure looking through itself")</f>
        <v>A figure looking through itself</v>
      </c>
    </row>
    <row r="3130" ht="15.75" customHeight="1">
      <c r="A3130" s="3" t="s">
        <v>12</v>
      </c>
      <c r="B3130" s="3" t="s">
        <v>19</v>
      </c>
      <c r="D3130" s="3" t="str">
        <f>IFERROR(__xludf.DUMMYFUNCTION("GOOGLETRANSLATE(A3130, ""nl"", ""en"")"),"Nature and Elements")</f>
        <v>Nature and Elements</v>
      </c>
      <c r="E3130" s="3" t="str">
        <f>IFERROR(__xludf.DUMMYFUNCTION("GOOGLETRANSLATE(B3130, ""nl"", ""en"")"),"A mountain range that seems to breathe")</f>
        <v>A mountain range that seems to breathe</v>
      </c>
    </row>
    <row r="3131" ht="15.75" customHeight="1">
      <c r="A3131" s="3" t="s">
        <v>12</v>
      </c>
      <c r="B3131" s="3" t="s">
        <v>18</v>
      </c>
      <c r="D3131" s="3" t="str">
        <f>IFERROR(__xludf.DUMMYFUNCTION("GOOGLETRANSLATE(A3131, ""nl"", ""en"")"),"Nature and Elements")</f>
        <v>Nature and Elements</v>
      </c>
      <c r="E3131" s="3" t="str">
        <f>IFERROR(__xludf.DUMMYFUNCTION("GOOGLETRANSLATE(B3131, ""nl"", ""en"")"),"A tree with endless branches")</f>
        <v>A tree with endless branches</v>
      </c>
    </row>
    <row r="3132" ht="15.75" customHeight="1">
      <c r="A3132" s="3" t="s">
        <v>7</v>
      </c>
      <c r="B3132" s="3" t="s">
        <v>40</v>
      </c>
      <c r="D3132" s="3" t="str">
        <f>IFERROR(__xludf.DUMMYFUNCTION("GOOGLETRANSLATE(A3132, ""nl"", ""en"")"),"Human Figures and Physicality")</f>
        <v>Human Figures and Physicality</v>
      </c>
      <c r="E3132" s="3" t="str">
        <f>IFERROR(__xludf.DUMMYFUNCTION("GOOGLETRANSLATE(B3132, ""nl"", ""en"")"),"A figure who is withdrawn into himself")</f>
        <v>A figure who is withdrawn into himself</v>
      </c>
    </row>
    <row r="3133" ht="15.75" customHeight="1">
      <c r="A3133" s="3" t="s">
        <v>15</v>
      </c>
      <c r="B3133" s="3" t="s">
        <v>52</v>
      </c>
      <c r="D3133" s="3" t="str">
        <f>IFERROR(__xludf.DUMMYFUNCTION("GOOGLETRANSLATE(A3133, ""nl"", ""en"")"),"Animals and Organic Forms")</f>
        <v>Animals and Organic Forms</v>
      </c>
      <c r="E3133" s="3" t="str">
        <f>IFERROR(__xludf.DUMMYFUNCTION("GOOGLETRANSLATE(B3133, ""nl"", ""en"")"),"A mask made of leaves")</f>
        <v>A mask made of leaves</v>
      </c>
    </row>
    <row r="3134" ht="15.75" customHeight="1">
      <c r="A3134" s="3" t="s">
        <v>15</v>
      </c>
      <c r="B3134" s="3" t="s">
        <v>16</v>
      </c>
      <c r="D3134" s="3" t="str">
        <f>IFERROR(__xludf.DUMMYFUNCTION("GOOGLETRANSLATE(A3134, ""nl"", ""en"")"),"Animals and Organic Forms")</f>
        <v>Animals and Organic Forms</v>
      </c>
      <c r="E3134" s="3" t="str">
        <f>IFERROR(__xludf.DUMMYFUNCTION("GOOGLETRANSLATE(B3134, ""nl"", ""en"")"),"A butterfly in transformation")</f>
        <v>A butterfly in transformation</v>
      </c>
    </row>
    <row r="3135" ht="15.75" customHeight="1">
      <c r="A3135" s="3" t="s">
        <v>15</v>
      </c>
      <c r="B3135" s="3" t="s">
        <v>45</v>
      </c>
      <c r="D3135" s="3" t="str">
        <f>IFERROR(__xludf.DUMMYFUNCTION("GOOGLETRANSLATE(A3135, ""nl"", ""en"")"),"Animals and Organic Forms")</f>
        <v>Animals and Organic Forms</v>
      </c>
      <c r="E3135" s="3" t="str">
        <f>IFERROR(__xludf.DUMMYFUNCTION("GOOGLETRANSLATE(B3135, ""nl"", ""en"")"),"A snake biting its own tail")</f>
        <v>A snake biting its own tail</v>
      </c>
    </row>
    <row r="3136" ht="15.75" customHeight="1">
      <c r="A3136" s="3" t="s">
        <v>4</v>
      </c>
      <c r="B3136" s="3" t="s">
        <v>21</v>
      </c>
      <c r="D3136" s="3" t="str">
        <f>IFERROR(__xludf.DUMMYFUNCTION("GOOGLETRANSLATE(A3136, ""nl"", ""en"")"),"Architectural and Structural Associations")</f>
        <v>Architectural and Structural Associations</v>
      </c>
      <c r="E3136" s="3" t="str">
        <f>IFERROR(__xludf.DUMMYFUNCTION("GOOGLETRANSLATE(B3136, ""nl"", ""en"")"),"A bridge that leads nowhere")</f>
        <v>A bridge that leads nowhere</v>
      </c>
    </row>
    <row r="3137" ht="15.75" customHeight="1">
      <c r="A3137" s="3" t="s">
        <v>7</v>
      </c>
      <c r="B3137" s="3" t="s">
        <v>28</v>
      </c>
      <c r="D3137" s="3" t="str">
        <f>IFERROR(__xludf.DUMMYFUNCTION("GOOGLETRANSLATE(A3137, ""nl"", ""en"")"),"Human Figures and Physicality")</f>
        <v>Human Figures and Physicality</v>
      </c>
      <c r="E3137" s="3" t="str">
        <f>IFERROR(__xludf.DUMMYFUNCTION("GOOGLETRANSLATE(B3137, ""nl"", ""en"")"),"A dancing silhouette")</f>
        <v>A dancing silhouette</v>
      </c>
    </row>
    <row r="3138" ht="15.75" customHeight="1">
      <c r="A3138" s="3" t="s">
        <v>24</v>
      </c>
      <c r="B3138" s="3" t="s">
        <v>54</v>
      </c>
      <c r="D3138" s="3" t="str">
        <f>IFERROR(__xludf.DUMMYFUNCTION("GOOGLETRANSLATE(A3138, ""nl"", ""en"")"),"Cosmic and Abstract Patterns")</f>
        <v>Cosmic and Abstract Patterns</v>
      </c>
      <c r="E3138" s="3" t="str">
        <f>IFERROR(__xludf.DUMMYFUNCTION("GOOGLETRANSLATE(B3138, ""nl"", ""en"")"),"A quantum particle in superposition")</f>
        <v>A quantum particle in superposition</v>
      </c>
    </row>
    <row r="3139" ht="15.75" customHeight="1">
      <c r="A3139" s="3" t="s">
        <v>24</v>
      </c>
      <c r="B3139" s="3" t="s">
        <v>48</v>
      </c>
      <c r="D3139" s="3" t="str">
        <f>IFERROR(__xludf.DUMMYFUNCTION("GOOGLETRANSLATE(A3139, ""nl"", ""en"")"),"Cosmic and Abstract Patterns")</f>
        <v>Cosmic and Abstract Patterns</v>
      </c>
      <c r="E3139" s="3" t="str">
        <f>IFERROR(__xludf.DUMMYFUNCTION("GOOGLETRANSLATE(B3139, ""nl"", ""en"")"),"A fractal that repeats itself")</f>
        <v>A fractal that repeats itself</v>
      </c>
    </row>
    <row r="3140" ht="15.75" customHeight="1">
      <c r="A3140" s="3" t="s">
        <v>9</v>
      </c>
      <c r="B3140" s="3" t="s">
        <v>57</v>
      </c>
      <c r="D3140" s="3" t="str">
        <f>IFERROR(__xludf.DUMMYFUNCTION("GOOGLETRANSLATE(A3140, ""nl"", ""en"")"),"Psychological and Emotional Interpretations")</f>
        <v>Psychological and Emotional Interpretations</v>
      </c>
      <c r="E3140" s="3" t="str">
        <f>IFERROR(__xludf.DUMMYFUNCTION("GOOGLETRANSLATE(B3140, ""nl"", ""en"")"),"An explosion of colours and feelings")</f>
        <v>An explosion of colours and feelings</v>
      </c>
    </row>
    <row r="3141" ht="15.75" customHeight="1">
      <c r="A3141" s="3" t="s">
        <v>9</v>
      </c>
      <c r="B3141" s="3" t="s">
        <v>14</v>
      </c>
      <c r="D3141" s="3" t="str">
        <f>IFERROR(__xludf.DUMMYFUNCTION("GOOGLETRANSLATE(A3141, ""nl"", ""en"")"),"Psychological and Emotional Interpretations")</f>
        <v>Psychological and Emotional Interpretations</v>
      </c>
      <c r="E3141" s="3" t="str">
        <f>IFERROR(__xludf.DUMMYFUNCTION("GOOGLETRANSLATE(B3141, ""nl"", ""en"")"),"An unclear hug")</f>
        <v>An unclear hug</v>
      </c>
    </row>
    <row r="3142" ht="15.75" customHeight="1">
      <c r="A3142" s="3" t="s">
        <v>7</v>
      </c>
      <c r="B3142" s="3" t="s">
        <v>8</v>
      </c>
      <c r="D3142" s="3" t="str">
        <f>IFERROR(__xludf.DUMMYFUNCTION("GOOGLETRANSLATE(A3142, ""nl"", ""en"")"),"Human Figures and Physicality")</f>
        <v>Human Figures and Physicality</v>
      </c>
      <c r="E3142" s="3" t="str">
        <f>IFERROR(__xludf.DUMMYFUNCTION("GOOGLETRANSLATE(B3142, ""nl"", ""en"")"),"Two figures mirroring each other")</f>
        <v>Two figures mirroring each other</v>
      </c>
    </row>
    <row r="3143" ht="15.75" customHeight="1">
      <c r="A3143" s="3" t="s">
        <v>15</v>
      </c>
      <c r="B3143" s="3" t="s">
        <v>50</v>
      </c>
      <c r="D3143" s="3" t="str">
        <f>IFERROR(__xludf.DUMMYFUNCTION("GOOGLETRANSLATE(A3143, ""nl"", ""en"")"),"Animals and Organic Forms")</f>
        <v>Animals and Organic Forms</v>
      </c>
      <c r="E3143" s="3" t="str">
        <f>IFERROR(__xludf.DUMMYFUNCTION("GOOGLETRANSLATE(B3143, ""nl"", ""en"")"),"A squid with extended tentacles")</f>
        <v>A squid with extended tentacles</v>
      </c>
    </row>
    <row r="3144" ht="15.75" customHeight="1">
      <c r="A3144" s="3" t="s">
        <v>24</v>
      </c>
      <c r="B3144" s="3" t="s">
        <v>54</v>
      </c>
      <c r="D3144" s="3" t="str">
        <f>IFERROR(__xludf.DUMMYFUNCTION("GOOGLETRANSLATE(A3144, ""nl"", ""en"")"),"Cosmic and Abstract Patterns")</f>
        <v>Cosmic and Abstract Patterns</v>
      </c>
      <c r="E3144" s="3" t="str">
        <f>IFERROR(__xludf.DUMMYFUNCTION("GOOGLETRANSLATE(B3144, ""nl"", ""en"")"),"A quantum particle in superposition")</f>
        <v>A quantum particle in superposition</v>
      </c>
    </row>
    <row r="3145" ht="15.75" customHeight="1">
      <c r="A3145" s="3" t="s">
        <v>9</v>
      </c>
      <c r="B3145" s="3" t="s">
        <v>14</v>
      </c>
      <c r="D3145" s="3" t="str">
        <f>IFERROR(__xludf.DUMMYFUNCTION("GOOGLETRANSLATE(A3145, ""nl"", ""en"")"),"Psychological and Emotional Interpretations")</f>
        <v>Psychological and Emotional Interpretations</v>
      </c>
      <c r="E3145" s="3" t="str">
        <f>IFERROR(__xludf.DUMMYFUNCTION("GOOGLETRANSLATE(B3145, ""nl"", ""en"")"),"An unclear hug")</f>
        <v>An unclear hug</v>
      </c>
    </row>
    <row r="3146" ht="15.75" customHeight="1">
      <c r="A3146" s="3" t="s">
        <v>24</v>
      </c>
      <c r="B3146" s="3" t="s">
        <v>48</v>
      </c>
      <c r="D3146" s="3" t="str">
        <f>IFERROR(__xludf.DUMMYFUNCTION("GOOGLETRANSLATE(A3146, ""nl"", ""en"")"),"Cosmic and Abstract Patterns")</f>
        <v>Cosmic and Abstract Patterns</v>
      </c>
      <c r="E3146" s="3" t="str">
        <f>IFERROR(__xludf.DUMMYFUNCTION("GOOGLETRANSLATE(B3146, ""nl"", ""en"")"),"A fractal that repeats itself")</f>
        <v>A fractal that repeats itself</v>
      </c>
    </row>
    <row r="3147" ht="15.75" customHeight="1">
      <c r="A3147" s="3" t="s">
        <v>12</v>
      </c>
      <c r="B3147" s="3" t="s">
        <v>51</v>
      </c>
      <c r="D3147" s="3" t="str">
        <f>IFERROR(__xludf.DUMMYFUNCTION("GOOGLETRANSLATE(A3147, ""nl"", ""en"")"),"Nature and Elements")</f>
        <v>Nature and Elements</v>
      </c>
      <c r="E3147" s="3" t="str">
        <f>IFERROR(__xludf.DUMMYFUNCTION("GOOGLETRANSLATE(B3147, ""nl"", ""en"")"),"An evaporating puddle of water")</f>
        <v>An evaporating puddle of water</v>
      </c>
    </row>
    <row r="3148" ht="15.75" customHeight="1">
      <c r="A3148" s="3" t="s">
        <v>24</v>
      </c>
      <c r="B3148" s="3" t="s">
        <v>27</v>
      </c>
      <c r="D3148" s="3" t="str">
        <f>IFERROR(__xludf.DUMMYFUNCTION("GOOGLETRANSLATE(A3148, ""nl"", ""en"")"),"Cosmic and Abstract Patterns")</f>
        <v>Cosmic and Abstract Patterns</v>
      </c>
      <c r="E3148" s="3" t="str">
        <f>IFERROR(__xludf.DUMMYFUNCTION("GOOGLETRANSLATE(B3148, ""nl"", ""en"")"),"A pair of black holes in dance")</f>
        <v>A pair of black holes in dance</v>
      </c>
    </row>
    <row r="3149" ht="15.75" customHeight="1">
      <c r="A3149" s="3" t="s">
        <v>12</v>
      </c>
      <c r="B3149" s="3" t="s">
        <v>18</v>
      </c>
      <c r="D3149" s="3" t="str">
        <f>IFERROR(__xludf.DUMMYFUNCTION("GOOGLETRANSLATE(A3149, ""nl"", ""en"")"),"Nature and Elements")</f>
        <v>Nature and Elements</v>
      </c>
      <c r="E3149" s="3" t="str">
        <f>IFERROR(__xludf.DUMMYFUNCTION("GOOGLETRANSLATE(B3149, ""nl"", ""en"")"),"A tree with endless branches")</f>
        <v>A tree with endless branches</v>
      </c>
    </row>
    <row r="3150" ht="15.75" customHeight="1">
      <c r="A3150" s="3" t="s">
        <v>24</v>
      </c>
      <c r="B3150" s="3" t="s">
        <v>48</v>
      </c>
      <c r="D3150" s="3" t="str">
        <f>IFERROR(__xludf.DUMMYFUNCTION("GOOGLETRANSLATE(A3150, ""nl"", ""en"")"),"Cosmic and Abstract Patterns")</f>
        <v>Cosmic and Abstract Patterns</v>
      </c>
      <c r="E3150" s="3" t="str">
        <f>IFERROR(__xludf.DUMMYFUNCTION("GOOGLETRANSLATE(B3150, ""nl"", ""en"")"),"A fractal that repeats itself")</f>
        <v>A fractal that repeats itself</v>
      </c>
    </row>
    <row r="3151" ht="15.75" customHeight="1">
      <c r="A3151" s="3" t="s">
        <v>9</v>
      </c>
      <c r="B3151" s="3" t="s">
        <v>57</v>
      </c>
      <c r="D3151" s="3" t="str">
        <f>IFERROR(__xludf.DUMMYFUNCTION("GOOGLETRANSLATE(A3151, ""nl"", ""en"")"),"Psychological and Emotional Interpretations")</f>
        <v>Psychological and Emotional Interpretations</v>
      </c>
      <c r="E3151" s="3" t="str">
        <f>IFERROR(__xludf.DUMMYFUNCTION("GOOGLETRANSLATE(B3151, ""nl"", ""en"")"),"An explosion of colours and feelings")</f>
        <v>An explosion of colours and feelings</v>
      </c>
    </row>
    <row r="3152" ht="15.75" customHeight="1">
      <c r="A3152" s="3" t="s">
        <v>7</v>
      </c>
      <c r="B3152" s="3" t="s">
        <v>8</v>
      </c>
      <c r="D3152" s="3" t="str">
        <f>IFERROR(__xludf.DUMMYFUNCTION("GOOGLETRANSLATE(A3152, ""nl"", ""en"")"),"Human Figures and Physicality")</f>
        <v>Human Figures and Physicality</v>
      </c>
      <c r="E3152" s="3" t="str">
        <f>IFERROR(__xludf.DUMMYFUNCTION("GOOGLETRANSLATE(B3152, ""nl"", ""en"")"),"Two figures mirroring each other")</f>
        <v>Two figures mirroring each other</v>
      </c>
    </row>
    <row r="3153" ht="15.75" customHeight="1">
      <c r="A3153" s="3" t="s">
        <v>15</v>
      </c>
      <c r="B3153" s="3" t="s">
        <v>38</v>
      </c>
      <c r="D3153" s="3" t="str">
        <f>IFERROR(__xludf.DUMMYFUNCTION("GOOGLETRANSLATE(A3153, ""nl"", ""en"")"),"Animals and Organic Forms")</f>
        <v>Animals and Organic Forms</v>
      </c>
      <c r="E3153" s="3" t="str">
        <f>IFERROR(__xludf.DUMMYFUNCTION("GOOGLETRANSLATE(B3153, ""nl"", ""en"")"),"A lion with an open mouth")</f>
        <v>A lion with an open mouth</v>
      </c>
    </row>
    <row r="3154" ht="15.75" customHeight="1">
      <c r="A3154" s="3" t="s">
        <v>7</v>
      </c>
      <c r="B3154" s="3" t="s">
        <v>28</v>
      </c>
      <c r="D3154" s="3" t="str">
        <f>IFERROR(__xludf.DUMMYFUNCTION("GOOGLETRANSLATE(A3154, ""nl"", ""en"")"),"Human Figures and Physicality")</f>
        <v>Human Figures and Physicality</v>
      </c>
      <c r="E3154" s="3" t="str">
        <f>IFERROR(__xludf.DUMMYFUNCTION("GOOGLETRANSLATE(B3154, ""nl"", ""en"")"),"A dancing silhouette")</f>
        <v>A dancing silhouette</v>
      </c>
    </row>
    <row r="3155" ht="15.75" customHeight="1">
      <c r="A3155" s="3" t="s">
        <v>12</v>
      </c>
      <c r="B3155" s="3" t="s">
        <v>51</v>
      </c>
      <c r="D3155" s="3" t="str">
        <f>IFERROR(__xludf.DUMMYFUNCTION("GOOGLETRANSLATE(A3155, ""nl"", ""en"")"),"Nature and Elements")</f>
        <v>Nature and Elements</v>
      </c>
      <c r="E3155" s="3" t="str">
        <f>IFERROR(__xludf.DUMMYFUNCTION("GOOGLETRANSLATE(B3155, ""nl"", ""en"")"),"An evaporating puddle of water")</f>
        <v>An evaporating puddle of water</v>
      </c>
    </row>
    <row r="3156" ht="15.75" customHeight="1">
      <c r="A3156" s="3" t="s">
        <v>24</v>
      </c>
      <c r="B3156" s="3" t="s">
        <v>31</v>
      </c>
      <c r="D3156" s="3" t="str">
        <f>IFERROR(__xludf.DUMMYFUNCTION("GOOGLETRANSLATE(A3156, ""nl"", ""en"")"),"Cosmic and Abstract Patterns")</f>
        <v>Cosmic and Abstract Patterns</v>
      </c>
      <c r="E3156" s="3" t="str">
        <f>IFERROR(__xludf.DUMMYFUNCTION("GOOGLETRANSLATE(B3156, ""nl"", ""en"")"),"A planet with unusual rings")</f>
        <v>A planet with unusual rings</v>
      </c>
    </row>
    <row r="3157" ht="15.75" customHeight="1">
      <c r="A3157" s="3" t="s">
        <v>4</v>
      </c>
      <c r="B3157" s="3" t="s">
        <v>35</v>
      </c>
      <c r="D3157" s="3" t="str">
        <f>IFERROR(__xludf.DUMMYFUNCTION("GOOGLETRANSLATE(A3157, ""nl"", ""en"")"),"Architectural and Structural Associations")</f>
        <v>Architectural and Structural Associations</v>
      </c>
      <c r="E3157" s="3" t="str">
        <f>IFERROR(__xludf.DUMMYFUNCTION("GOOGLETRANSLATE(B3157, ""nl"", ""en"")"),"A floating building without a base")</f>
        <v>A floating building without a base</v>
      </c>
    </row>
    <row r="3158" ht="15.75" customHeight="1">
      <c r="A3158" s="3" t="s">
        <v>7</v>
      </c>
      <c r="B3158" s="3" t="s">
        <v>28</v>
      </c>
      <c r="D3158" s="3" t="str">
        <f>IFERROR(__xludf.DUMMYFUNCTION("GOOGLETRANSLATE(A3158, ""nl"", ""en"")"),"Human Figures and Physicality")</f>
        <v>Human Figures and Physicality</v>
      </c>
      <c r="E3158" s="3" t="str">
        <f>IFERROR(__xludf.DUMMYFUNCTION("GOOGLETRANSLATE(B3158, ""nl"", ""en"")"),"A dancing silhouette")</f>
        <v>A dancing silhouette</v>
      </c>
    </row>
    <row r="3159" ht="15.75" customHeight="1">
      <c r="A3159" s="3" t="s">
        <v>15</v>
      </c>
      <c r="B3159" s="3" t="s">
        <v>22</v>
      </c>
      <c r="D3159" s="3" t="str">
        <f>IFERROR(__xludf.DUMMYFUNCTION("GOOGLETRANSLATE(A3159, ""nl"", ""en"")"),"Animals and Organic Forms")</f>
        <v>Animals and Organic Forms</v>
      </c>
      <c r="E3159" s="3" t="str">
        <f>IFERROR(__xludf.DUMMYFUNCTION("GOOGLETRANSLATE(B3159, ""nl"", ""en"")"),"A bird taking off")</f>
        <v>A bird taking off</v>
      </c>
    </row>
    <row r="3160" ht="15.75" customHeight="1">
      <c r="A3160" s="3" t="s">
        <v>24</v>
      </c>
      <c r="B3160" s="3" t="s">
        <v>48</v>
      </c>
      <c r="D3160" s="3" t="str">
        <f>IFERROR(__xludf.DUMMYFUNCTION("GOOGLETRANSLATE(A3160, ""nl"", ""en"")"),"Cosmic and Abstract Patterns")</f>
        <v>Cosmic and Abstract Patterns</v>
      </c>
      <c r="E3160" s="3" t="str">
        <f>IFERROR(__xludf.DUMMYFUNCTION("GOOGLETRANSLATE(B3160, ""nl"", ""en"")"),"A fractal that repeats itself")</f>
        <v>A fractal that repeats itself</v>
      </c>
    </row>
    <row r="3161" ht="15.75" customHeight="1">
      <c r="A3161" s="3" t="s">
        <v>15</v>
      </c>
      <c r="B3161" s="3" t="s">
        <v>38</v>
      </c>
      <c r="D3161" s="3" t="str">
        <f>IFERROR(__xludf.DUMMYFUNCTION("GOOGLETRANSLATE(A3161, ""nl"", ""en"")"),"Animals and Organic Forms")</f>
        <v>Animals and Organic Forms</v>
      </c>
      <c r="E3161" s="3" t="str">
        <f>IFERROR(__xludf.DUMMYFUNCTION("GOOGLETRANSLATE(B3161, ""nl"", ""en"")"),"A lion with an open mouth")</f>
        <v>A lion with an open mouth</v>
      </c>
    </row>
    <row r="3162" ht="15.75" customHeight="1">
      <c r="A3162" s="3" t="s">
        <v>4</v>
      </c>
      <c r="B3162" s="3" t="s">
        <v>5</v>
      </c>
      <c r="D3162" s="3" t="str">
        <f>IFERROR(__xludf.DUMMYFUNCTION("GOOGLETRANSLATE(A3162, ""nl"", ""en"")"),"Architectural and Structural Associations")</f>
        <v>Architectural and Structural Associations</v>
      </c>
      <c r="E3162" s="3" t="str">
        <f>IFERROR(__xludf.DUMMYFUNCTION("GOOGLETRANSLATE(B3162, ""nl"", ""en"")"),"A cathedral shaped from mist")</f>
        <v>A cathedral shaped from mist</v>
      </c>
    </row>
    <row r="3163" ht="15.75" customHeight="1">
      <c r="A3163" s="3" t="s">
        <v>7</v>
      </c>
      <c r="B3163" s="3" t="s">
        <v>41</v>
      </c>
      <c r="D3163" s="3" t="str">
        <f>IFERROR(__xludf.DUMMYFUNCTION("GOOGLETRANSLATE(A3163, ""nl"", ""en"")"),"Human Figures and Physicality")</f>
        <v>Human Figures and Physicality</v>
      </c>
      <c r="E3163" s="3" t="str">
        <f>IFERROR(__xludf.DUMMYFUNCTION("GOOGLETRANSLATE(B3163, ""nl"", ""en"")"),"A face that fades into abstraction")</f>
        <v>A face that fades into abstraction</v>
      </c>
    </row>
    <row r="3164" ht="15.75" customHeight="1">
      <c r="A3164" s="3" t="s">
        <v>7</v>
      </c>
      <c r="B3164" s="3" t="s">
        <v>28</v>
      </c>
      <c r="D3164" s="3" t="str">
        <f>IFERROR(__xludf.DUMMYFUNCTION("GOOGLETRANSLATE(A3164, ""nl"", ""en"")"),"Human Figures and Physicality")</f>
        <v>Human Figures and Physicality</v>
      </c>
      <c r="E3164" s="3" t="str">
        <f>IFERROR(__xludf.DUMMYFUNCTION("GOOGLETRANSLATE(B3164, ""nl"", ""en"")"),"A dancing silhouette")</f>
        <v>A dancing silhouette</v>
      </c>
    </row>
    <row r="3165" ht="15.75" customHeight="1">
      <c r="A3165" s="3" t="s">
        <v>15</v>
      </c>
      <c r="B3165" s="3" t="s">
        <v>16</v>
      </c>
      <c r="D3165" s="3" t="str">
        <f>IFERROR(__xludf.DUMMYFUNCTION("GOOGLETRANSLATE(A3165, ""nl"", ""en"")"),"Animals and Organic Forms")</f>
        <v>Animals and Organic Forms</v>
      </c>
      <c r="E3165" s="3" t="str">
        <f>IFERROR(__xludf.DUMMYFUNCTION("GOOGLETRANSLATE(B3165, ""nl"", ""en"")"),"A butterfly in transformation")</f>
        <v>A butterfly in transformation</v>
      </c>
    </row>
    <row r="3166" ht="15.75" customHeight="1">
      <c r="A3166" s="3" t="s">
        <v>12</v>
      </c>
      <c r="B3166" s="3" t="s">
        <v>13</v>
      </c>
      <c r="D3166" s="3" t="str">
        <f>IFERROR(__xludf.DUMMYFUNCTION("GOOGLETRANSLATE(A3166, ""nl"", ""en"")"),"Nature and Elements")</f>
        <v>Nature and Elements</v>
      </c>
      <c r="E3166" s="3" t="str">
        <f>IFERROR(__xludf.DUMMYFUNCTION("GOOGLETRANSLATE(B3166, ""nl"", ""en"")"),"A lightning strike in slow motion")</f>
        <v>A lightning strike in slow motion</v>
      </c>
    </row>
    <row r="3167" ht="15.75" customHeight="1">
      <c r="A3167" s="3" t="s">
        <v>24</v>
      </c>
      <c r="B3167" s="3" t="s">
        <v>54</v>
      </c>
      <c r="D3167" s="3" t="str">
        <f>IFERROR(__xludf.DUMMYFUNCTION("GOOGLETRANSLATE(A3167, ""nl"", ""en"")"),"Cosmic and Abstract Patterns")</f>
        <v>Cosmic and Abstract Patterns</v>
      </c>
      <c r="E3167" s="3" t="str">
        <f>IFERROR(__xludf.DUMMYFUNCTION("GOOGLETRANSLATE(B3167, ""nl"", ""en"")"),"A quantum particle in superposition")</f>
        <v>A quantum particle in superposition</v>
      </c>
    </row>
    <row r="3168" ht="15.75" customHeight="1">
      <c r="A3168" s="3" t="s">
        <v>12</v>
      </c>
      <c r="B3168" s="3" t="s">
        <v>19</v>
      </c>
      <c r="D3168" s="3" t="str">
        <f>IFERROR(__xludf.DUMMYFUNCTION("GOOGLETRANSLATE(A3168, ""nl"", ""en"")"),"Nature and Elements")</f>
        <v>Nature and Elements</v>
      </c>
      <c r="E3168" s="3" t="str">
        <f>IFERROR(__xludf.DUMMYFUNCTION("GOOGLETRANSLATE(B3168, ""nl"", ""en"")"),"A mountain range that seems to breathe")</f>
        <v>A mountain range that seems to breathe</v>
      </c>
    </row>
    <row r="3169" ht="15.75" customHeight="1">
      <c r="A3169" s="3" t="s">
        <v>12</v>
      </c>
      <c r="B3169" s="3" t="s">
        <v>13</v>
      </c>
      <c r="D3169" s="3" t="str">
        <f>IFERROR(__xludf.DUMMYFUNCTION("GOOGLETRANSLATE(A3169, ""nl"", ""en"")"),"Nature and Elements")</f>
        <v>Nature and Elements</v>
      </c>
      <c r="E3169" s="3" t="str">
        <f>IFERROR(__xludf.DUMMYFUNCTION("GOOGLETRANSLATE(B3169, ""nl"", ""en"")"),"A lightning strike in slow motion")</f>
        <v>A lightning strike in slow motion</v>
      </c>
    </row>
    <row r="3170" ht="15.75" customHeight="1">
      <c r="A3170" s="3" t="s">
        <v>24</v>
      </c>
      <c r="B3170" s="3" t="s">
        <v>31</v>
      </c>
      <c r="D3170" s="3" t="str">
        <f>IFERROR(__xludf.DUMMYFUNCTION("GOOGLETRANSLATE(A3170, ""nl"", ""en"")"),"Cosmic and Abstract Patterns")</f>
        <v>Cosmic and Abstract Patterns</v>
      </c>
      <c r="E3170" s="3" t="str">
        <f>IFERROR(__xludf.DUMMYFUNCTION("GOOGLETRANSLATE(B3170, ""nl"", ""en"")"),"A planet with unusual rings")</f>
        <v>A planet with unusual rings</v>
      </c>
    </row>
    <row r="3171" ht="15.75" customHeight="1">
      <c r="A3171" s="3" t="s">
        <v>12</v>
      </c>
      <c r="B3171" s="3" t="s">
        <v>47</v>
      </c>
      <c r="D3171" s="3" t="str">
        <f>IFERROR(__xludf.DUMMYFUNCTION("GOOGLETRANSLATE(A3171, ""nl"", ""en"")"),"Nature and Elements")</f>
        <v>Nature and Elements</v>
      </c>
      <c r="E3171" s="3" t="str">
        <f>IFERROR(__xludf.DUMMYFUNCTION("GOOGLETRANSLATE(B3171, ""nl"", ""en"")"),"A desert landscape that slowly changes")</f>
        <v>A desert landscape that slowly changes</v>
      </c>
    </row>
    <row r="3172" ht="15.75" customHeight="1">
      <c r="A3172" s="3" t="s">
        <v>12</v>
      </c>
      <c r="B3172" s="3" t="s">
        <v>23</v>
      </c>
      <c r="D3172" s="3" t="str">
        <f>IFERROR(__xludf.DUMMYFUNCTION("GOOGLETRANSLATE(A3172, ""nl"", ""en"")"),"Nature and Elements")</f>
        <v>Nature and Elements</v>
      </c>
      <c r="E3172" s="3" t="str">
        <f>IFERROR(__xludf.DUMMYFUNCTION("GOOGLETRANSLATE(B3172, ""nl"", ""en"")"),"A storm cloud splitting in two")</f>
        <v>A storm cloud splitting in two</v>
      </c>
    </row>
    <row r="3173" ht="15.75" customHeight="1">
      <c r="A3173" s="3" t="s">
        <v>15</v>
      </c>
      <c r="B3173" s="3" t="s">
        <v>45</v>
      </c>
      <c r="D3173" s="3" t="str">
        <f>IFERROR(__xludf.DUMMYFUNCTION("GOOGLETRANSLATE(A3173, ""nl"", ""en"")"),"Animals and Organic Forms")</f>
        <v>Animals and Organic Forms</v>
      </c>
      <c r="E3173" s="3" t="str">
        <f>IFERROR(__xludf.DUMMYFUNCTION("GOOGLETRANSLATE(B3173, ""nl"", ""en"")"),"A snake biting its own tail")</f>
        <v>A snake biting its own tail</v>
      </c>
    </row>
    <row r="3174" ht="15.75" customHeight="1">
      <c r="A3174" s="3" t="s">
        <v>9</v>
      </c>
      <c r="B3174" s="3" t="s">
        <v>49</v>
      </c>
      <c r="D3174" s="3" t="str">
        <f>IFERROR(__xludf.DUMMYFUNCTION("GOOGLETRANSLATE(A3174, ""nl"", ""en"")"),"Psychological and Emotional Interpretations")</f>
        <v>Psychological and Emotional Interpretations</v>
      </c>
      <c r="E3174" s="3" t="str">
        <f>IFERROR(__xludf.DUMMYFUNCTION("GOOGLETRANSLATE(B3174, ""nl"", ""en"")"),"A spiral that turns inward")</f>
        <v>A spiral that turns inward</v>
      </c>
    </row>
    <row r="3175" ht="15.75" customHeight="1">
      <c r="A3175" s="3" t="s">
        <v>24</v>
      </c>
      <c r="B3175" s="3" t="s">
        <v>31</v>
      </c>
      <c r="D3175" s="3" t="str">
        <f>IFERROR(__xludf.DUMMYFUNCTION("GOOGLETRANSLATE(A3175, ""nl"", ""en"")"),"Cosmic and Abstract Patterns")</f>
        <v>Cosmic and Abstract Patterns</v>
      </c>
      <c r="E3175" s="3" t="str">
        <f>IFERROR(__xludf.DUMMYFUNCTION("GOOGLETRANSLATE(B3175, ""nl"", ""en"")"),"A planet with unusual rings")</f>
        <v>A planet with unusual rings</v>
      </c>
    </row>
    <row r="3176" ht="15.75" customHeight="1">
      <c r="A3176" s="3" t="s">
        <v>12</v>
      </c>
      <c r="B3176" s="3" t="s">
        <v>19</v>
      </c>
      <c r="D3176" s="3" t="str">
        <f>IFERROR(__xludf.DUMMYFUNCTION("GOOGLETRANSLATE(A3176, ""nl"", ""en"")"),"Nature and Elements")</f>
        <v>Nature and Elements</v>
      </c>
      <c r="E3176" s="3" t="str">
        <f>IFERROR(__xludf.DUMMYFUNCTION("GOOGLETRANSLATE(B3176, ""nl"", ""en"")"),"A mountain range that seems to breathe")</f>
        <v>A mountain range that seems to breathe</v>
      </c>
    </row>
    <row r="3177" ht="15.75" customHeight="1">
      <c r="A3177" s="3" t="s">
        <v>7</v>
      </c>
      <c r="B3177" s="3" t="s">
        <v>34</v>
      </c>
      <c r="D3177" s="3" t="str">
        <f>IFERROR(__xludf.DUMMYFUNCTION("GOOGLETRANSLATE(A3177, ""nl"", ""en"")"),"Human Figures and Physicality")</f>
        <v>Human Figures and Physicality</v>
      </c>
      <c r="E3177" s="3" t="str">
        <f>IFERROR(__xludf.DUMMYFUNCTION("GOOGLETRANSLATE(B3177, ""nl"", ""en"")"),"Hands almost touching")</f>
        <v>Hands almost touching</v>
      </c>
    </row>
    <row r="3178" ht="15.75" customHeight="1">
      <c r="A3178" s="3" t="s">
        <v>24</v>
      </c>
      <c r="B3178" s="3" t="s">
        <v>54</v>
      </c>
      <c r="D3178" s="3" t="str">
        <f>IFERROR(__xludf.DUMMYFUNCTION("GOOGLETRANSLATE(A3178, ""nl"", ""en"")"),"Cosmic and Abstract Patterns")</f>
        <v>Cosmic and Abstract Patterns</v>
      </c>
      <c r="E3178" s="3" t="str">
        <f>IFERROR(__xludf.DUMMYFUNCTION("GOOGLETRANSLATE(B3178, ""nl"", ""en"")"),"A quantum particle in superposition")</f>
        <v>A quantum particle in superposition</v>
      </c>
    </row>
    <row r="3179" ht="15.75" customHeight="1">
      <c r="A3179" s="3" t="s">
        <v>7</v>
      </c>
      <c r="B3179" s="3" t="s">
        <v>53</v>
      </c>
      <c r="D3179" s="3" t="str">
        <f>IFERROR(__xludf.DUMMYFUNCTION("GOOGLETRANSLATE(A3179, ""nl"", ""en"")"),"Human Figures and Physicality")</f>
        <v>Human Figures and Physicality</v>
      </c>
      <c r="E3179" s="3" t="str">
        <f>IFERROR(__xludf.DUMMYFUNCTION("GOOGLETRANSLATE(B3179, ""nl"", ""en"")"),"A face that both smiles and cries")</f>
        <v>A face that both smiles and cries</v>
      </c>
    </row>
    <row r="3180" ht="15.75" customHeight="1">
      <c r="A3180" s="3" t="s">
        <v>4</v>
      </c>
      <c r="B3180" s="3" t="s">
        <v>44</v>
      </c>
      <c r="D3180" s="3" t="str">
        <f>IFERROR(__xludf.DUMMYFUNCTION("GOOGLETRANSLATE(A3180, ""nl"", ""en"")"),"Architectural and Structural Associations")</f>
        <v>Architectural and Structural Associations</v>
      </c>
      <c r="E3180" s="3" t="str">
        <f>IFERROR(__xludf.DUMMYFUNCTION("GOOGLETRANSLATE(B3180, ""nl"", ""en"")"),"A structure that pulsates in waves")</f>
        <v>A structure that pulsates in waves</v>
      </c>
    </row>
    <row r="3181" ht="15.75" customHeight="1">
      <c r="A3181" s="3" t="s">
        <v>7</v>
      </c>
      <c r="B3181" s="3" t="s">
        <v>28</v>
      </c>
      <c r="D3181" s="3" t="str">
        <f>IFERROR(__xludf.DUMMYFUNCTION("GOOGLETRANSLATE(A3181, ""nl"", ""en"")"),"Human Figures and Physicality")</f>
        <v>Human Figures and Physicality</v>
      </c>
      <c r="E3181" s="3" t="str">
        <f>IFERROR(__xludf.DUMMYFUNCTION("GOOGLETRANSLATE(B3181, ""nl"", ""en"")"),"A dancing silhouette")</f>
        <v>A dancing silhouette</v>
      </c>
    </row>
    <row r="3182" ht="15.75" customHeight="1">
      <c r="A3182" s="3" t="s">
        <v>12</v>
      </c>
      <c r="B3182" s="3" t="s">
        <v>23</v>
      </c>
      <c r="D3182" s="3" t="str">
        <f>IFERROR(__xludf.DUMMYFUNCTION("GOOGLETRANSLATE(A3182, ""nl"", ""en"")"),"Nature and Elements")</f>
        <v>Nature and Elements</v>
      </c>
      <c r="E3182" s="3" t="str">
        <f>IFERROR(__xludf.DUMMYFUNCTION("GOOGLETRANSLATE(B3182, ""nl"", ""en"")"),"A storm cloud splitting in two")</f>
        <v>A storm cloud splitting in two</v>
      </c>
    </row>
    <row r="3183" ht="15.75" customHeight="1">
      <c r="A3183" s="3" t="s">
        <v>9</v>
      </c>
      <c r="B3183" s="3" t="s">
        <v>42</v>
      </c>
      <c r="D3183" s="3" t="str">
        <f>IFERROR(__xludf.DUMMYFUNCTION("GOOGLETRANSLATE(A3183, ""nl"", ""en"")"),"Psychological and Emotional Interpretations")</f>
        <v>Psychological and Emotional Interpretations</v>
      </c>
      <c r="E3183" s="3" t="str">
        <f>IFERROR(__xludf.DUMMYFUNCTION("GOOGLETRANSLATE(B3183, ""nl"", ""en"")"),"A mask that slowly disappears")</f>
        <v>A mask that slowly disappears</v>
      </c>
    </row>
    <row r="3184" ht="15.75" customHeight="1">
      <c r="A3184" s="3" t="s">
        <v>7</v>
      </c>
      <c r="B3184" s="3" t="s">
        <v>8</v>
      </c>
      <c r="D3184" s="3" t="str">
        <f>IFERROR(__xludf.DUMMYFUNCTION("GOOGLETRANSLATE(A3184, ""nl"", ""en"")"),"Human Figures and Physicality")</f>
        <v>Human Figures and Physicality</v>
      </c>
      <c r="E3184" s="3" t="str">
        <f>IFERROR(__xludf.DUMMYFUNCTION("GOOGLETRANSLATE(B3184, ""nl"", ""en"")"),"Two figures mirroring each other")</f>
        <v>Two figures mirroring each other</v>
      </c>
    </row>
    <row r="3185" ht="15.75" customHeight="1">
      <c r="A3185" s="3" t="s">
        <v>24</v>
      </c>
      <c r="B3185" s="3" t="s">
        <v>33</v>
      </c>
      <c r="D3185" s="3" t="str">
        <f>IFERROR(__xludf.DUMMYFUNCTION("GOOGLETRANSLATE(A3185, ""nl"", ""en"")"),"Cosmic and Abstract Patterns")</f>
        <v>Cosmic and Abstract Patterns</v>
      </c>
      <c r="E3185" s="3" t="str">
        <f>IFERROR(__xludf.DUMMYFUNCTION("GOOGLETRANSLATE(B3185, ""nl"", ""en"")"),"An eye that repeats itself in endless patterns")</f>
        <v>An eye that repeats itself in endless patterns</v>
      </c>
    </row>
    <row r="3186" ht="15.75" customHeight="1">
      <c r="A3186" s="3" t="s">
        <v>7</v>
      </c>
      <c r="B3186" s="3" t="s">
        <v>53</v>
      </c>
      <c r="D3186" s="3" t="str">
        <f>IFERROR(__xludf.DUMMYFUNCTION("GOOGLETRANSLATE(A3186, ""nl"", ""en"")"),"Human Figures and Physicality")</f>
        <v>Human Figures and Physicality</v>
      </c>
      <c r="E3186" s="3" t="str">
        <f>IFERROR(__xludf.DUMMYFUNCTION("GOOGLETRANSLATE(B3186, ""nl"", ""en"")"),"A face that both smiles and cries")</f>
        <v>A face that both smiles and cries</v>
      </c>
    </row>
    <row r="3187" ht="15.75" customHeight="1">
      <c r="A3187" s="3" t="s">
        <v>9</v>
      </c>
      <c r="B3187" s="3" t="s">
        <v>57</v>
      </c>
      <c r="D3187" s="3" t="str">
        <f>IFERROR(__xludf.DUMMYFUNCTION("GOOGLETRANSLATE(A3187, ""nl"", ""en"")"),"Psychological and Emotional Interpretations")</f>
        <v>Psychological and Emotional Interpretations</v>
      </c>
      <c r="E3187" s="3" t="str">
        <f>IFERROR(__xludf.DUMMYFUNCTION("GOOGLETRANSLATE(B3187, ""nl"", ""en"")"),"An explosion of colours and feelings")</f>
        <v>An explosion of colours and feelings</v>
      </c>
    </row>
    <row r="3188" ht="15.75" customHeight="1">
      <c r="A3188" s="3" t="s">
        <v>24</v>
      </c>
      <c r="B3188" s="3" t="s">
        <v>48</v>
      </c>
      <c r="D3188" s="3" t="str">
        <f>IFERROR(__xludf.DUMMYFUNCTION("GOOGLETRANSLATE(A3188, ""nl"", ""en"")"),"Cosmic and Abstract Patterns")</f>
        <v>Cosmic and Abstract Patterns</v>
      </c>
      <c r="E3188" s="3" t="str">
        <f>IFERROR(__xludf.DUMMYFUNCTION("GOOGLETRANSLATE(B3188, ""nl"", ""en"")"),"A fractal that repeats itself")</f>
        <v>A fractal that repeats itself</v>
      </c>
    </row>
    <row r="3189" ht="15.75" customHeight="1">
      <c r="A3189" s="3" t="s">
        <v>9</v>
      </c>
      <c r="B3189" s="3" t="s">
        <v>49</v>
      </c>
      <c r="D3189" s="3" t="str">
        <f>IFERROR(__xludf.DUMMYFUNCTION("GOOGLETRANSLATE(A3189, ""nl"", ""en"")"),"Psychological and Emotional Interpretations")</f>
        <v>Psychological and Emotional Interpretations</v>
      </c>
      <c r="E3189" s="3" t="str">
        <f>IFERROR(__xludf.DUMMYFUNCTION("GOOGLETRANSLATE(B3189, ""nl"", ""en"")"),"A spiral that turns inward")</f>
        <v>A spiral that turns inward</v>
      </c>
    </row>
    <row r="3190" ht="15.75" customHeight="1">
      <c r="A3190" s="3" t="s">
        <v>15</v>
      </c>
      <c r="B3190" s="3" t="s">
        <v>22</v>
      </c>
      <c r="D3190" s="3" t="str">
        <f>IFERROR(__xludf.DUMMYFUNCTION("GOOGLETRANSLATE(A3190, ""nl"", ""en"")"),"Animals and Organic Forms")</f>
        <v>Animals and Organic Forms</v>
      </c>
      <c r="E3190" s="3" t="str">
        <f>IFERROR(__xludf.DUMMYFUNCTION("GOOGLETRANSLATE(B3190, ""nl"", ""en"")"),"A bird taking off")</f>
        <v>A bird taking off</v>
      </c>
    </row>
    <row r="3191" ht="15.75" customHeight="1">
      <c r="A3191" s="3" t="s">
        <v>9</v>
      </c>
      <c r="B3191" s="3" t="s">
        <v>17</v>
      </c>
      <c r="D3191" s="3" t="str">
        <f>IFERROR(__xludf.DUMMYFUNCTION("GOOGLETRANSLATE(A3191, ""nl"", ""en"")"),"Psychological and Emotional Interpretations")</f>
        <v>Psychological and Emotional Interpretations</v>
      </c>
      <c r="E3191" s="3" t="str">
        <f>IFERROR(__xludf.DUMMYFUNCTION("GOOGLETRANSLATE(B3191, ""nl"", ""en"")"),"A figure that seems to melt")</f>
        <v>A figure that seems to melt</v>
      </c>
    </row>
    <row r="3192" ht="15.75" customHeight="1">
      <c r="A3192" s="3" t="s">
        <v>9</v>
      </c>
      <c r="B3192" s="3" t="s">
        <v>57</v>
      </c>
      <c r="D3192" s="3" t="str">
        <f>IFERROR(__xludf.DUMMYFUNCTION("GOOGLETRANSLATE(A3192, ""nl"", ""en"")"),"Psychological and Emotional Interpretations")</f>
        <v>Psychological and Emotional Interpretations</v>
      </c>
      <c r="E3192" s="3" t="str">
        <f>IFERROR(__xludf.DUMMYFUNCTION("GOOGLETRANSLATE(B3192, ""nl"", ""en"")"),"An explosion of colours and feelings")</f>
        <v>An explosion of colours and feelings</v>
      </c>
    </row>
    <row r="3193" ht="15.75" customHeight="1">
      <c r="A3193" s="3" t="s">
        <v>4</v>
      </c>
      <c r="B3193" s="3" t="s">
        <v>35</v>
      </c>
      <c r="D3193" s="3" t="str">
        <f>IFERROR(__xludf.DUMMYFUNCTION("GOOGLETRANSLATE(A3193, ""nl"", ""en"")"),"Architectural and Structural Associations")</f>
        <v>Architectural and Structural Associations</v>
      </c>
      <c r="E3193" s="3" t="str">
        <f>IFERROR(__xludf.DUMMYFUNCTION("GOOGLETRANSLATE(B3193, ""nl"", ""en"")"),"A floating building without a base")</f>
        <v>A floating building without a base</v>
      </c>
    </row>
    <row r="3194" ht="15.75" customHeight="1">
      <c r="A3194" s="3" t="s">
        <v>9</v>
      </c>
      <c r="B3194" s="3" t="s">
        <v>14</v>
      </c>
      <c r="D3194" s="3" t="str">
        <f>IFERROR(__xludf.DUMMYFUNCTION("GOOGLETRANSLATE(A3194, ""nl"", ""en"")"),"Psychological and Emotional Interpretations")</f>
        <v>Psychological and Emotional Interpretations</v>
      </c>
      <c r="E3194" s="3" t="str">
        <f>IFERROR(__xludf.DUMMYFUNCTION("GOOGLETRANSLATE(B3194, ""nl"", ""en"")"),"An unclear hug")</f>
        <v>An unclear hug</v>
      </c>
    </row>
    <row r="3195" ht="15.75" customHeight="1">
      <c r="A3195" s="3" t="s">
        <v>15</v>
      </c>
      <c r="B3195" s="3" t="s">
        <v>50</v>
      </c>
      <c r="D3195" s="3" t="str">
        <f>IFERROR(__xludf.DUMMYFUNCTION("GOOGLETRANSLATE(A3195, ""nl"", ""en"")"),"Animals and Organic Forms")</f>
        <v>Animals and Organic Forms</v>
      </c>
      <c r="E3195" s="3" t="str">
        <f>IFERROR(__xludf.DUMMYFUNCTION("GOOGLETRANSLATE(B3195, ""nl"", ""en"")"),"A squid with extended tentacles")</f>
        <v>A squid with extended tentacles</v>
      </c>
    </row>
    <row r="3196" ht="15.75" customHeight="1">
      <c r="A3196" s="3" t="s">
        <v>15</v>
      </c>
      <c r="B3196" s="3" t="s">
        <v>16</v>
      </c>
      <c r="D3196" s="3" t="str">
        <f>IFERROR(__xludf.DUMMYFUNCTION("GOOGLETRANSLATE(A3196, ""nl"", ""en"")"),"Animals and Organic Forms")</f>
        <v>Animals and Organic Forms</v>
      </c>
      <c r="E3196" s="3" t="str">
        <f>IFERROR(__xludf.DUMMYFUNCTION("GOOGLETRANSLATE(B3196, ""nl"", ""en"")"),"A butterfly in transformation")</f>
        <v>A butterfly in transformation</v>
      </c>
    </row>
    <row r="3197" ht="15.75" customHeight="1">
      <c r="A3197" s="3" t="s">
        <v>4</v>
      </c>
      <c r="B3197" s="3" t="s">
        <v>55</v>
      </c>
      <c r="D3197" s="3" t="str">
        <f>IFERROR(__xludf.DUMMYFUNCTION("GOOGLETRANSLATE(A3197, ""nl"", ""en"")"),"Architectural and Structural Associations")</f>
        <v>Architectural and Structural Associations</v>
      </c>
      <c r="E3197" s="3" t="str">
        <f>IFERROR(__xludf.DUMMYFUNCTION("GOOGLETRANSLATE(B3197, ""nl"", ""en"")"),"A prism that splits light into colors")</f>
        <v>A prism that splits light into colors</v>
      </c>
    </row>
    <row r="3198" ht="15.75" customHeight="1">
      <c r="A3198" s="3" t="s">
        <v>15</v>
      </c>
      <c r="B3198" s="3" t="s">
        <v>38</v>
      </c>
      <c r="D3198" s="3" t="str">
        <f>IFERROR(__xludf.DUMMYFUNCTION("GOOGLETRANSLATE(A3198, ""nl"", ""en"")"),"Animals and Organic Forms")</f>
        <v>Animals and Organic Forms</v>
      </c>
      <c r="E3198" s="3" t="str">
        <f>IFERROR(__xludf.DUMMYFUNCTION("GOOGLETRANSLATE(B3198, ""nl"", ""en"")"),"A lion with an open mouth")</f>
        <v>A lion with an open mouth</v>
      </c>
    </row>
    <row r="3199" ht="15.75" customHeight="1">
      <c r="A3199" s="3" t="s">
        <v>4</v>
      </c>
      <c r="B3199" s="3" t="s">
        <v>44</v>
      </c>
      <c r="D3199" s="3" t="str">
        <f>IFERROR(__xludf.DUMMYFUNCTION("GOOGLETRANSLATE(A3199, ""nl"", ""en"")"),"Architectural and Structural Associations")</f>
        <v>Architectural and Structural Associations</v>
      </c>
      <c r="E3199" s="3" t="str">
        <f>IFERROR(__xludf.DUMMYFUNCTION("GOOGLETRANSLATE(B3199, ""nl"", ""en"")"),"A structure that pulsates in waves")</f>
        <v>A structure that pulsates in waves</v>
      </c>
    </row>
    <row r="3200" ht="15.75" customHeight="1">
      <c r="A3200" s="3" t="s">
        <v>15</v>
      </c>
      <c r="B3200" s="3" t="s">
        <v>45</v>
      </c>
      <c r="D3200" s="3" t="str">
        <f>IFERROR(__xludf.DUMMYFUNCTION("GOOGLETRANSLATE(A3200, ""nl"", ""en"")"),"Animals and Organic Forms")</f>
        <v>Animals and Organic Forms</v>
      </c>
      <c r="E3200" s="3" t="str">
        <f>IFERROR(__xludf.DUMMYFUNCTION("GOOGLETRANSLATE(B3200, ""nl"", ""en"")"),"A snake biting its own tail")</f>
        <v>A snake biting its own tail</v>
      </c>
    </row>
    <row r="3201" ht="15.75" customHeight="1">
      <c r="A3201" s="3" t="s">
        <v>12</v>
      </c>
      <c r="B3201" s="3" t="s">
        <v>51</v>
      </c>
      <c r="D3201" s="3" t="str">
        <f>IFERROR(__xludf.DUMMYFUNCTION("GOOGLETRANSLATE(A3201, ""nl"", ""en"")"),"Nature and Elements")</f>
        <v>Nature and Elements</v>
      </c>
      <c r="E3201" s="3" t="str">
        <f>IFERROR(__xludf.DUMMYFUNCTION("GOOGLETRANSLATE(B3201, ""nl"", ""en"")"),"An evaporating puddle of water")</f>
        <v>An evaporating puddle of water</v>
      </c>
    </row>
    <row r="3202" ht="15.75" customHeight="1">
      <c r="A3202" s="3" t="s">
        <v>24</v>
      </c>
      <c r="B3202" s="3" t="s">
        <v>33</v>
      </c>
      <c r="D3202" s="3" t="str">
        <f>IFERROR(__xludf.DUMMYFUNCTION("GOOGLETRANSLATE(A3202, ""nl"", ""en"")"),"Cosmic and Abstract Patterns")</f>
        <v>Cosmic and Abstract Patterns</v>
      </c>
      <c r="E3202" s="3" t="str">
        <f>IFERROR(__xludf.DUMMYFUNCTION("GOOGLETRANSLATE(B3202, ""nl"", ""en"")"),"An eye that repeats itself in endless patterns")</f>
        <v>An eye that repeats itself in endless patterns</v>
      </c>
    </row>
    <row r="3203" ht="15.75" customHeight="1">
      <c r="A3203" s="3" t="s">
        <v>15</v>
      </c>
      <c r="B3203" s="3" t="s">
        <v>52</v>
      </c>
      <c r="D3203" s="3" t="str">
        <f>IFERROR(__xludf.DUMMYFUNCTION("GOOGLETRANSLATE(A3203, ""nl"", ""en"")"),"Animals and Organic Forms")</f>
        <v>Animals and Organic Forms</v>
      </c>
      <c r="E3203" s="3" t="str">
        <f>IFERROR(__xludf.DUMMYFUNCTION("GOOGLETRANSLATE(B3203, ""nl"", ""en"")"),"A mask made of leaves")</f>
        <v>A mask made of leaves</v>
      </c>
    </row>
    <row r="3204" ht="15.75" customHeight="1">
      <c r="A3204" s="3" t="s">
        <v>9</v>
      </c>
      <c r="B3204" s="3" t="s">
        <v>17</v>
      </c>
      <c r="D3204" s="3" t="str">
        <f>IFERROR(__xludf.DUMMYFUNCTION("GOOGLETRANSLATE(A3204, ""nl"", ""en"")"),"Psychological and Emotional Interpretations")</f>
        <v>Psychological and Emotional Interpretations</v>
      </c>
      <c r="E3204" s="3" t="str">
        <f>IFERROR(__xludf.DUMMYFUNCTION("GOOGLETRANSLATE(B3204, ""nl"", ""en"")"),"A figure that seems to melt")</f>
        <v>A figure that seems to melt</v>
      </c>
    </row>
    <row r="3205" ht="15.75" customHeight="1">
      <c r="A3205" s="3" t="s">
        <v>24</v>
      </c>
      <c r="B3205" s="3" t="s">
        <v>25</v>
      </c>
      <c r="D3205" s="3" t="str">
        <f>IFERROR(__xludf.DUMMYFUNCTION("GOOGLETRANSLATE(A3205, ""nl"", ""en"")"),"Cosmic and Abstract Patterns")</f>
        <v>Cosmic and Abstract Patterns</v>
      </c>
      <c r="E3205" s="3" t="str">
        <f>IFERROR(__xludf.DUMMYFUNCTION("GOOGLETRANSLATE(B3205, ""nl"", ""en"")"),"A meteor shower dissolving into each other")</f>
        <v>A meteor shower dissolving into each other</v>
      </c>
    </row>
    <row r="3206" ht="15.75" customHeight="1">
      <c r="A3206" s="3" t="s">
        <v>4</v>
      </c>
      <c r="B3206" s="3" t="s">
        <v>44</v>
      </c>
      <c r="D3206" s="3" t="str">
        <f>IFERROR(__xludf.DUMMYFUNCTION("GOOGLETRANSLATE(A3206, ""nl"", ""en"")"),"Architectural and Structural Associations")</f>
        <v>Architectural and Structural Associations</v>
      </c>
      <c r="E3206" s="3" t="str">
        <f>IFERROR(__xludf.DUMMYFUNCTION("GOOGLETRANSLATE(B3206, ""nl"", ""en"")"),"A structure that pulsates in waves")</f>
        <v>A structure that pulsates in waves</v>
      </c>
    </row>
    <row r="3207" ht="15.75" customHeight="1">
      <c r="A3207" s="3" t="s">
        <v>12</v>
      </c>
      <c r="B3207" s="3" t="s">
        <v>47</v>
      </c>
      <c r="D3207" s="3" t="str">
        <f>IFERROR(__xludf.DUMMYFUNCTION("GOOGLETRANSLATE(A3207, ""nl"", ""en"")"),"Nature and Elements")</f>
        <v>Nature and Elements</v>
      </c>
      <c r="E3207" s="3" t="str">
        <f>IFERROR(__xludf.DUMMYFUNCTION("GOOGLETRANSLATE(B3207, ""nl"", ""en"")"),"A desert landscape that slowly changes")</f>
        <v>A desert landscape that slowly changes</v>
      </c>
    </row>
    <row r="3208" ht="15.75" customHeight="1">
      <c r="A3208" s="3" t="s">
        <v>24</v>
      </c>
      <c r="B3208" s="3" t="s">
        <v>25</v>
      </c>
      <c r="D3208" s="3" t="str">
        <f>IFERROR(__xludf.DUMMYFUNCTION("GOOGLETRANSLATE(A3208, ""nl"", ""en"")"),"Cosmic and Abstract Patterns")</f>
        <v>Cosmic and Abstract Patterns</v>
      </c>
      <c r="E3208" s="3" t="str">
        <f>IFERROR(__xludf.DUMMYFUNCTION("GOOGLETRANSLATE(B3208, ""nl"", ""en"")"),"A meteor shower dissolving into each other")</f>
        <v>A meteor shower dissolving into each other</v>
      </c>
    </row>
    <row r="3209" ht="15.75" customHeight="1">
      <c r="A3209" s="3" t="s">
        <v>24</v>
      </c>
      <c r="B3209" s="3" t="s">
        <v>33</v>
      </c>
      <c r="D3209" s="3" t="str">
        <f>IFERROR(__xludf.DUMMYFUNCTION("GOOGLETRANSLATE(A3209, ""nl"", ""en"")"),"Cosmic and Abstract Patterns")</f>
        <v>Cosmic and Abstract Patterns</v>
      </c>
      <c r="E3209" s="3" t="str">
        <f>IFERROR(__xludf.DUMMYFUNCTION("GOOGLETRANSLATE(B3209, ""nl"", ""en"")"),"An eye that repeats itself in endless patterns")</f>
        <v>An eye that repeats itself in endless patterns</v>
      </c>
    </row>
    <row r="3210" ht="15.75" customHeight="1">
      <c r="A3210" s="3" t="s">
        <v>7</v>
      </c>
      <c r="B3210" s="3" t="s">
        <v>8</v>
      </c>
      <c r="D3210" s="3" t="str">
        <f>IFERROR(__xludf.DUMMYFUNCTION("GOOGLETRANSLATE(A3210, ""nl"", ""en"")"),"Human Figures and Physicality")</f>
        <v>Human Figures and Physicality</v>
      </c>
      <c r="E3210" s="3" t="str">
        <f>IFERROR(__xludf.DUMMYFUNCTION("GOOGLETRANSLATE(B3210, ""nl"", ""en"")"),"Two figures mirroring each other")</f>
        <v>Two figures mirroring each other</v>
      </c>
    </row>
    <row r="3211" ht="15.75" customHeight="1">
      <c r="A3211" s="3" t="s">
        <v>7</v>
      </c>
      <c r="B3211" s="3" t="s">
        <v>56</v>
      </c>
      <c r="D3211" s="3" t="str">
        <f>IFERROR(__xludf.DUMMYFUNCTION("GOOGLETRANSLATE(A3211, ""nl"", ""en"")"),"Human Figures and Physicality")</f>
        <v>Human Figures and Physicality</v>
      </c>
      <c r="E3211" s="3" t="str">
        <f>IFERROR(__xludf.DUMMYFUNCTION("GOOGLETRANSLATE(B3211, ""nl"", ""en"")"),"A shadow that seems to move")</f>
        <v>A shadow that seems to move</v>
      </c>
    </row>
    <row r="3212" ht="15.75" customHeight="1">
      <c r="A3212" s="3" t="s">
        <v>7</v>
      </c>
      <c r="B3212" s="3" t="s">
        <v>41</v>
      </c>
      <c r="D3212" s="3" t="str">
        <f>IFERROR(__xludf.DUMMYFUNCTION("GOOGLETRANSLATE(A3212, ""nl"", ""en"")"),"Human Figures and Physicality")</f>
        <v>Human Figures and Physicality</v>
      </c>
      <c r="E3212" s="3" t="str">
        <f>IFERROR(__xludf.DUMMYFUNCTION("GOOGLETRANSLATE(B3212, ""nl"", ""en"")"),"A face that fades into abstraction")</f>
        <v>A face that fades into abstraction</v>
      </c>
    </row>
    <row r="3213" ht="15.75" customHeight="1">
      <c r="A3213" s="3" t="s">
        <v>9</v>
      </c>
      <c r="B3213" s="3" t="s">
        <v>14</v>
      </c>
      <c r="D3213" s="3" t="str">
        <f>IFERROR(__xludf.DUMMYFUNCTION("GOOGLETRANSLATE(A3213, ""nl"", ""en"")"),"Psychological and Emotional Interpretations")</f>
        <v>Psychological and Emotional Interpretations</v>
      </c>
      <c r="E3213" s="3" t="str">
        <f>IFERROR(__xludf.DUMMYFUNCTION("GOOGLETRANSLATE(B3213, ""nl"", ""en"")"),"An unclear hug")</f>
        <v>An unclear hug</v>
      </c>
    </row>
    <row r="3214" ht="15.75" customHeight="1">
      <c r="A3214" s="3" t="s">
        <v>7</v>
      </c>
      <c r="B3214" s="3" t="s">
        <v>53</v>
      </c>
      <c r="D3214" s="3" t="str">
        <f>IFERROR(__xludf.DUMMYFUNCTION("GOOGLETRANSLATE(A3214, ""nl"", ""en"")"),"Human Figures and Physicality")</f>
        <v>Human Figures and Physicality</v>
      </c>
      <c r="E3214" s="3" t="str">
        <f>IFERROR(__xludf.DUMMYFUNCTION("GOOGLETRANSLATE(B3214, ""nl"", ""en"")"),"A face that both smiles and cries")</f>
        <v>A face that both smiles and cries</v>
      </c>
    </row>
    <row r="3215" ht="15.75" customHeight="1">
      <c r="A3215" s="3" t="s">
        <v>7</v>
      </c>
      <c r="B3215" s="3" t="s">
        <v>28</v>
      </c>
      <c r="D3215" s="3" t="str">
        <f>IFERROR(__xludf.DUMMYFUNCTION("GOOGLETRANSLATE(A3215, ""nl"", ""en"")"),"Human Figures and Physicality")</f>
        <v>Human Figures and Physicality</v>
      </c>
      <c r="E3215" s="3" t="str">
        <f>IFERROR(__xludf.DUMMYFUNCTION("GOOGLETRANSLATE(B3215, ""nl"", ""en"")"),"A dancing silhouette")</f>
        <v>A dancing silhouette</v>
      </c>
    </row>
    <row r="3216" ht="15.75" customHeight="1">
      <c r="A3216" s="3" t="s">
        <v>7</v>
      </c>
      <c r="B3216" s="3" t="s">
        <v>41</v>
      </c>
      <c r="D3216" s="3" t="str">
        <f>IFERROR(__xludf.DUMMYFUNCTION("GOOGLETRANSLATE(A3216, ""nl"", ""en"")"),"Human Figures and Physicality")</f>
        <v>Human Figures and Physicality</v>
      </c>
      <c r="E3216" s="3" t="str">
        <f>IFERROR(__xludf.DUMMYFUNCTION("GOOGLETRANSLATE(B3216, ""nl"", ""en"")"),"A face that fades into abstraction")</f>
        <v>A face that fades into abstraction</v>
      </c>
    </row>
    <row r="3217" ht="15.75" customHeight="1">
      <c r="A3217" s="3" t="s">
        <v>12</v>
      </c>
      <c r="B3217" s="3" t="s">
        <v>51</v>
      </c>
      <c r="D3217" s="3" t="str">
        <f>IFERROR(__xludf.DUMMYFUNCTION("GOOGLETRANSLATE(A3217, ""nl"", ""en"")"),"Nature and Elements")</f>
        <v>Nature and Elements</v>
      </c>
      <c r="E3217" s="3" t="str">
        <f>IFERROR(__xludf.DUMMYFUNCTION("GOOGLETRANSLATE(B3217, ""nl"", ""en"")"),"An evaporating puddle of water")</f>
        <v>An evaporating puddle of water</v>
      </c>
    </row>
    <row r="3218" ht="15.75" customHeight="1">
      <c r="A3218" s="3" t="s">
        <v>15</v>
      </c>
      <c r="B3218" s="3" t="s">
        <v>50</v>
      </c>
      <c r="D3218" s="3" t="str">
        <f>IFERROR(__xludf.DUMMYFUNCTION("GOOGLETRANSLATE(A3218, ""nl"", ""en"")"),"Animals and Organic Forms")</f>
        <v>Animals and Organic Forms</v>
      </c>
      <c r="E3218" s="3" t="str">
        <f>IFERROR(__xludf.DUMMYFUNCTION("GOOGLETRANSLATE(B3218, ""nl"", ""en"")"),"A squid with extended tentacles")</f>
        <v>A squid with extended tentacles</v>
      </c>
    </row>
    <row r="3219" ht="15.75" customHeight="1">
      <c r="A3219" s="3" t="s">
        <v>12</v>
      </c>
      <c r="B3219" s="3" t="s">
        <v>23</v>
      </c>
      <c r="D3219" s="3" t="str">
        <f>IFERROR(__xludf.DUMMYFUNCTION("GOOGLETRANSLATE(A3219, ""nl"", ""en"")"),"Nature and Elements")</f>
        <v>Nature and Elements</v>
      </c>
      <c r="E3219" s="3" t="str">
        <f>IFERROR(__xludf.DUMMYFUNCTION("GOOGLETRANSLATE(B3219, ""nl"", ""en"")"),"A storm cloud splitting in two")</f>
        <v>A storm cloud splitting in two</v>
      </c>
    </row>
    <row r="3220" ht="15.75" customHeight="1">
      <c r="A3220" s="3" t="s">
        <v>9</v>
      </c>
      <c r="B3220" s="3" t="s">
        <v>11</v>
      </c>
      <c r="D3220" s="3" t="str">
        <f>IFERROR(__xludf.DUMMYFUNCTION("GOOGLETRANSLATE(A3220, ""nl"", ""en"")"),"Psychological and Emotional Interpretations")</f>
        <v>Psychological and Emotional Interpretations</v>
      </c>
      <c r="E3220" s="3" t="str">
        <f>IFERROR(__xludf.DUMMYFUNCTION("GOOGLETRANSLATE(B3220, ""nl"", ""en"")"),"An emotion captured in abstraction")</f>
        <v>An emotion captured in abstraction</v>
      </c>
    </row>
    <row r="3221" ht="15.75" customHeight="1">
      <c r="A3221" s="3" t="s">
        <v>12</v>
      </c>
      <c r="B3221" s="3" t="s">
        <v>30</v>
      </c>
      <c r="D3221" s="3" t="str">
        <f>IFERROR(__xludf.DUMMYFUNCTION("GOOGLETRANSLATE(A3221, ""nl"", ""en"")"),"Nature and Elements")</f>
        <v>Nature and Elements</v>
      </c>
      <c r="E3221" s="3" t="str">
        <f>IFERROR(__xludf.DUMMYFUNCTION("GOOGLETRANSLATE(B3221, ""nl"", ""en"")"),"Waves breaking in fractal patterns")</f>
        <v>Waves breaking in fractal patterns</v>
      </c>
    </row>
    <row r="3222" ht="15.75" customHeight="1">
      <c r="A3222" s="3" t="s">
        <v>12</v>
      </c>
      <c r="B3222" s="3" t="s">
        <v>47</v>
      </c>
      <c r="D3222" s="3" t="str">
        <f>IFERROR(__xludf.DUMMYFUNCTION("GOOGLETRANSLATE(A3222, ""nl"", ""en"")"),"Nature and Elements")</f>
        <v>Nature and Elements</v>
      </c>
      <c r="E3222" s="3" t="str">
        <f>IFERROR(__xludf.DUMMYFUNCTION("GOOGLETRANSLATE(B3222, ""nl"", ""en"")"),"A desert landscape that slowly changes")</f>
        <v>A desert landscape that slowly changes</v>
      </c>
    </row>
    <row r="3223" ht="15.75" customHeight="1">
      <c r="A3223" s="3" t="s">
        <v>12</v>
      </c>
      <c r="B3223" s="3" t="s">
        <v>23</v>
      </c>
      <c r="D3223" s="3" t="str">
        <f>IFERROR(__xludf.DUMMYFUNCTION("GOOGLETRANSLATE(A3223, ""nl"", ""en"")"),"Nature and Elements")</f>
        <v>Nature and Elements</v>
      </c>
      <c r="E3223" s="3" t="str">
        <f>IFERROR(__xludf.DUMMYFUNCTION("GOOGLETRANSLATE(B3223, ""nl"", ""en"")"),"A storm cloud splitting in two")</f>
        <v>A storm cloud splitting in two</v>
      </c>
    </row>
    <row r="3224" ht="15.75" customHeight="1">
      <c r="A3224" s="3" t="s">
        <v>12</v>
      </c>
      <c r="B3224" s="3" t="s">
        <v>23</v>
      </c>
      <c r="D3224" s="3" t="str">
        <f>IFERROR(__xludf.DUMMYFUNCTION("GOOGLETRANSLATE(A3224, ""nl"", ""en"")"),"Nature and Elements")</f>
        <v>Nature and Elements</v>
      </c>
      <c r="E3224" s="3" t="str">
        <f>IFERROR(__xludf.DUMMYFUNCTION("GOOGLETRANSLATE(B3224, ""nl"", ""en"")"),"A storm cloud splitting in two")</f>
        <v>A storm cloud splitting in two</v>
      </c>
    </row>
    <row r="3225" ht="15.75" customHeight="1">
      <c r="A3225" s="3" t="s">
        <v>12</v>
      </c>
      <c r="B3225" s="3" t="s">
        <v>13</v>
      </c>
      <c r="D3225" s="3" t="str">
        <f>IFERROR(__xludf.DUMMYFUNCTION("GOOGLETRANSLATE(A3225, ""nl"", ""en"")"),"Nature and Elements")</f>
        <v>Nature and Elements</v>
      </c>
      <c r="E3225" s="3" t="str">
        <f>IFERROR(__xludf.DUMMYFUNCTION("GOOGLETRANSLATE(B3225, ""nl"", ""en"")"),"A lightning strike in slow motion")</f>
        <v>A lightning strike in slow motion</v>
      </c>
    </row>
    <row r="3226" ht="15.75" customHeight="1">
      <c r="A3226" s="3" t="s">
        <v>24</v>
      </c>
      <c r="B3226" s="3" t="s">
        <v>31</v>
      </c>
      <c r="D3226" s="3" t="str">
        <f>IFERROR(__xludf.DUMMYFUNCTION("GOOGLETRANSLATE(A3226, ""nl"", ""en"")"),"Cosmic and Abstract Patterns")</f>
        <v>Cosmic and Abstract Patterns</v>
      </c>
      <c r="E3226" s="3" t="str">
        <f>IFERROR(__xludf.DUMMYFUNCTION("GOOGLETRANSLATE(B3226, ""nl"", ""en"")"),"A planet with unusual rings")</f>
        <v>A planet with unusual rings</v>
      </c>
    </row>
    <row r="3227" ht="15.75" customHeight="1">
      <c r="A3227" s="3" t="s">
        <v>4</v>
      </c>
      <c r="B3227" s="3" t="s">
        <v>55</v>
      </c>
      <c r="D3227" s="3" t="str">
        <f>IFERROR(__xludf.DUMMYFUNCTION("GOOGLETRANSLATE(A3227, ""nl"", ""en"")"),"Architectural and Structural Associations")</f>
        <v>Architectural and Structural Associations</v>
      </c>
      <c r="E3227" s="3" t="str">
        <f>IFERROR(__xludf.DUMMYFUNCTION("GOOGLETRANSLATE(B3227, ""nl"", ""en"")"),"A prism that splits light into colors")</f>
        <v>A prism that splits light into colors</v>
      </c>
    </row>
    <row r="3228" ht="15.75" customHeight="1">
      <c r="A3228" s="3" t="s">
        <v>4</v>
      </c>
      <c r="B3228" s="3" t="s">
        <v>44</v>
      </c>
      <c r="D3228" s="3" t="str">
        <f>IFERROR(__xludf.DUMMYFUNCTION("GOOGLETRANSLATE(A3228, ""nl"", ""en"")"),"Architectural and Structural Associations")</f>
        <v>Architectural and Structural Associations</v>
      </c>
      <c r="E3228" s="3" t="str">
        <f>IFERROR(__xludf.DUMMYFUNCTION("GOOGLETRANSLATE(B3228, ""nl"", ""en"")"),"A structure that pulsates in waves")</f>
        <v>A structure that pulsates in waves</v>
      </c>
    </row>
    <row r="3229" ht="15.75" customHeight="1">
      <c r="A3229" s="3" t="s">
        <v>4</v>
      </c>
      <c r="B3229" s="3" t="s">
        <v>5</v>
      </c>
      <c r="D3229" s="3" t="str">
        <f>IFERROR(__xludf.DUMMYFUNCTION("GOOGLETRANSLATE(A3229, ""nl"", ""en"")"),"Architectural and Structural Associations")</f>
        <v>Architectural and Structural Associations</v>
      </c>
      <c r="E3229" s="3" t="str">
        <f>IFERROR(__xludf.DUMMYFUNCTION("GOOGLETRANSLATE(B3229, ""nl"", ""en"")"),"A cathedral shaped from mist")</f>
        <v>A cathedral shaped from mist</v>
      </c>
    </row>
    <row r="3230" ht="15.75" customHeight="1">
      <c r="A3230" s="3" t="s">
        <v>9</v>
      </c>
      <c r="B3230" s="3" t="s">
        <v>49</v>
      </c>
      <c r="D3230" s="3" t="str">
        <f>IFERROR(__xludf.DUMMYFUNCTION("GOOGLETRANSLATE(A3230, ""nl"", ""en"")"),"Psychological and Emotional Interpretations")</f>
        <v>Psychological and Emotional Interpretations</v>
      </c>
      <c r="E3230" s="3" t="str">
        <f>IFERROR(__xludf.DUMMYFUNCTION("GOOGLETRANSLATE(B3230, ""nl"", ""en"")"),"A spiral that turns inward")</f>
        <v>A spiral that turns inward</v>
      </c>
    </row>
    <row r="3231" ht="15.75" customHeight="1">
      <c r="A3231" s="3" t="s">
        <v>12</v>
      </c>
      <c r="B3231" s="3" t="s">
        <v>30</v>
      </c>
      <c r="D3231" s="3" t="str">
        <f>IFERROR(__xludf.DUMMYFUNCTION("GOOGLETRANSLATE(A3231, ""nl"", ""en"")"),"Nature and Elements")</f>
        <v>Nature and Elements</v>
      </c>
      <c r="E3231" s="3" t="str">
        <f>IFERROR(__xludf.DUMMYFUNCTION("GOOGLETRANSLATE(B3231, ""nl"", ""en"")"),"Waves breaking in fractal patterns")</f>
        <v>Waves breaking in fractal patterns</v>
      </c>
    </row>
    <row r="3232" ht="15.75" customHeight="1">
      <c r="A3232" s="3" t="s">
        <v>24</v>
      </c>
      <c r="B3232" s="3" t="s">
        <v>32</v>
      </c>
      <c r="D3232" s="3" t="str">
        <f>IFERROR(__xludf.DUMMYFUNCTION("GOOGLETRANSLATE(A3232, ""nl"", ""en"")"),"Cosmic and Abstract Patterns")</f>
        <v>Cosmic and Abstract Patterns</v>
      </c>
      <c r="E3232" s="3" t="str">
        <f>IFERROR(__xludf.DUMMYFUNCTION("GOOGLETRANSLATE(B3232, ""nl"", ""en"")"),"A time loop captured in image")</f>
        <v>A time loop captured in image</v>
      </c>
    </row>
    <row r="3233" ht="15.75" customHeight="1">
      <c r="A3233" s="3" t="s">
        <v>7</v>
      </c>
      <c r="B3233" s="3" t="s">
        <v>34</v>
      </c>
      <c r="D3233" s="3" t="str">
        <f>IFERROR(__xludf.DUMMYFUNCTION("GOOGLETRANSLATE(A3233, ""nl"", ""en"")"),"Human Figures and Physicality")</f>
        <v>Human Figures and Physicality</v>
      </c>
      <c r="E3233" s="3" t="str">
        <f>IFERROR(__xludf.DUMMYFUNCTION("GOOGLETRANSLATE(B3233, ""nl"", ""en"")"),"Hands almost touching")</f>
        <v>Hands almost touching</v>
      </c>
    </row>
    <row r="3234" ht="15.75" customHeight="1">
      <c r="A3234" s="3" t="s">
        <v>24</v>
      </c>
      <c r="B3234" s="3" t="s">
        <v>48</v>
      </c>
      <c r="D3234" s="3" t="str">
        <f>IFERROR(__xludf.DUMMYFUNCTION("GOOGLETRANSLATE(A3234, ""nl"", ""en"")"),"Cosmic and Abstract Patterns")</f>
        <v>Cosmic and Abstract Patterns</v>
      </c>
      <c r="E3234" s="3" t="str">
        <f>IFERROR(__xludf.DUMMYFUNCTION("GOOGLETRANSLATE(B3234, ""nl"", ""en"")"),"A fractal that repeats itself")</f>
        <v>A fractal that repeats itself</v>
      </c>
    </row>
    <row r="3235" ht="15.75" customHeight="1">
      <c r="A3235" s="3" t="s">
        <v>4</v>
      </c>
      <c r="B3235" s="3" t="s">
        <v>44</v>
      </c>
      <c r="D3235" s="3" t="str">
        <f>IFERROR(__xludf.DUMMYFUNCTION("GOOGLETRANSLATE(A3235, ""nl"", ""en"")"),"Architectural and Structural Associations")</f>
        <v>Architectural and Structural Associations</v>
      </c>
      <c r="E3235" s="3" t="str">
        <f>IFERROR(__xludf.DUMMYFUNCTION("GOOGLETRANSLATE(B3235, ""nl"", ""en"")"),"A structure that pulsates in waves")</f>
        <v>A structure that pulsates in waves</v>
      </c>
    </row>
    <row r="3236" ht="15.75" customHeight="1">
      <c r="A3236" s="3" t="s">
        <v>7</v>
      </c>
      <c r="B3236" s="3" t="s">
        <v>40</v>
      </c>
      <c r="D3236" s="3" t="str">
        <f>IFERROR(__xludf.DUMMYFUNCTION("GOOGLETRANSLATE(A3236, ""nl"", ""en"")"),"Human Figures and Physicality")</f>
        <v>Human Figures and Physicality</v>
      </c>
      <c r="E3236" s="3" t="str">
        <f>IFERROR(__xludf.DUMMYFUNCTION("GOOGLETRANSLATE(B3236, ""nl"", ""en"")"),"A figure who is withdrawn into himself")</f>
        <v>A figure who is withdrawn into himself</v>
      </c>
    </row>
    <row r="3237" ht="15.75" customHeight="1">
      <c r="A3237" s="3" t="s">
        <v>4</v>
      </c>
      <c r="B3237" s="3" t="s">
        <v>5</v>
      </c>
      <c r="D3237" s="3" t="str">
        <f>IFERROR(__xludf.DUMMYFUNCTION("GOOGLETRANSLATE(A3237, ""nl"", ""en"")"),"Architectural and Structural Associations")</f>
        <v>Architectural and Structural Associations</v>
      </c>
      <c r="E3237" s="3" t="str">
        <f>IFERROR(__xludf.DUMMYFUNCTION("GOOGLETRANSLATE(B3237, ""nl"", ""en"")"),"A cathedral shaped from mist")</f>
        <v>A cathedral shaped from mist</v>
      </c>
    </row>
    <row r="3238" ht="15.75" customHeight="1">
      <c r="A3238" s="3" t="s">
        <v>24</v>
      </c>
      <c r="B3238" s="3" t="s">
        <v>25</v>
      </c>
      <c r="D3238" s="3" t="str">
        <f>IFERROR(__xludf.DUMMYFUNCTION("GOOGLETRANSLATE(A3238, ""nl"", ""en"")"),"Cosmic and Abstract Patterns")</f>
        <v>Cosmic and Abstract Patterns</v>
      </c>
      <c r="E3238" s="3" t="str">
        <f>IFERROR(__xludf.DUMMYFUNCTION("GOOGLETRANSLATE(B3238, ""nl"", ""en"")"),"A meteor shower dissolving into each other")</f>
        <v>A meteor shower dissolving into each other</v>
      </c>
    </row>
    <row r="3239" ht="15.75" customHeight="1">
      <c r="A3239" s="3" t="s">
        <v>15</v>
      </c>
      <c r="B3239" s="3" t="s">
        <v>50</v>
      </c>
      <c r="D3239" s="3" t="str">
        <f>IFERROR(__xludf.DUMMYFUNCTION("GOOGLETRANSLATE(A3239, ""nl"", ""en"")"),"Animals and Organic Forms")</f>
        <v>Animals and Organic Forms</v>
      </c>
      <c r="E3239" s="3" t="str">
        <f>IFERROR(__xludf.DUMMYFUNCTION("GOOGLETRANSLATE(B3239, ""nl"", ""en"")"),"A squid with extended tentacles")</f>
        <v>A squid with extended tentacles</v>
      </c>
    </row>
    <row r="3240" ht="15.75" customHeight="1">
      <c r="A3240" s="3" t="s">
        <v>7</v>
      </c>
      <c r="B3240" s="3" t="s">
        <v>56</v>
      </c>
      <c r="D3240" s="3" t="str">
        <f>IFERROR(__xludf.DUMMYFUNCTION("GOOGLETRANSLATE(A3240, ""nl"", ""en"")"),"Human Figures and Physicality")</f>
        <v>Human Figures and Physicality</v>
      </c>
      <c r="E3240" s="3" t="str">
        <f>IFERROR(__xludf.DUMMYFUNCTION("GOOGLETRANSLATE(B3240, ""nl"", ""en"")"),"A shadow that seems to move")</f>
        <v>A shadow that seems to move</v>
      </c>
    </row>
    <row r="3241" ht="15.75" customHeight="1">
      <c r="A3241" s="3" t="s">
        <v>9</v>
      </c>
      <c r="B3241" s="3" t="s">
        <v>42</v>
      </c>
      <c r="D3241" s="3" t="str">
        <f>IFERROR(__xludf.DUMMYFUNCTION("GOOGLETRANSLATE(A3241, ""nl"", ""en"")"),"Psychological and Emotional Interpretations")</f>
        <v>Psychological and Emotional Interpretations</v>
      </c>
      <c r="E3241" s="3" t="str">
        <f>IFERROR(__xludf.DUMMYFUNCTION("GOOGLETRANSLATE(B3241, ""nl"", ""en"")"),"A mask that slowly disappears")</f>
        <v>A mask that slowly disappears</v>
      </c>
    </row>
    <row r="3242" ht="15.75" customHeight="1">
      <c r="A3242" s="3" t="s">
        <v>15</v>
      </c>
      <c r="B3242" s="3" t="s">
        <v>45</v>
      </c>
      <c r="D3242" s="3" t="str">
        <f>IFERROR(__xludf.DUMMYFUNCTION("GOOGLETRANSLATE(A3242, ""nl"", ""en"")"),"Animals and Organic Forms")</f>
        <v>Animals and Organic Forms</v>
      </c>
      <c r="E3242" s="3" t="str">
        <f>IFERROR(__xludf.DUMMYFUNCTION("GOOGLETRANSLATE(B3242, ""nl"", ""en"")"),"A snake biting its own tail")</f>
        <v>A snake biting its own tail</v>
      </c>
    </row>
    <row r="3243" ht="15.75" customHeight="1">
      <c r="A3243" s="3" t="s">
        <v>4</v>
      </c>
      <c r="B3243" s="3" t="s">
        <v>35</v>
      </c>
      <c r="D3243" s="3" t="str">
        <f>IFERROR(__xludf.DUMMYFUNCTION("GOOGLETRANSLATE(A3243, ""nl"", ""en"")"),"Architectural and Structural Associations")</f>
        <v>Architectural and Structural Associations</v>
      </c>
      <c r="E3243" s="3" t="str">
        <f>IFERROR(__xludf.DUMMYFUNCTION("GOOGLETRANSLATE(B3243, ""nl"", ""en"")"),"A floating building without a base")</f>
        <v>A floating building without a base</v>
      </c>
    </row>
    <row r="3244" ht="15.75" customHeight="1">
      <c r="A3244" s="3" t="s">
        <v>7</v>
      </c>
      <c r="B3244" s="3" t="s">
        <v>41</v>
      </c>
      <c r="D3244" s="3" t="str">
        <f>IFERROR(__xludf.DUMMYFUNCTION("GOOGLETRANSLATE(A3244, ""nl"", ""en"")"),"Human Figures and Physicality")</f>
        <v>Human Figures and Physicality</v>
      </c>
      <c r="E3244" s="3" t="str">
        <f>IFERROR(__xludf.DUMMYFUNCTION("GOOGLETRANSLATE(B3244, ""nl"", ""en"")"),"A face that fades into abstraction")</f>
        <v>A face that fades into abstraction</v>
      </c>
    </row>
    <row r="3245" ht="15.75" customHeight="1">
      <c r="A3245" s="3" t="s">
        <v>9</v>
      </c>
      <c r="B3245" s="3" t="s">
        <v>17</v>
      </c>
      <c r="D3245" s="3" t="str">
        <f>IFERROR(__xludf.DUMMYFUNCTION("GOOGLETRANSLATE(A3245, ""nl"", ""en"")"),"Psychological and Emotional Interpretations")</f>
        <v>Psychological and Emotional Interpretations</v>
      </c>
      <c r="E3245" s="3" t="str">
        <f>IFERROR(__xludf.DUMMYFUNCTION("GOOGLETRANSLATE(B3245, ""nl"", ""en"")"),"A figure that seems to melt")</f>
        <v>A figure that seems to melt</v>
      </c>
    </row>
    <row r="3246" ht="15.75" customHeight="1">
      <c r="A3246" s="3" t="s">
        <v>12</v>
      </c>
      <c r="B3246" s="3" t="s">
        <v>18</v>
      </c>
      <c r="D3246" s="3" t="str">
        <f>IFERROR(__xludf.DUMMYFUNCTION("GOOGLETRANSLATE(A3246, ""nl"", ""en"")"),"Nature and Elements")</f>
        <v>Nature and Elements</v>
      </c>
      <c r="E3246" s="3" t="str">
        <f>IFERROR(__xludf.DUMMYFUNCTION("GOOGLETRANSLATE(B3246, ""nl"", ""en"")"),"A tree with endless branches")</f>
        <v>A tree with endless branches</v>
      </c>
    </row>
    <row r="3247" ht="15.75" customHeight="1">
      <c r="A3247" s="3" t="s">
        <v>7</v>
      </c>
      <c r="B3247" s="3" t="s">
        <v>56</v>
      </c>
      <c r="D3247" s="3" t="str">
        <f>IFERROR(__xludf.DUMMYFUNCTION("GOOGLETRANSLATE(A3247, ""nl"", ""en"")"),"Human Figures and Physicality")</f>
        <v>Human Figures and Physicality</v>
      </c>
      <c r="E3247" s="3" t="str">
        <f>IFERROR(__xludf.DUMMYFUNCTION("GOOGLETRANSLATE(B3247, ""nl"", ""en"")"),"A shadow that seems to move")</f>
        <v>A shadow that seems to move</v>
      </c>
    </row>
    <row r="3248" ht="15.75" customHeight="1">
      <c r="A3248" s="3" t="s">
        <v>9</v>
      </c>
      <c r="B3248" s="3" t="s">
        <v>10</v>
      </c>
      <c r="D3248" s="3" t="str">
        <f>IFERROR(__xludf.DUMMYFUNCTION("GOOGLETRANSLATE(A3248, ""nl"", ""en"")"),"Psychological and Emotional Interpretations")</f>
        <v>Psychological and Emotional Interpretations</v>
      </c>
      <c r="E3248" s="3" t="str">
        <f>IFERROR(__xludf.DUMMYFUNCTION("GOOGLETRANSLATE(B3248, ""nl"", ""en"")"),"A face transforming in light")</f>
        <v>A face transforming in light</v>
      </c>
    </row>
    <row r="3249" ht="15.75" customHeight="1">
      <c r="A3249" s="3" t="s">
        <v>7</v>
      </c>
      <c r="B3249" s="3" t="s">
        <v>34</v>
      </c>
      <c r="D3249" s="3" t="str">
        <f>IFERROR(__xludf.DUMMYFUNCTION("GOOGLETRANSLATE(A3249, ""nl"", ""en"")"),"Human Figures and Physicality")</f>
        <v>Human Figures and Physicality</v>
      </c>
      <c r="E3249" s="3" t="str">
        <f>IFERROR(__xludf.DUMMYFUNCTION("GOOGLETRANSLATE(B3249, ""nl"", ""en"")"),"Hands almost touching")</f>
        <v>Hands almost touching</v>
      </c>
    </row>
    <row r="3250" ht="15.75" customHeight="1">
      <c r="A3250" s="3" t="s">
        <v>12</v>
      </c>
      <c r="B3250" s="3" t="s">
        <v>13</v>
      </c>
      <c r="D3250" s="3" t="str">
        <f>IFERROR(__xludf.DUMMYFUNCTION("GOOGLETRANSLATE(A3250, ""nl"", ""en"")"),"Nature and Elements")</f>
        <v>Nature and Elements</v>
      </c>
      <c r="E3250" s="3" t="str">
        <f>IFERROR(__xludf.DUMMYFUNCTION("GOOGLETRANSLATE(B3250, ""nl"", ""en"")"),"A lightning strike in slow motion")</f>
        <v>A lightning strike in slow motion</v>
      </c>
    </row>
    <row r="3251" ht="15.75" customHeight="1">
      <c r="A3251" s="3" t="s">
        <v>15</v>
      </c>
      <c r="B3251" s="3" t="s">
        <v>22</v>
      </c>
      <c r="D3251" s="3" t="str">
        <f>IFERROR(__xludf.DUMMYFUNCTION("GOOGLETRANSLATE(A3251, ""nl"", ""en"")"),"Animals and Organic Forms")</f>
        <v>Animals and Organic Forms</v>
      </c>
      <c r="E3251" s="3" t="str">
        <f>IFERROR(__xludf.DUMMYFUNCTION("GOOGLETRANSLATE(B3251, ""nl"", ""en"")"),"A bird taking off")</f>
        <v>A bird taking off</v>
      </c>
    </row>
    <row r="3252" ht="15.75" customHeight="1">
      <c r="A3252" s="3" t="s">
        <v>4</v>
      </c>
      <c r="B3252" s="3" t="s">
        <v>21</v>
      </c>
      <c r="D3252" s="3" t="str">
        <f>IFERROR(__xludf.DUMMYFUNCTION("GOOGLETRANSLATE(A3252, ""nl"", ""en"")"),"Architectural and Structural Associations")</f>
        <v>Architectural and Structural Associations</v>
      </c>
      <c r="E3252" s="3" t="str">
        <f>IFERROR(__xludf.DUMMYFUNCTION("GOOGLETRANSLATE(B3252, ""nl"", ""en"")"),"A bridge that leads nowhere")</f>
        <v>A bridge that leads nowhere</v>
      </c>
    </row>
    <row r="3253" ht="15.75" customHeight="1">
      <c r="A3253" s="3" t="s">
        <v>9</v>
      </c>
      <c r="B3253" s="3" t="s">
        <v>11</v>
      </c>
      <c r="D3253" s="3" t="str">
        <f>IFERROR(__xludf.DUMMYFUNCTION("GOOGLETRANSLATE(A3253, ""nl"", ""en"")"),"Psychological and Emotional Interpretations")</f>
        <v>Psychological and Emotional Interpretations</v>
      </c>
      <c r="E3253" s="3" t="str">
        <f>IFERROR(__xludf.DUMMYFUNCTION("GOOGLETRANSLATE(B3253, ""nl"", ""en"")"),"An emotion captured in abstraction")</f>
        <v>An emotion captured in abstraction</v>
      </c>
    </row>
    <row r="3254" ht="15.75" customHeight="1">
      <c r="A3254" s="3" t="s">
        <v>4</v>
      </c>
      <c r="B3254" s="3" t="s">
        <v>55</v>
      </c>
      <c r="D3254" s="3" t="str">
        <f>IFERROR(__xludf.DUMMYFUNCTION("GOOGLETRANSLATE(A3254, ""nl"", ""en"")"),"Architectural and Structural Associations")</f>
        <v>Architectural and Structural Associations</v>
      </c>
      <c r="E3254" s="3" t="str">
        <f>IFERROR(__xludf.DUMMYFUNCTION("GOOGLETRANSLATE(B3254, ""nl"", ""en"")"),"A prism that splits light into colors")</f>
        <v>A prism that splits light into colors</v>
      </c>
    </row>
    <row r="3255" ht="15.75" customHeight="1">
      <c r="A3255" s="3" t="s">
        <v>24</v>
      </c>
      <c r="B3255" s="3" t="s">
        <v>32</v>
      </c>
      <c r="D3255" s="3" t="str">
        <f>IFERROR(__xludf.DUMMYFUNCTION("GOOGLETRANSLATE(A3255, ""nl"", ""en"")"),"Cosmic and Abstract Patterns")</f>
        <v>Cosmic and Abstract Patterns</v>
      </c>
      <c r="E3255" s="3" t="str">
        <f>IFERROR(__xludf.DUMMYFUNCTION("GOOGLETRANSLATE(B3255, ""nl"", ""en"")"),"A time loop captured in image")</f>
        <v>A time loop captured in image</v>
      </c>
    </row>
    <row r="3256" ht="15.75" customHeight="1">
      <c r="A3256" s="3" t="s">
        <v>15</v>
      </c>
      <c r="B3256" s="3" t="s">
        <v>46</v>
      </c>
      <c r="D3256" s="3" t="str">
        <f>IFERROR(__xludf.DUMMYFUNCTION("GOOGLETRANSLATE(A3256, ""nl"", ""en"")"),"Animals and Organic Forms")</f>
        <v>Animals and Organic Forms</v>
      </c>
      <c r="E3256" s="3" t="str">
        <f>IFERROR(__xludf.DUMMYFUNCTION("GOOGLETRANSLATE(B3256, ""nl"", ""en"")"),"A flock of fish moving as one")</f>
        <v>A flock of fish moving as one</v>
      </c>
    </row>
    <row r="3257" ht="15.75" customHeight="1">
      <c r="A3257" s="3" t="s">
        <v>12</v>
      </c>
      <c r="B3257" s="3" t="s">
        <v>47</v>
      </c>
      <c r="D3257" s="3" t="str">
        <f>IFERROR(__xludf.DUMMYFUNCTION("GOOGLETRANSLATE(A3257, ""nl"", ""en"")"),"Nature and Elements")</f>
        <v>Nature and Elements</v>
      </c>
      <c r="E3257" s="3" t="str">
        <f>IFERROR(__xludf.DUMMYFUNCTION("GOOGLETRANSLATE(B3257, ""nl"", ""en"")"),"A desert landscape that slowly changes")</f>
        <v>A desert landscape that slowly changes</v>
      </c>
    </row>
    <row r="3258" ht="15.75" customHeight="1">
      <c r="A3258" s="3" t="s">
        <v>12</v>
      </c>
      <c r="B3258" s="3" t="s">
        <v>19</v>
      </c>
      <c r="D3258" s="3" t="str">
        <f>IFERROR(__xludf.DUMMYFUNCTION("GOOGLETRANSLATE(A3258, ""nl"", ""en"")"),"Nature and Elements")</f>
        <v>Nature and Elements</v>
      </c>
      <c r="E3258" s="3" t="str">
        <f>IFERROR(__xludf.DUMMYFUNCTION("GOOGLETRANSLATE(B3258, ""nl"", ""en"")"),"A mountain range that seems to breathe")</f>
        <v>A mountain range that seems to breathe</v>
      </c>
    </row>
    <row r="3259" ht="15.75" customHeight="1">
      <c r="A3259" s="3" t="s">
        <v>24</v>
      </c>
      <c r="B3259" s="3" t="s">
        <v>48</v>
      </c>
      <c r="D3259" s="3" t="str">
        <f>IFERROR(__xludf.DUMMYFUNCTION("GOOGLETRANSLATE(A3259, ""nl"", ""en"")"),"Cosmic and Abstract Patterns")</f>
        <v>Cosmic and Abstract Patterns</v>
      </c>
      <c r="E3259" s="3" t="str">
        <f>IFERROR(__xludf.DUMMYFUNCTION("GOOGLETRANSLATE(B3259, ""nl"", ""en"")"),"A fractal that repeats itself")</f>
        <v>A fractal that repeats itself</v>
      </c>
    </row>
    <row r="3260" ht="15.75" customHeight="1">
      <c r="A3260" s="3" t="s">
        <v>4</v>
      </c>
      <c r="B3260" s="3" t="s">
        <v>35</v>
      </c>
      <c r="D3260" s="3" t="str">
        <f>IFERROR(__xludf.DUMMYFUNCTION("GOOGLETRANSLATE(A3260, ""nl"", ""en"")"),"Architectural and Structural Associations")</f>
        <v>Architectural and Structural Associations</v>
      </c>
      <c r="E3260" s="3" t="str">
        <f>IFERROR(__xludf.DUMMYFUNCTION("GOOGLETRANSLATE(B3260, ""nl"", ""en"")"),"A floating building without a base")</f>
        <v>A floating building without a base</v>
      </c>
    </row>
    <row r="3261" ht="15.75" customHeight="1">
      <c r="A3261" s="3" t="s">
        <v>15</v>
      </c>
      <c r="B3261" s="3" t="s">
        <v>46</v>
      </c>
      <c r="D3261" s="3" t="str">
        <f>IFERROR(__xludf.DUMMYFUNCTION("GOOGLETRANSLATE(A3261, ""nl"", ""en"")"),"Animals and Organic Forms")</f>
        <v>Animals and Organic Forms</v>
      </c>
      <c r="E3261" s="3" t="str">
        <f>IFERROR(__xludf.DUMMYFUNCTION("GOOGLETRANSLATE(B3261, ""nl"", ""en"")"),"A flock of fish moving as one")</f>
        <v>A flock of fish moving as one</v>
      </c>
    </row>
    <row r="3262" ht="15.75" customHeight="1">
      <c r="A3262" s="3" t="s">
        <v>9</v>
      </c>
      <c r="B3262" s="3" t="s">
        <v>37</v>
      </c>
      <c r="D3262" s="3" t="str">
        <f>IFERROR(__xludf.DUMMYFUNCTION("GOOGLETRANSLATE(A3262, ""nl"", ""en"")"),"Psychological and Emotional Interpretations")</f>
        <v>Psychological and Emotional Interpretations</v>
      </c>
      <c r="E3262" s="3" t="str">
        <f>IFERROR(__xludf.DUMMYFUNCTION("GOOGLETRANSLATE(B3262, ""nl"", ""en"")"),"A figure looking through itself")</f>
        <v>A figure looking through itself</v>
      </c>
    </row>
    <row r="3263" ht="15.75" customHeight="1">
      <c r="A3263" s="3" t="s">
        <v>24</v>
      </c>
      <c r="B3263" s="3" t="s">
        <v>48</v>
      </c>
      <c r="D3263" s="3" t="str">
        <f>IFERROR(__xludf.DUMMYFUNCTION("GOOGLETRANSLATE(A3263, ""nl"", ""en"")"),"Cosmic and Abstract Patterns")</f>
        <v>Cosmic and Abstract Patterns</v>
      </c>
      <c r="E3263" s="3" t="str">
        <f>IFERROR(__xludf.DUMMYFUNCTION("GOOGLETRANSLATE(B3263, ""nl"", ""en"")"),"A fractal that repeats itself")</f>
        <v>A fractal that repeats itself</v>
      </c>
    </row>
    <row r="3264" ht="15.75" customHeight="1">
      <c r="A3264" s="3" t="s">
        <v>4</v>
      </c>
      <c r="B3264" s="3" t="s">
        <v>44</v>
      </c>
      <c r="D3264" s="3" t="str">
        <f>IFERROR(__xludf.DUMMYFUNCTION("GOOGLETRANSLATE(A3264, ""nl"", ""en"")"),"Architectural and Structural Associations")</f>
        <v>Architectural and Structural Associations</v>
      </c>
      <c r="E3264" s="3" t="str">
        <f>IFERROR(__xludf.DUMMYFUNCTION("GOOGLETRANSLATE(B3264, ""nl"", ""en"")"),"A structure that pulsates in waves")</f>
        <v>A structure that pulsates in waves</v>
      </c>
    </row>
    <row r="3265" ht="15.75" customHeight="1">
      <c r="A3265" s="3" t="s">
        <v>4</v>
      </c>
      <c r="B3265" s="3" t="s">
        <v>44</v>
      </c>
      <c r="D3265" s="3" t="str">
        <f>IFERROR(__xludf.DUMMYFUNCTION("GOOGLETRANSLATE(A3265, ""nl"", ""en"")"),"Architectural and Structural Associations")</f>
        <v>Architectural and Structural Associations</v>
      </c>
      <c r="E3265" s="3" t="str">
        <f>IFERROR(__xludf.DUMMYFUNCTION("GOOGLETRANSLATE(B3265, ""nl"", ""en"")"),"A structure that pulsates in waves")</f>
        <v>A structure that pulsates in waves</v>
      </c>
    </row>
    <row r="3266" ht="15.75" customHeight="1">
      <c r="A3266" s="3" t="s">
        <v>12</v>
      </c>
      <c r="B3266" s="3" t="s">
        <v>47</v>
      </c>
      <c r="D3266" s="3" t="str">
        <f>IFERROR(__xludf.DUMMYFUNCTION("GOOGLETRANSLATE(A3266, ""nl"", ""en"")"),"Nature and Elements")</f>
        <v>Nature and Elements</v>
      </c>
      <c r="E3266" s="3" t="str">
        <f>IFERROR(__xludf.DUMMYFUNCTION("GOOGLETRANSLATE(B3266, ""nl"", ""en"")"),"A desert landscape that slowly changes")</f>
        <v>A desert landscape that slowly changes</v>
      </c>
    </row>
    <row r="3267" ht="15.75" customHeight="1">
      <c r="A3267" s="3" t="s">
        <v>24</v>
      </c>
      <c r="B3267" s="3" t="s">
        <v>25</v>
      </c>
      <c r="D3267" s="3" t="str">
        <f>IFERROR(__xludf.DUMMYFUNCTION("GOOGLETRANSLATE(A3267, ""nl"", ""en"")"),"Cosmic and Abstract Patterns")</f>
        <v>Cosmic and Abstract Patterns</v>
      </c>
      <c r="E3267" s="3" t="str">
        <f>IFERROR(__xludf.DUMMYFUNCTION("GOOGLETRANSLATE(B3267, ""nl"", ""en"")"),"A meteor shower dissolving into each other")</f>
        <v>A meteor shower dissolving into each other</v>
      </c>
    </row>
    <row r="3268" ht="15.75" customHeight="1">
      <c r="A3268" s="3" t="s">
        <v>24</v>
      </c>
      <c r="B3268" s="3" t="s">
        <v>27</v>
      </c>
      <c r="D3268" s="3" t="str">
        <f>IFERROR(__xludf.DUMMYFUNCTION("GOOGLETRANSLATE(A3268, ""nl"", ""en"")"),"Cosmic and Abstract Patterns")</f>
        <v>Cosmic and Abstract Patterns</v>
      </c>
      <c r="E3268" s="3" t="str">
        <f>IFERROR(__xludf.DUMMYFUNCTION("GOOGLETRANSLATE(B3268, ""nl"", ""en"")"),"A pair of black holes in dance")</f>
        <v>A pair of black holes in dance</v>
      </c>
    </row>
    <row r="3269" ht="15.75" customHeight="1">
      <c r="A3269" s="3" t="s">
        <v>15</v>
      </c>
      <c r="B3269" s="3" t="s">
        <v>38</v>
      </c>
      <c r="D3269" s="3" t="str">
        <f>IFERROR(__xludf.DUMMYFUNCTION("GOOGLETRANSLATE(A3269, ""nl"", ""en"")"),"Animals and Organic Forms")</f>
        <v>Animals and Organic Forms</v>
      </c>
      <c r="E3269" s="3" t="str">
        <f>IFERROR(__xludf.DUMMYFUNCTION("GOOGLETRANSLATE(B3269, ""nl"", ""en"")"),"A lion with an open mouth")</f>
        <v>A lion with an open mouth</v>
      </c>
    </row>
    <row r="3270" ht="15.75" customHeight="1">
      <c r="A3270" s="3" t="s">
        <v>4</v>
      </c>
      <c r="B3270" s="3" t="s">
        <v>55</v>
      </c>
      <c r="D3270" s="3" t="str">
        <f>IFERROR(__xludf.DUMMYFUNCTION("GOOGLETRANSLATE(A3270, ""nl"", ""en"")"),"Architectural and Structural Associations")</f>
        <v>Architectural and Structural Associations</v>
      </c>
      <c r="E3270" s="3" t="str">
        <f>IFERROR(__xludf.DUMMYFUNCTION("GOOGLETRANSLATE(B3270, ""nl"", ""en"")"),"A prism that splits light into colors")</f>
        <v>A prism that splits light into colors</v>
      </c>
    </row>
    <row r="3271" ht="15.75" customHeight="1">
      <c r="A3271" s="3" t="s">
        <v>9</v>
      </c>
      <c r="B3271" s="3" t="s">
        <v>11</v>
      </c>
      <c r="D3271" s="3" t="str">
        <f>IFERROR(__xludf.DUMMYFUNCTION("GOOGLETRANSLATE(A3271, ""nl"", ""en"")"),"Psychological and Emotional Interpretations")</f>
        <v>Psychological and Emotional Interpretations</v>
      </c>
      <c r="E3271" s="3" t="str">
        <f>IFERROR(__xludf.DUMMYFUNCTION("GOOGLETRANSLATE(B3271, ""nl"", ""en"")"),"An emotion captured in abstraction")</f>
        <v>An emotion captured in abstraction</v>
      </c>
    </row>
    <row r="3272" ht="15.75" customHeight="1">
      <c r="A3272" s="3" t="s">
        <v>24</v>
      </c>
      <c r="B3272" s="3" t="s">
        <v>27</v>
      </c>
      <c r="D3272" s="3" t="str">
        <f>IFERROR(__xludf.DUMMYFUNCTION("GOOGLETRANSLATE(A3272, ""nl"", ""en"")"),"Cosmic and Abstract Patterns")</f>
        <v>Cosmic and Abstract Patterns</v>
      </c>
      <c r="E3272" s="3" t="str">
        <f>IFERROR(__xludf.DUMMYFUNCTION("GOOGLETRANSLATE(B3272, ""nl"", ""en"")"),"A pair of black holes in dance")</f>
        <v>A pair of black holes in dance</v>
      </c>
    </row>
    <row r="3273" ht="15.75" customHeight="1">
      <c r="A3273" s="3" t="s">
        <v>12</v>
      </c>
      <c r="B3273" s="3" t="s">
        <v>18</v>
      </c>
      <c r="D3273" s="3" t="str">
        <f>IFERROR(__xludf.DUMMYFUNCTION("GOOGLETRANSLATE(A3273, ""nl"", ""en"")"),"Nature and Elements")</f>
        <v>Nature and Elements</v>
      </c>
      <c r="E3273" s="3" t="str">
        <f>IFERROR(__xludf.DUMMYFUNCTION("GOOGLETRANSLATE(B3273, ""nl"", ""en"")"),"A tree with endless branches")</f>
        <v>A tree with endless branches</v>
      </c>
    </row>
    <row r="3274" ht="15.75" customHeight="1">
      <c r="A3274" s="3" t="s">
        <v>15</v>
      </c>
      <c r="B3274" s="3" t="s">
        <v>50</v>
      </c>
      <c r="D3274" s="3" t="str">
        <f>IFERROR(__xludf.DUMMYFUNCTION("GOOGLETRANSLATE(A3274, ""nl"", ""en"")"),"Animals and Organic Forms")</f>
        <v>Animals and Organic Forms</v>
      </c>
      <c r="E3274" s="3" t="str">
        <f>IFERROR(__xludf.DUMMYFUNCTION("GOOGLETRANSLATE(B3274, ""nl"", ""en"")"),"A squid with extended tentacles")</f>
        <v>A squid with extended tentacles</v>
      </c>
    </row>
    <row r="3275" ht="15.75" customHeight="1">
      <c r="A3275" s="3" t="s">
        <v>4</v>
      </c>
      <c r="B3275" s="3" t="s">
        <v>44</v>
      </c>
      <c r="D3275" s="3" t="str">
        <f>IFERROR(__xludf.DUMMYFUNCTION("GOOGLETRANSLATE(A3275, ""nl"", ""en"")"),"Architectural and Structural Associations")</f>
        <v>Architectural and Structural Associations</v>
      </c>
      <c r="E3275" s="3" t="str">
        <f>IFERROR(__xludf.DUMMYFUNCTION("GOOGLETRANSLATE(B3275, ""nl"", ""en"")"),"A structure that pulsates in waves")</f>
        <v>A structure that pulsates in waves</v>
      </c>
    </row>
    <row r="3276" ht="15.75" customHeight="1">
      <c r="A3276" s="3" t="s">
        <v>24</v>
      </c>
      <c r="B3276" s="3" t="s">
        <v>29</v>
      </c>
      <c r="D3276" s="3" t="str">
        <f>IFERROR(__xludf.DUMMYFUNCTION("GOOGLETRANSLATE(A3276, ""nl"", ""en"")"),"Cosmic and Abstract Patterns")</f>
        <v>Cosmic and Abstract Patterns</v>
      </c>
      <c r="E3276" s="3" t="str">
        <f>IFERROR(__xludf.DUMMYFUNCTION("GOOGLETRANSLATE(B3276, ""nl"", ""en"")"),"A galaxy unfolding")</f>
        <v>A galaxy unfolding</v>
      </c>
    </row>
    <row r="3277" ht="15.75" customHeight="1">
      <c r="A3277" s="3" t="s">
        <v>7</v>
      </c>
      <c r="B3277" s="3" t="s">
        <v>41</v>
      </c>
      <c r="D3277" s="3" t="str">
        <f>IFERROR(__xludf.DUMMYFUNCTION("GOOGLETRANSLATE(A3277, ""nl"", ""en"")"),"Human Figures and Physicality")</f>
        <v>Human Figures and Physicality</v>
      </c>
      <c r="E3277" s="3" t="str">
        <f>IFERROR(__xludf.DUMMYFUNCTION("GOOGLETRANSLATE(B3277, ""nl"", ""en"")"),"A face that fades into abstraction")</f>
        <v>A face that fades into abstraction</v>
      </c>
    </row>
    <row r="3278" ht="15.75" customHeight="1">
      <c r="A3278" s="3" t="s">
        <v>9</v>
      </c>
      <c r="B3278" s="3" t="s">
        <v>14</v>
      </c>
      <c r="D3278" s="3" t="str">
        <f>IFERROR(__xludf.DUMMYFUNCTION("GOOGLETRANSLATE(A3278, ""nl"", ""en"")"),"Psychological and Emotional Interpretations")</f>
        <v>Psychological and Emotional Interpretations</v>
      </c>
      <c r="E3278" s="3" t="str">
        <f>IFERROR(__xludf.DUMMYFUNCTION("GOOGLETRANSLATE(B3278, ""nl"", ""en"")"),"An unclear hug")</f>
        <v>An unclear hug</v>
      </c>
    </row>
    <row r="3279" ht="15.75" customHeight="1">
      <c r="A3279" s="3" t="s">
        <v>9</v>
      </c>
      <c r="B3279" s="3" t="s">
        <v>42</v>
      </c>
      <c r="D3279" s="3" t="str">
        <f>IFERROR(__xludf.DUMMYFUNCTION("GOOGLETRANSLATE(A3279, ""nl"", ""en"")"),"Psychological and Emotional Interpretations")</f>
        <v>Psychological and Emotional Interpretations</v>
      </c>
      <c r="E3279" s="3" t="str">
        <f>IFERROR(__xludf.DUMMYFUNCTION("GOOGLETRANSLATE(B3279, ""nl"", ""en"")"),"A mask that slowly disappears")</f>
        <v>A mask that slowly disappears</v>
      </c>
    </row>
    <row r="3280" ht="15.75" customHeight="1">
      <c r="A3280" s="3" t="s">
        <v>24</v>
      </c>
      <c r="B3280" s="3" t="s">
        <v>27</v>
      </c>
      <c r="D3280" s="3" t="str">
        <f>IFERROR(__xludf.DUMMYFUNCTION("GOOGLETRANSLATE(A3280, ""nl"", ""en"")"),"Cosmic and Abstract Patterns")</f>
        <v>Cosmic and Abstract Patterns</v>
      </c>
      <c r="E3280" s="3" t="str">
        <f>IFERROR(__xludf.DUMMYFUNCTION("GOOGLETRANSLATE(B3280, ""nl"", ""en"")"),"A pair of black holes in dance")</f>
        <v>A pair of black holes in dance</v>
      </c>
    </row>
    <row r="3281" ht="15.75" customHeight="1">
      <c r="A3281" s="3" t="s">
        <v>24</v>
      </c>
      <c r="B3281" s="3" t="s">
        <v>33</v>
      </c>
      <c r="D3281" s="3" t="str">
        <f>IFERROR(__xludf.DUMMYFUNCTION("GOOGLETRANSLATE(A3281, ""nl"", ""en"")"),"Cosmic and Abstract Patterns")</f>
        <v>Cosmic and Abstract Patterns</v>
      </c>
      <c r="E3281" s="3" t="str">
        <f>IFERROR(__xludf.DUMMYFUNCTION("GOOGLETRANSLATE(B3281, ""nl"", ""en"")"),"An eye that repeats itself in endless patterns")</f>
        <v>An eye that repeats itself in endless patterns</v>
      </c>
    </row>
    <row r="3282" ht="15.75" customHeight="1">
      <c r="A3282" s="3" t="s">
        <v>12</v>
      </c>
      <c r="B3282" s="3" t="s">
        <v>13</v>
      </c>
      <c r="D3282" s="3" t="str">
        <f>IFERROR(__xludf.DUMMYFUNCTION("GOOGLETRANSLATE(A3282, ""nl"", ""en"")"),"Nature and Elements")</f>
        <v>Nature and Elements</v>
      </c>
      <c r="E3282" s="3" t="str">
        <f>IFERROR(__xludf.DUMMYFUNCTION("GOOGLETRANSLATE(B3282, ""nl"", ""en"")"),"A lightning strike in slow motion")</f>
        <v>A lightning strike in slow motion</v>
      </c>
    </row>
    <row r="3283" ht="15.75" customHeight="1">
      <c r="A3283" s="3" t="s">
        <v>15</v>
      </c>
      <c r="B3283" s="3" t="s">
        <v>45</v>
      </c>
      <c r="D3283" s="3" t="str">
        <f>IFERROR(__xludf.DUMMYFUNCTION("GOOGLETRANSLATE(A3283, ""nl"", ""en"")"),"Animals and Organic Forms")</f>
        <v>Animals and Organic Forms</v>
      </c>
      <c r="E3283" s="3" t="str">
        <f>IFERROR(__xludf.DUMMYFUNCTION("GOOGLETRANSLATE(B3283, ""nl"", ""en"")"),"A snake biting its own tail")</f>
        <v>A snake biting its own tail</v>
      </c>
    </row>
    <row r="3284" ht="15.75" customHeight="1">
      <c r="A3284" s="3" t="s">
        <v>9</v>
      </c>
      <c r="B3284" s="3" t="s">
        <v>37</v>
      </c>
      <c r="D3284" s="3" t="str">
        <f>IFERROR(__xludf.DUMMYFUNCTION("GOOGLETRANSLATE(A3284, ""nl"", ""en"")"),"Psychological and Emotional Interpretations")</f>
        <v>Psychological and Emotional Interpretations</v>
      </c>
      <c r="E3284" s="3" t="str">
        <f>IFERROR(__xludf.DUMMYFUNCTION("GOOGLETRANSLATE(B3284, ""nl"", ""en"")"),"A figure looking through itself")</f>
        <v>A figure looking through itself</v>
      </c>
    </row>
    <row r="3285" ht="15.75" customHeight="1">
      <c r="A3285" s="3" t="s">
        <v>4</v>
      </c>
      <c r="B3285" s="3" t="s">
        <v>20</v>
      </c>
      <c r="D3285" s="3" t="str">
        <f>IFERROR(__xludf.DUMMYFUNCTION("GOOGLETRANSLATE(A3285, ""nl"", ""en"")"),"Architectural and Structural Associations")</f>
        <v>Architectural and Structural Associations</v>
      </c>
      <c r="E3285" s="3" t="str">
        <f>IFERROR(__xludf.DUMMYFUNCTION("GOOGLETRANSLATE(B3285, ""nl"", ""en"")"),"A tower that grows by itself")</f>
        <v>A tower that grows by itself</v>
      </c>
    </row>
    <row r="3286" ht="15.75" customHeight="1">
      <c r="A3286" s="3" t="s">
        <v>15</v>
      </c>
      <c r="B3286" s="3" t="s">
        <v>38</v>
      </c>
      <c r="D3286" s="3" t="str">
        <f>IFERROR(__xludf.DUMMYFUNCTION("GOOGLETRANSLATE(A3286, ""nl"", ""en"")"),"Animals and Organic Forms")</f>
        <v>Animals and Organic Forms</v>
      </c>
      <c r="E3286" s="3" t="str">
        <f>IFERROR(__xludf.DUMMYFUNCTION("GOOGLETRANSLATE(B3286, ""nl"", ""en"")"),"A lion with an open mouth")</f>
        <v>A lion with an open mouth</v>
      </c>
    </row>
    <row r="3287" ht="15.75" customHeight="1">
      <c r="A3287" s="3" t="s">
        <v>9</v>
      </c>
      <c r="B3287" s="3" t="s">
        <v>11</v>
      </c>
      <c r="D3287" s="3" t="str">
        <f>IFERROR(__xludf.DUMMYFUNCTION("GOOGLETRANSLATE(A3287, ""nl"", ""en"")"),"Psychological and Emotional Interpretations")</f>
        <v>Psychological and Emotional Interpretations</v>
      </c>
      <c r="E3287" s="3" t="str">
        <f>IFERROR(__xludf.DUMMYFUNCTION("GOOGLETRANSLATE(B3287, ""nl"", ""en"")"),"An emotion captured in abstraction")</f>
        <v>An emotion captured in abstraction</v>
      </c>
    </row>
    <row r="3288" ht="15.75" customHeight="1">
      <c r="A3288" s="3" t="s">
        <v>9</v>
      </c>
      <c r="B3288" s="3" t="s">
        <v>37</v>
      </c>
      <c r="D3288" s="3" t="str">
        <f>IFERROR(__xludf.DUMMYFUNCTION("GOOGLETRANSLATE(A3288, ""nl"", ""en"")"),"Psychological and Emotional Interpretations")</f>
        <v>Psychological and Emotional Interpretations</v>
      </c>
      <c r="E3288" s="3" t="str">
        <f>IFERROR(__xludf.DUMMYFUNCTION("GOOGLETRANSLATE(B3288, ""nl"", ""en"")"),"A figure looking through itself")</f>
        <v>A figure looking through itself</v>
      </c>
    </row>
    <row r="3289" ht="15.75" customHeight="1">
      <c r="A3289" s="3" t="s">
        <v>15</v>
      </c>
      <c r="B3289" s="3" t="s">
        <v>52</v>
      </c>
      <c r="D3289" s="3" t="str">
        <f>IFERROR(__xludf.DUMMYFUNCTION("GOOGLETRANSLATE(A3289, ""nl"", ""en"")"),"Animals and Organic Forms")</f>
        <v>Animals and Organic Forms</v>
      </c>
      <c r="E3289" s="3" t="str">
        <f>IFERROR(__xludf.DUMMYFUNCTION("GOOGLETRANSLATE(B3289, ""nl"", ""en"")"),"A mask made of leaves")</f>
        <v>A mask made of leaves</v>
      </c>
    </row>
    <row r="3290" ht="15.75" customHeight="1">
      <c r="A3290" s="3" t="s">
        <v>15</v>
      </c>
      <c r="B3290" s="3" t="s">
        <v>16</v>
      </c>
      <c r="D3290" s="3" t="str">
        <f>IFERROR(__xludf.DUMMYFUNCTION("GOOGLETRANSLATE(A3290, ""nl"", ""en"")"),"Animals and Organic Forms")</f>
        <v>Animals and Organic Forms</v>
      </c>
      <c r="E3290" s="3" t="str">
        <f>IFERROR(__xludf.DUMMYFUNCTION("GOOGLETRANSLATE(B3290, ""nl"", ""en"")"),"A butterfly in transformation")</f>
        <v>A butterfly in transformation</v>
      </c>
    </row>
    <row r="3291" ht="15.75" customHeight="1">
      <c r="A3291" s="3" t="s">
        <v>9</v>
      </c>
      <c r="B3291" s="3" t="s">
        <v>14</v>
      </c>
      <c r="D3291" s="3" t="str">
        <f>IFERROR(__xludf.DUMMYFUNCTION("GOOGLETRANSLATE(A3291, ""nl"", ""en"")"),"Psychological and Emotional Interpretations")</f>
        <v>Psychological and Emotional Interpretations</v>
      </c>
      <c r="E3291" s="3" t="str">
        <f>IFERROR(__xludf.DUMMYFUNCTION("GOOGLETRANSLATE(B3291, ""nl"", ""en"")"),"An unclear hug")</f>
        <v>An unclear hug</v>
      </c>
    </row>
    <row r="3292" ht="15.75" customHeight="1">
      <c r="A3292" s="3" t="s">
        <v>15</v>
      </c>
      <c r="B3292" s="3" t="s">
        <v>26</v>
      </c>
      <c r="D3292" s="3" t="str">
        <f>IFERROR(__xludf.DUMMYFUNCTION("GOOGLETRANSLATE(A3292, ""nl"", ""en"")"),"Animals and Organic Forms")</f>
        <v>Animals and Organic Forms</v>
      </c>
      <c r="E3292" s="3" t="str">
        <f>IFERROR(__xludf.DUMMYFUNCTION("GOOGLETRANSLATE(B3292, ""nl"", ""en"")"),"A frog preparing to jump")</f>
        <v>A frog preparing to jump</v>
      </c>
    </row>
    <row r="3293" ht="15.75" customHeight="1">
      <c r="A3293" s="3" t="s">
        <v>4</v>
      </c>
      <c r="B3293" s="3" t="s">
        <v>35</v>
      </c>
      <c r="D3293" s="3" t="str">
        <f>IFERROR(__xludf.DUMMYFUNCTION("GOOGLETRANSLATE(A3293, ""nl"", ""en"")"),"Architectural and Structural Associations")</f>
        <v>Architectural and Structural Associations</v>
      </c>
      <c r="E3293" s="3" t="str">
        <f>IFERROR(__xludf.DUMMYFUNCTION("GOOGLETRANSLATE(B3293, ""nl"", ""en"")"),"A floating building without a base")</f>
        <v>A floating building without a base</v>
      </c>
    </row>
    <row r="3294" ht="15.75" customHeight="1">
      <c r="A3294" s="3" t="s">
        <v>9</v>
      </c>
      <c r="B3294" s="3" t="s">
        <v>10</v>
      </c>
      <c r="D3294" s="3" t="str">
        <f>IFERROR(__xludf.DUMMYFUNCTION("GOOGLETRANSLATE(A3294, ""nl"", ""en"")"),"Psychological and Emotional Interpretations")</f>
        <v>Psychological and Emotional Interpretations</v>
      </c>
      <c r="E3294" s="3" t="str">
        <f>IFERROR(__xludf.DUMMYFUNCTION("GOOGLETRANSLATE(B3294, ""nl"", ""en"")"),"A face transforming in light")</f>
        <v>A face transforming in light</v>
      </c>
    </row>
    <row r="3295" ht="15.75" customHeight="1">
      <c r="A3295" s="3" t="s">
        <v>4</v>
      </c>
      <c r="B3295" s="3" t="s">
        <v>5</v>
      </c>
      <c r="D3295" s="3" t="str">
        <f>IFERROR(__xludf.DUMMYFUNCTION("GOOGLETRANSLATE(A3295, ""nl"", ""en"")"),"Architectural and Structural Associations")</f>
        <v>Architectural and Structural Associations</v>
      </c>
      <c r="E3295" s="3" t="str">
        <f>IFERROR(__xludf.DUMMYFUNCTION("GOOGLETRANSLATE(B3295, ""nl"", ""en"")"),"A cathedral shaped from mist")</f>
        <v>A cathedral shaped from mist</v>
      </c>
    </row>
    <row r="3296" ht="15.75" customHeight="1">
      <c r="A3296" s="3" t="s">
        <v>12</v>
      </c>
      <c r="B3296" s="3" t="s">
        <v>19</v>
      </c>
      <c r="D3296" s="3" t="str">
        <f>IFERROR(__xludf.DUMMYFUNCTION("GOOGLETRANSLATE(A3296, ""nl"", ""en"")"),"Nature and Elements")</f>
        <v>Nature and Elements</v>
      </c>
      <c r="E3296" s="3" t="str">
        <f>IFERROR(__xludf.DUMMYFUNCTION("GOOGLETRANSLATE(B3296, ""nl"", ""en"")"),"A mountain range that seems to breathe")</f>
        <v>A mountain range that seems to breathe</v>
      </c>
    </row>
    <row r="3297" ht="15.75" customHeight="1">
      <c r="A3297" s="3" t="s">
        <v>15</v>
      </c>
      <c r="B3297" s="3" t="s">
        <v>50</v>
      </c>
      <c r="D3297" s="3" t="str">
        <f>IFERROR(__xludf.DUMMYFUNCTION("GOOGLETRANSLATE(A3297, ""nl"", ""en"")"),"Animals and Organic Forms")</f>
        <v>Animals and Organic Forms</v>
      </c>
      <c r="E3297" s="3" t="str">
        <f>IFERROR(__xludf.DUMMYFUNCTION("GOOGLETRANSLATE(B3297, ""nl"", ""en"")"),"A squid with extended tentacles")</f>
        <v>A squid with extended tentacles</v>
      </c>
    </row>
    <row r="3298" ht="15.75" customHeight="1">
      <c r="A3298" s="3" t="s">
        <v>9</v>
      </c>
      <c r="B3298" s="3" t="s">
        <v>57</v>
      </c>
      <c r="D3298" s="3" t="str">
        <f>IFERROR(__xludf.DUMMYFUNCTION("GOOGLETRANSLATE(A3298, ""nl"", ""en"")"),"Psychological and Emotional Interpretations")</f>
        <v>Psychological and Emotional Interpretations</v>
      </c>
      <c r="E3298" s="3" t="str">
        <f>IFERROR(__xludf.DUMMYFUNCTION("GOOGLETRANSLATE(B3298, ""nl"", ""en"")"),"An explosion of colours and feelings")</f>
        <v>An explosion of colours and feelings</v>
      </c>
    </row>
    <row r="3299" ht="15.75" customHeight="1">
      <c r="A3299" s="3" t="s">
        <v>9</v>
      </c>
      <c r="B3299" s="3" t="s">
        <v>49</v>
      </c>
      <c r="D3299" s="3" t="str">
        <f>IFERROR(__xludf.DUMMYFUNCTION("GOOGLETRANSLATE(A3299, ""nl"", ""en"")"),"Psychological and Emotional Interpretations")</f>
        <v>Psychological and Emotional Interpretations</v>
      </c>
      <c r="E3299" s="3" t="str">
        <f>IFERROR(__xludf.DUMMYFUNCTION("GOOGLETRANSLATE(B3299, ""nl"", ""en"")"),"A spiral that turns inward")</f>
        <v>A spiral that turns inward</v>
      </c>
    </row>
    <row r="3300" ht="15.75" customHeight="1">
      <c r="A3300" s="3" t="s">
        <v>7</v>
      </c>
      <c r="B3300" s="3" t="s">
        <v>28</v>
      </c>
      <c r="D3300" s="3" t="str">
        <f>IFERROR(__xludf.DUMMYFUNCTION("GOOGLETRANSLATE(A3300, ""nl"", ""en"")"),"Human Figures and Physicality")</f>
        <v>Human Figures and Physicality</v>
      </c>
      <c r="E3300" s="3" t="str">
        <f>IFERROR(__xludf.DUMMYFUNCTION("GOOGLETRANSLATE(B3300, ""nl"", ""en"")"),"A dancing silhouette")</f>
        <v>A dancing silhouette</v>
      </c>
    </row>
    <row r="3301" ht="15.75" customHeight="1">
      <c r="A3301" s="3" t="s">
        <v>24</v>
      </c>
      <c r="B3301" s="3" t="s">
        <v>31</v>
      </c>
      <c r="D3301" s="3" t="str">
        <f>IFERROR(__xludf.DUMMYFUNCTION("GOOGLETRANSLATE(A3301, ""nl"", ""en"")"),"Cosmic and Abstract Patterns")</f>
        <v>Cosmic and Abstract Patterns</v>
      </c>
      <c r="E3301" s="3" t="str">
        <f>IFERROR(__xludf.DUMMYFUNCTION("GOOGLETRANSLATE(B3301, ""nl"", ""en"")"),"A planet with unusual rings")</f>
        <v>A planet with unusual rings</v>
      </c>
    </row>
    <row r="3302" ht="15.75" customHeight="1">
      <c r="A3302" s="3" t="s">
        <v>24</v>
      </c>
      <c r="B3302" s="3" t="s">
        <v>25</v>
      </c>
      <c r="D3302" s="3" t="str">
        <f>IFERROR(__xludf.DUMMYFUNCTION("GOOGLETRANSLATE(A3302, ""nl"", ""en"")"),"Cosmic and Abstract Patterns")</f>
        <v>Cosmic and Abstract Patterns</v>
      </c>
      <c r="E3302" s="3" t="str">
        <f>IFERROR(__xludf.DUMMYFUNCTION("GOOGLETRANSLATE(B3302, ""nl"", ""en"")"),"A meteor shower dissolving into each other")</f>
        <v>A meteor shower dissolving into each other</v>
      </c>
    </row>
    <row r="3303" ht="15.75" customHeight="1">
      <c r="A3303" s="3" t="s">
        <v>4</v>
      </c>
      <c r="B3303" s="3" t="s">
        <v>6</v>
      </c>
      <c r="D3303" s="3" t="str">
        <f>IFERROR(__xludf.DUMMYFUNCTION("GOOGLETRANSLATE(A3303, ""nl"", ""en"")"),"Architectural and Structural Associations")</f>
        <v>Architectural and Structural Associations</v>
      </c>
      <c r="E3303" s="3" t="str">
        <f>IFERROR(__xludf.DUMMYFUNCTION("GOOGLETRANSLATE(B3303, ""nl"", ""en"")"),"An endless labyrinth")</f>
        <v>An endless labyrinth</v>
      </c>
    </row>
    <row r="3304" ht="15.75" customHeight="1">
      <c r="A3304" s="3" t="s">
        <v>7</v>
      </c>
      <c r="B3304" s="3" t="s">
        <v>41</v>
      </c>
      <c r="D3304" s="3" t="str">
        <f>IFERROR(__xludf.DUMMYFUNCTION("GOOGLETRANSLATE(A3304, ""nl"", ""en"")"),"Human Figures and Physicality")</f>
        <v>Human Figures and Physicality</v>
      </c>
      <c r="E3304" s="3" t="str">
        <f>IFERROR(__xludf.DUMMYFUNCTION("GOOGLETRANSLATE(B3304, ""nl"", ""en"")"),"A face that fades into abstraction")</f>
        <v>A face that fades into abstraction</v>
      </c>
    </row>
    <row r="3305" ht="15.75" customHeight="1">
      <c r="A3305" s="3" t="s">
        <v>4</v>
      </c>
      <c r="B3305" s="3" t="s">
        <v>55</v>
      </c>
      <c r="D3305" s="3" t="str">
        <f>IFERROR(__xludf.DUMMYFUNCTION("GOOGLETRANSLATE(A3305, ""nl"", ""en"")"),"Architectural and Structural Associations")</f>
        <v>Architectural and Structural Associations</v>
      </c>
      <c r="E3305" s="3" t="str">
        <f>IFERROR(__xludf.DUMMYFUNCTION("GOOGLETRANSLATE(B3305, ""nl"", ""en"")"),"A prism that splits light into colors")</f>
        <v>A prism that splits light into colors</v>
      </c>
    </row>
    <row r="3306" ht="15.75" customHeight="1">
      <c r="A3306" s="3" t="s">
        <v>4</v>
      </c>
      <c r="B3306" s="3" t="s">
        <v>35</v>
      </c>
      <c r="D3306" s="3" t="str">
        <f>IFERROR(__xludf.DUMMYFUNCTION("GOOGLETRANSLATE(A3306, ""nl"", ""en"")"),"Architectural and Structural Associations")</f>
        <v>Architectural and Structural Associations</v>
      </c>
      <c r="E3306" s="3" t="str">
        <f>IFERROR(__xludf.DUMMYFUNCTION("GOOGLETRANSLATE(B3306, ""nl"", ""en"")"),"A floating building without a base")</f>
        <v>A floating building without a base</v>
      </c>
    </row>
    <row r="3307" ht="15.75" customHeight="1">
      <c r="A3307" s="3" t="s">
        <v>15</v>
      </c>
      <c r="B3307" s="3" t="s">
        <v>26</v>
      </c>
      <c r="D3307" s="3" t="str">
        <f>IFERROR(__xludf.DUMMYFUNCTION("GOOGLETRANSLATE(A3307, ""nl"", ""en"")"),"Animals and Organic Forms")</f>
        <v>Animals and Organic Forms</v>
      </c>
      <c r="E3307" s="3" t="str">
        <f>IFERROR(__xludf.DUMMYFUNCTION("GOOGLETRANSLATE(B3307, ""nl"", ""en"")"),"A frog preparing to jump")</f>
        <v>A frog preparing to jump</v>
      </c>
    </row>
    <row r="3308" ht="15.75" customHeight="1">
      <c r="A3308" s="3" t="s">
        <v>4</v>
      </c>
      <c r="B3308" s="3" t="s">
        <v>43</v>
      </c>
      <c r="D3308" s="3" t="str">
        <f>IFERROR(__xludf.DUMMYFUNCTION("GOOGLETRANSLATE(A3308, ""nl"", ""en"")"),"Architectural and Structural Associations")</f>
        <v>Architectural and Structural Associations</v>
      </c>
      <c r="E3308" s="3" t="str">
        <f>IFERROR(__xludf.DUMMYFUNCTION("GOOGLETRANSLATE(B3308, ""nl"", ""en"")"),"A network of tunnels and passages")</f>
        <v>A network of tunnels and passages</v>
      </c>
    </row>
    <row r="3309" ht="15.75" customHeight="1">
      <c r="A3309" s="3" t="s">
        <v>15</v>
      </c>
      <c r="B3309" s="3" t="s">
        <v>52</v>
      </c>
      <c r="D3309" s="3" t="str">
        <f>IFERROR(__xludf.DUMMYFUNCTION("GOOGLETRANSLATE(A3309, ""nl"", ""en"")"),"Animals and Organic Forms")</f>
        <v>Animals and Organic Forms</v>
      </c>
      <c r="E3309" s="3" t="str">
        <f>IFERROR(__xludf.DUMMYFUNCTION("GOOGLETRANSLATE(B3309, ""nl"", ""en"")"),"A mask made of leaves")</f>
        <v>A mask made of leaves</v>
      </c>
    </row>
    <row r="3310" ht="15.75" customHeight="1">
      <c r="A3310" s="3" t="s">
        <v>12</v>
      </c>
      <c r="B3310" s="3" t="s">
        <v>36</v>
      </c>
      <c r="D3310" s="3" t="str">
        <f>IFERROR(__xludf.DUMMYFUNCTION("GOOGLETRANSLATE(A3310, ""nl"", ""en"")"),"Nature and Elements")</f>
        <v>Nature and Elements</v>
      </c>
      <c r="E3310" s="3" t="str">
        <f>IFERROR(__xludf.DUMMYFUNCTION("GOOGLETRANSLATE(B3310, ""nl"", ""en"")"),"A river delta from a bird's-eye view")</f>
        <v>A river delta from a bird's-eye view</v>
      </c>
    </row>
    <row r="3311" ht="15.75" customHeight="1">
      <c r="A3311" s="3" t="s">
        <v>7</v>
      </c>
      <c r="B3311" s="3" t="s">
        <v>56</v>
      </c>
      <c r="D3311" s="3" t="str">
        <f>IFERROR(__xludf.DUMMYFUNCTION("GOOGLETRANSLATE(A3311, ""nl"", ""en"")"),"Human Figures and Physicality")</f>
        <v>Human Figures and Physicality</v>
      </c>
      <c r="E3311" s="3" t="str">
        <f>IFERROR(__xludf.DUMMYFUNCTION("GOOGLETRANSLATE(B3311, ""nl"", ""en"")"),"A shadow that seems to move")</f>
        <v>A shadow that seems to move</v>
      </c>
    </row>
    <row r="3312" ht="15.75" customHeight="1">
      <c r="A3312" s="3" t="s">
        <v>9</v>
      </c>
      <c r="B3312" s="3" t="s">
        <v>49</v>
      </c>
      <c r="D3312" s="3" t="str">
        <f>IFERROR(__xludf.DUMMYFUNCTION("GOOGLETRANSLATE(A3312, ""nl"", ""en"")"),"Psychological and Emotional Interpretations")</f>
        <v>Psychological and Emotional Interpretations</v>
      </c>
      <c r="E3312" s="3" t="str">
        <f>IFERROR(__xludf.DUMMYFUNCTION("GOOGLETRANSLATE(B3312, ""nl"", ""en"")"),"A spiral that turns inward")</f>
        <v>A spiral that turns inward</v>
      </c>
    </row>
    <row r="3313" ht="15.75" customHeight="1">
      <c r="A3313" s="3" t="s">
        <v>9</v>
      </c>
      <c r="B3313" s="3" t="s">
        <v>57</v>
      </c>
      <c r="D3313" s="3" t="str">
        <f>IFERROR(__xludf.DUMMYFUNCTION("GOOGLETRANSLATE(A3313, ""nl"", ""en"")"),"Psychological and Emotional Interpretations")</f>
        <v>Psychological and Emotional Interpretations</v>
      </c>
      <c r="E3313" s="3" t="str">
        <f>IFERROR(__xludf.DUMMYFUNCTION("GOOGLETRANSLATE(B3313, ""nl"", ""en"")"),"An explosion of colours and feelings")</f>
        <v>An explosion of colours and feelings</v>
      </c>
    </row>
    <row r="3314" ht="15.75" customHeight="1">
      <c r="A3314" s="3" t="s">
        <v>12</v>
      </c>
      <c r="B3314" s="3" t="s">
        <v>30</v>
      </c>
      <c r="D3314" s="3" t="str">
        <f>IFERROR(__xludf.DUMMYFUNCTION("GOOGLETRANSLATE(A3314, ""nl"", ""en"")"),"Nature and Elements")</f>
        <v>Nature and Elements</v>
      </c>
      <c r="E3314" s="3" t="str">
        <f>IFERROR(__xludf.DUMMYFUNCTION("GOOGLETRANSLATE(B3314, ""nl"", ""en"")"),"Waves breaking in fractal patterns")</f>
        <v>Waves breaking in fractal patterns</v>
      </c>
    </row>
    <row r="3315" ht="15.75" customHeight="1">
      <c r="A3315" s="3" t="s">
        <v>24</v>
      </c>
      <c r="B3315" s="3" t="s">
        <v>48</v>
      </c>
      <c r="D3315" s="3" t="str">
        <f>IFERROR(__xludf.DUMMYFUNCTION("GOOGLETRANSLATE(A3315, ""nl"", ""en"")"),"Cosmic and Abstract Patterns")</f>
        <v>Cosmic and Abstract Patterns</v>
      </c>
      <c r="E3315" s="3" t="str">
        <f>IFERROR(__xludf.DUMMYFUNCTION("GOOGLETRANSLATE(B3315, ""nl"", ""en"")"),"A fractal that repeats itself")</f>
        <v>A fractal that repeats itself</v>
      </c>
    </row>
    <row r="3316" ht="15.75" customHeight="1">
      <c r="A3316" s="3" t="s">
        <v>9</v>
      </c>
      <c r="B3316" s="3" t="s">
        <v>14</v>
      </c>
      <c r="D3316" s="3" t="str">
        <f>IFERROR(__xludf.DUMMYFUNCTION("GOOGLETRANSLATE(A3316, ""nl"", ""en"")"),"Psychological and Emotional Interpretations")</f>
        <v>Psychological and Emotional Interpretations</v>
      </c>
      <c r="E3316" s="3" t="str">
        <f>IFERROR(__xludf.DUMMYFUNCTION("GOOGLETRANSLATE(B3316, ""nl"", ""en"")"),"An unclear hug")</f>
        <v>An unclear hug</v>
      </c>
    </row>
    <row r="3317" ht="15.75" customHeight="1">
      <c r="A3317" s="3" t="s">
        <v>15</v>
      </c>
      <c r="B3317" s="3" t="s">
        <v>22</v>
      </c>
      <c r="D3317" s="3" t="str">
        <f>IFERROR(__xludf.DUMMYFUNCTION("GOOGLETRANSLATE(A3317, ""nl"", ""en"")"),"Animals and Organic Forms")</f>
        <v>Animals and Organic Forms</v>
      </c>
      <c r="E3317" s="3" t="str">
        <f>IFERROR(__xludf.DUMMYFUNCTION("GOOGLETRANSLATE(B3317, ""nl"", ""en"")"),"A bird taking off")</f>
        <v>A bird taking off</v>
      </c>
    </row>
    <row r="3318" ht="15.75" customHeight="1">
      <c r="A3318" s="3" t="s">
        <v>7</v>
      </c>
      <c r="B3318" s="3" t="s">
        <v>40</v>
      </c>
      <c r="D3318" s="3" t="str">
        <f>IFERROR(__xludf.DUMMYFUNCTION("GOOGLETRANSLATE(A3318, ""nl"", ""en"")"),"Human Figures and Physicality")</f>
        <v>Human Figures and Physicality</v>
      </c>
      <c r="E3318" s="3" t="str">
        <f>IFERROR(__xludf.DUMMYFUNCTION("GOOGLETRANSLATE(B3318, ""nl"", ""en"")"),"A figure who is withdrawn into himself")</f>
        <v>A figure who is withdrawn into himself</v>
      </c>
    </row>
    <row r="3319" ht="15.75" customHeight="1">
      <c r="A3319" s="3" t="s">
        <v>7</v>
      </c>
      <c r="B3319" s="3" t="s">
        <v>40</v>
      </c>
      <c r="D3319" s="3" t="str">
        <f>IFERROR(__xludf.DUMMYFUNCTION("GOOGLETRANSLATE(A3319, ""nl"", ""en"")"),"Human Figures and Physicality")</f>
        <v>Human Figures and Physicality</v>
      </c>
      <c r="E3319" s="3" t="str">
        <f>IFERROR(__xludf.DUMMYFUNCTION("GOOGLETRANSLATE(B3319, ""nl"", ""en"")"),"A figure who is withdrawn into himself")</f>
        <v>A figure who is withdrawn into himself</v>
      </c>
    </row>
    <row r="3320" ht="15.75" customHeight="1">
      <c r="A3320" s="3" t="s">
        <v>4</v>
      </c>
      <c r="B3320" s="3" t="s">
        <v>55</v>
      </c>
      <c r="D3320" s="3" t="str">
        <f>IFERROR(__xludf.DUMMYFUNCTION("GOOGLETRANSLATE(A3320, ""nl"", ""en"")"),"Architectural and Structural Associations")</f>
        <v>Architectural and Structural Associations</v>
      </c>
      <c r="E3320" s="3" t="str">
        <f>IFERROR(__xludf.DUMMYFUNCTION("GOOGLETRANSLATE(B3320, ""nl"", ""en"")"),"A prism that splits light into colors")</f>
        <v>A prism that splits light into colors</v>
      </c>
    </row>
    <row r="3321" ht="15.75" customHeight="1">
      <c r="A3321" s="3" t="s">
        <v>9</v>
      </c>
      <c r="B3321" s="3" t="s">
        <v>11</v>
      </c>
      <c r="D3321" s="3" t="str">
        <f>IFERROR(__xludf.DUMMYFUNCTION("GOOGLETRANSLATE(A3321, ""nl"", ""en"")"),"Psychological and Emotional Interpretations")</f>
        <v>Psychological and Emotional Interpretations</v>
      </c>
      <c r="E3321" s="3" t="str">
        <f>IFERROR(__xludf.DUMMYFUNCTION("GOOGLETRANSLATE(B3321, ""nl"", ""en"")"),"An emotion captured in abstraction")</f>
        <v>An emotion captured in abstraction</v>
      </c>
    </row>
    <row r="3322" ht="15.75" customHeight="1">
      <c r="A3322" s="3" t="s">
        <v>12</v>
      </c>
      <c r="B3322" s="3" t="s">
        <v>36</v>
      </c>
      <c r="D3322" s="3" t="str">
        <f>IFERROR(__xludf.DUMMYFUNCTION("GOOGLETRANSLATE(A3322, ""nl"", ""en"")"),"Nature and Elements")</f>
        <v>Nature and Elements</v>
      </c>
      <c r="E3322" s="3" t="str">
        <f>IFERROR(__xludf.DUMMYFUNCTION("GOOGLETRANSLATE(B3322, ""nl"", ""en"")"),"A river delta from a bird's-eye view")</f>
        <v>A river delta from a bird's-eye view</v>
      </c>
    </row>
    <row r="3323" ht="15.75" customHeight="1">
      <c r="A3323" s="3" t="s">
        <v>24</v>
      </c>
      <c r="B3323" s="3" t="s">
        <v>48</v>
      </c>
      <c r="D3323" s="3" t="str">
        <f>IFERROR(__xludf.DUMMYFUNCTION("GOOGLETRANSLATE(A3323, ""nl"", ""en"")"),"Cosmic and Abstract Patterns")</f>
        <v>Cosmic and Abstract Patterns</v>
      </c>
      <c r="E3323" s="3" t="str">
        <f>IFERROR(__xludf.DUMMYFUNCTION("GOOGLETRANSLATE(B3323, ""nl"", ""en"")"),"A fractal that repeats itself")</f>
        <v>A fractal that repeats itself</v>
      </c>
    </row>
    <row r="3324" ht="15.75" customHeight="1">
      <c r="A3324" s="3" t="s">
        <v>12</v>
      </c>
      <c r="B3324" s="3" t="s">
        <v>18</v>
      </c>
      <c r="D3324" s="3" t="str">
        <f>IFERROR(__xludf.DUMMYFUNCTION("GOOGLETRANSLATE(A3324, ""nl"", ""en"")"),"Nature and Elements")</f>
        <v>Nature and Elements</v>
      </c>
      <c r="E3324" s="3" t="str">
        <f>IFERROR(__xludf.DUMMYFUNCTION("GOOGLETRANSLATE(B3324, ""nl"", ""en"")"),"A tree with endless branches")</f>
        <v>A tree with endless branches</v>
      </c>
    </row>
    <row r="3325" ht="15.75" customHeight="1">
      <c r="A3325" s="3" t="s">
        <v>12</v>
      </c>
      <c r="B3325" s="3" t="s">
        <v>47</v>
      </c>
      <c r="D3325" s="3" t="str">
        <f>IFERROR(__xludf.DUMMYFUNCTION("GOOGLETRANSLATE(A3325, ""nl"", ""en"")"),"Nature and Elements")</f>
        <v>Nature and Elements</v>
      </c>
      <c r="E3325" s="3" t="str">
        <f>IFERROR(__xludf.DUMMYFUNCTION("GOOGLETRANSLATE(B3325, ""nl"", ""en"")"),"A desert landscape that slowly changes")</f>
        <v>A desert landscape that slowly changes</v>
      </c>
    </row>
    <row r="3326" ht="15.75" customHeight="1">
      <c r="A3326" s="3" t="s">
        <v>12</v>
      </c>
      <c r="B3326" s="3" t="s">
        <v>47</v>
      </c>
      <c r="D3326" s="3" t="str">
        <f>IFERROR(__xludf.DUMMYFUNCTION("GOOGLETRANSLATE(A3326, ""nl"", ""en"")"),"Nature and Elements")</f>
        <v>Nature and Elements</v>
      </c>
      <c r="E3326" s="3" t="str">
        <f>IFERROR(__xludf.DUMMYFUNCTION("GOOGLETRANSLATE(B3326, ""nl"", ""en"")"),"A desert landscape that slowly changes")</f>
        <v>A desert landscape that slowly changes</v>
      </c>
    </row>
    <row r="3327" ht="15.75" customHeight="1">
      <c r="A3327" s="3" t="s">
        <v>4</v>
      </c>
      <c r="B3327" s="3" t="s">
        <v>44</v>
      </c>
      <c r="D3327" s="3" t="str">
        <f>IFERROR(__xludf.DUMMYFUNCTION("GOOGLETRANSLATE(A3327, ""nl"", ""en"")"),"Architectural and Structural Associations")</f>
        <v>Architectural and Structural Associations</v>
      </c>
      <c r="E3327" s="3" t="str">
        <f>IFERROR(__xludf.DUMMYFUNCTION("GOOGLETRANSLATE(B3327, ""nl"", ""en"")"),"A structure that pulsates in waves")</f>
        <v>A structure that pulsates in waves</v>
      </c>
    </row>
    <row r="3328" ht="15.75" customHeight="1">
      <c r="A3328" s="3" t="s">
        <v>12</v>
      </c>
      <c r="B3328" s="3" t="s">
        <v>19</v>
      </c>
      <c r="D3328" s="3" t="str">
        <f>IFERROR(__xludf.DUMMYFUNCTION("GOOGLETRANSLATE(A3328, ""nl"", ""en"")"),"Nature and Elements")</f>
        <v>Nature and Elements</v>
      </c>
      <c r="E3328" s="3" t="str">
        <f>IFERROR(__xludf.DUMMYFUNCTION("GOOGLETRANSLATE(B3328, ""nl"", ""en"")"),"A mountain range that seems to breathe")</f>
        <v>A mountain range that seems to breathe</v>
      </c>
    </row>
    <row r="3329" ht="15.75" customHeight="1">
      <c r="A3329" s="3" t="s">
        <v>15</v>
      </c>
      <c r="B3329" s="3" t="s">
        <v>46</v>
      </c>
      <c r="D3329" s="3" t="str">
        <f>IFERROR(__xludf.DUMMYFUNCTION("GOOGLETRANSLATE(A3329, ""nl"", ""en"")"),"Animals and Organic Forms")</f>
        <v>Animals and Organic Forms</v>
      </c>
      <c r="E3329" s="3" t="str">
        <f>IFERROR(__xludf.DUMMYFUNCTION("GOOGLETRANSLATE(B3329, ""nl"", ""en"")"),"A flock of fish moving as one")</f>
        <v>A flock of fish moving as one</v>
      </c>
    </row>
    <row r="3330" ht="15.75" customHeight="1">
      <c r="A3330" s="3" t="s">
        <v>9</v>
      </c>
      <c r="B3330" s="3" t="s">
        <v>37</v>
      </c>
      <c r="D3330" s="3" t="str">
        <f>IFERROR(__xludf.DUMMYFUNCTION("GOOGLETRANSLATE(A3330, ""nl"", ""en"")"),"Psychological and Emotional Interpretations")</f>
        <v>Psychological and Emotional Interpretations</v>
      </c>
      <c r="E3330" s="3" t="str">
        <f>IFERROR(__xludf.DUMMYFUNCTION("GOOGLETRANSLATE(B3330, ""nl"", ""en"")"),"A figure looking through itself")</f>
        <v>A figure looking through itself</v>
      </c>
    </row>
    <row r="3331" ht="15.75" customHeight="1">
      <c r="A3331" s="3" t="s">
        <v>15</v>
      </c>
      <c r="B3331" s="3" t="s">
        <v>45</v>
      </c>
      <c r="D3331" s="3" t="str">
        <f>IFERROR(__xludf.DUMMYFUNCTION("GOOGLETRANSLATE(A3331, ""nl"", ""en"")"),"Animals and Organic Forms")</f>
        <v>Animals and Organic Forms</v>
      </c>
      <c r="E3331" s="3" t="str">
        <f>IFERROR(__xludf.DUMMYFUNCTION("GOOGLETRANSLATE(B3331, ""nl"", ""en"")"),"A snake biting its own tail")</f>
        <v>A snake biting its own tail</v>
      </c>
    </row>
    <row r="3332" ht="15.75" customHeight="1">
      <c r="A3332" s="3" t="s">
        <v>4</v>
      </c>
      <c r="B3332" s="3" t="s">
        <v>6</v>
      </c>
      <c r="D3332" s="3" t="str">
        <f>IFERROR(__xludf.DUMMYFUNCTION("GOOGLETRANSLATE(A3332, ""nl"", ""en"")"),"Architectural and Structural Associations")</f>
        <v>Architectural and Structural Associations</v>
      </c>
      <c r="E3332" s="3" t="str">
        <f>IFERROR(__xludf.DUMMYFUNCTION("GOOGLETRANSLATE(B3332, ""nl"", ""en"")"),"An endless labyrinth")</f>
        <v>An endless labyrinth</v>
      </c>
    </row>
    <row r="3333" ht="15.75" customHeight="1">
      <c r="A3333" s="3" t="s">
        <v>12</v>
      </c>
      <c r="B3333" s="3" t="s">
        <v>47</v>
      </c>
      <c r="D3333" s="3" t="str">
        <f>IFERROR(__xludf.DUMMYFUNCTION("GOOGLETRANSLATE(A3333, ""nl"", ""en"")"),"Nature and Elements")</f>
        <v>Nature and Elements</v>
      </c>
      <c r="E3333" s="3" t="str">
        <f>IFERROR(__xludf.DUMMYFUNCTION("GOOGLETRANSLATE(B3333, ""nl"", ""en"")"),"A desert landscape that slowly changes")</f>
        <v>A desert landscape that slowly changes</v>
      </c>
    </row>
    <row r="3334" ht="15.75" customHeight="1">
      <c r="A3334" s="3" t="s">
        <v>24</v>
      </c>
      <c r="B3334" s="3" t="s">
        <v>25</v>
      </c>
      <c r="D3334" s="3" t="str">
        <f>IFERROR(__xludf.DUMMYFUNCTION("GOOGLETRANSLATE(A3334, ""nl"", ""en"")"),"Cosmic and Abstract Patterns")</f>
        <v>Cosmic and Abstract Patterns</v>
      </c>
      <c r="E3334" s="3" t="str">
        <f>IFERROR(__xludf.DUMMYFUNCTION("GOOGLETRANSLATE(B3334, ""nl"", ""en"")"),"A meteor shower dissolving into each other")</f>
        <v>A meteor shower dissolving into each other</v>
      </c>
    </row>
    <row r="3335" ht="15.75" customHeight="1">
      <c r="A3335" s="3" t="s">
        <v>9</v>
      </c>
      <c r="B3335" s="3" t="s">
        <v>11</v>
      </c>
      <c r="D3335" s="3" t="str">
        <f>IFERROR(__xludf.DUMMYFUNCTION("GOOGLETRANSLATE(A3335, ""nl"", ""en"")"),"Psychological and Emotional Interpretations")</f>
        <v>Psychological and Emotional Interpretations</v>
      </c>
      <c r="E3335" s="3" t="str">
        <f>IFERROR(__xludf.DUMMYFUNCTION("GOOGLETRANSLATE(B3335, ""nl"", ""en"")"),"An emotion captured in abstraction")</f>
        <v>An emotion captured in abstraction</v>
      </c>
    </row>
    <row r="3336" ht="15.75" customHeight="1">
      <c r="A3336" s="3" t="s">
        <v>12</v>
      </c>
      <c r="B3336" s="3" t="s">
        <v>18</v>
      </c>
      <c r="D3336" s="3" t="str">
        <f>IFERROR(__xludf.DUMMYFUNCTION("GOOGLETRANSLATE(A3336, ""nl"", ""en"")"),"Nature and Elements")</f>
        <v>Nature and Elements</v>
      </c>
      <c r="E3336" s="3" t="str">
        <f>IFERROR(__xludf.DUMMYFUNCTION("GOOGLETRANSLATE(B3336, ""nl"", ""en"")"),"A tree with endless branches")</f>
        <v>A tree with endless branches</v>
      </c>
    </row>
    <row r="3337" ht="15.75" customHeight="1">
      <c r="A3337" s="3" t="s">
        <v>9</v>
      </c>
      <c r="B3337" s="3" t="s">
        <v>57</v>
      </c>
      <c r="D3337" s="3" t="str">
        <f>IFERROR(__xludf.DUMMYFUNCTION("GOOGLETRANSLATE(A3337, ""nl"", ""en"")"),"Psychological and Emotional Interpretations")</f>
        <v>Psychological and Emotional Interpretations</v>
      </c>
      <c r="E3337" s="3" t="str">
        <f>IFERROR(__xludf.DUMMYFUNCTION("GOOGLETRANSLATE(B3337, ""nl"", ""en"")"),"An explosion of colours and feelings")</f>
        <v>An explosion of colours and feelings</v>
      </c>
    </row>
    <row r="3338" ht="15.75" customHeight="1">
      <c r="A3338" s="3" t="s">
        <v>7</v>
      </c>
      <c r="B3338" s="3" t="s">
        <v>40</v>
      </c>
      <c r="D3338" s="3" t="str">
        <f>IFERROR(__xludf.DUMMYFUNCTION("GOOGLETRANSLATE(A3338, ""nl"", ""en"")"),"Human Figures and Physicality")</f>
        <v>Human Figures and Physicality</v>
      </c>
      <c r="E3338" s="3" t="str">
        <f>IFERROR(__xludf.DUMMYFUNCTION("GOOGLETRANSLATE(B3338, ""nl"", ""en"")"),"A figure who is withdrawn into himself")</f>
        <v>A figure who is withdrawn into himself</v>
      </c>
    </row>
    <row r="3339" ht="15.75" customHeight="1">
      <c r="A3339" s="3" t="s">
        <v>9</v>
      </c>
      <c r="B3339" s="3" t="s">
        <v>11</v>
      </c>
      <c r="D3339" s="3" t="str">
        <f>IFERROR(__xludf.DUMMYFUNCTION("GOOGLETRANSLATE(A3339, ""nl"", ""en"")"),"Psychological and Emotional Interpretations")</f>
        <v>Psychological and Emotional Interpretations</v>
      </c>
      <c r="E3339" s="3" t="str">
        <f>IFERROR(__xludf.DUMMYFUNCTION("GOOGLETRANSLATE(B3339, ""nl"", ""en"")"),"An emotion captured in abstraction")</f>
        <v>An emotion captured in abstraction</v>
      </c>
    </row>
    <row r="3340" ht="15.75" customHeight="1">
      <c r="A3340" s="3" t="s">
        <v>9</v>
      </c>
      <c r="B3340" s="3" t="s">
        <v>11</v>
      </c>
      <c r="D3340" s="3" t="str">
        <f>IFERROR(__xludf.DUMMYFUNCTION("GOOGLETRANSLATE(A3340, ""nl"", ""en"")"),"Psychological and Emotional Interpretations")</f>
        <v>Psychological and Emotional Interpretations</v>
      </c>
      <c r="E3340" s="3" t="str">
        <f>IFERROR(__xludf.DUMMYFUNCTION("GOOGLETRANSLATE(B3340, ""nl"", ""en"")"),"An emotion captured in abstraction")</f>
        <v>An emotion captured in abstraction</v>
      </c>
    </row>
    <row r="3341" ht="15.75" customHeight="1">
      <c r="A3341" s="3" t="s">
        <v>15</v>
      </c>
      <c r="B3341" s="3" t="s">
        <v>22</v>
      </c>
      <c r="D3341" s="3" t="str">
        <f>IFERROR(__xludf.DUMMYFUNCTION("GOOGLETRANSLATE(A3341, ""nl"", ""en"")"),"Animals and Organic Forms")</f>
        <v>Animals and Organic Forms</v>
      </c>
      <c r="E3341" s="3" t="str">
        <f>IFERROR(__xludf.DUMMYFUNCTION("GOOGLETRANSLATE(B3341, ""nl"", ""en"")"),"A bird taking off")</f>
        <v>A bird taking off</v>
      </c>
    </row>
    <row r="3342" ht="15.75" customHeight="1">
      <c r="A3342" s="3" t="s">
        <v>7</v>
      </c>
      <c r="B3342" s="3" t="s">
        <v>39</v>
      </c>
      <c r="D3342" s="3" t="str">
        <f>IFERROR(__xludf.DUMMYFUNCTION("GOOGLETRANSLATE(A3342, ""nl"", ""en"")"),"Human Figures and Physicality")</f>
        <v>Human Figures and Physicality</v>
      </c>
      <c r="E3342" s="3" t="str">
        <f>IFERROR(__xludf.DUMMYFUNCTION("GOOGLETRANSLATE(B3342, ""nl"", ""en"")"),"A torso without a head")</f>
        <v>A torso without a head</v>
      </c>
    </row>
    <row r="3343" ht="15.75" customHeight="1">
      <c r="A3343" s="3" t="s">
        <v>9</v>
      </c>
      <c r="B3343" s="3" t="s">
        <v>17</v>
      </c>
      <c r="D3343" s="3" t="str">
        <f>IFERROR(__xludf.DUMMYFUNCTION("GOOGLETRANSLATE(A3343, ""nl"", ""en"")"),"Psychological and Emotional Interpretations")</f>
        <v>Psychological and Emotional Interpretations</v>
      </c>
      <c r="E3343" s="3" t="str">
        <f>IFERROR(__xludf.DUMMYFUNCTION("GOOGLETRANSLATE(B3343, ""nl"", ""en"")"),"A figure that seems to melt")</f>
        <v>A figure that seems to melt</v>
      </c>
    </row>
    <row r="3344" ht="15.75" customHeight="1">
      <c r="A3344" s="3" t="s">
        <v>24</v>
      </c>
      <c r="B3344" s="3" t="s">
        <v>54</v>
      </c>
      <c r="D3344" s="3" t="str">
        <f>IFERROR(__xludf.DUMMYFUNCTION("GOOGLETRANSLATE(A3344, ""nl"", ""en"")"),"Cosmic and Abstract Patterns")</f>
        <v>Cosmic and Abstract Patterns</v>
      </c>
      <c r="E3344" s="3" t="str">
        <f>IFERROR(__xludf.DUMMYFUNCTION("GOOGLETRANSLATE(B3344, ""nl"", ""en"")"),"A quantum particle in superposition")</f>
        <v>A quantum particle in superposition</v>
      </c>
    </row>
    <row r="3345" ht="15.75" customHeight="1">
      <c r="A3345" s="3" t="s">
        <v>9</v>
      </c>
      <c r="B3345" s="3" t="s">
        <v>14</v>
      </c>
      <c r="D3345" s="3" t="str">
        <f>IFERROR(__xludf.DUMMYFUNCTION("GOOGLETRANSLATE(A3345, ""nl"", ""en"")"),"Psychological and Emotional Interpretations")</f>
        <v>Psychological and Emotional Interpretations</v>
      </c>
      <c r="E3345" s="3" t="str">
        <f>IFERROR(__xludf.DUMMYFUNCTION("GOOGLETRANSLATE(B3345, ""nl"", ""en"")"),"An unclear hug")</f>
        <v>An unclear hug</v>
      </c>
    </row>
    <row r="3346" ht="15.75" customHeight="1">
      <c r="A3346" s="3" t="s">
        <v>9</v>
      </c>
      <c r="B3346" s="3" t="s">
        <v>57</v>
      </c>
      <c r="D3346" s="3" t="str">
        <f>IFERROR(__xludf.DUMMYFUNCTION("GOOGLETRANSLATE(A3346, ""nl"", ""en"")"),"Psychological and Emotional Interpretations")</f>
        <v>Psychological and Emotional Interpretations</v>
      </c>
      <c r="E3346" s="3" t="str">
        <f>IFERROR(__xludf.DUMMYFUNCTION("GOOGLETRANSLATE(B3346, ""nl"", ""en"")"),"An explosion of colours and feelings")</f>
        <v>An explosion of colours and feelings</v>
      </c>
    </row>
    <row r="3347" ht="15.75" customHeight="1">
      <c r="A3347" s="3" t="s">
        <v>9</v>
      </c>
      <c r="B3347" s="3" t="s">
        <v>49</v>
      </c>
      <c r="D3347" s="3" t="str">
        <f>IFERROR(__xludf.DUMMYFUNCTION("GOOGLETRANSLATE(A3347, ""nl"", ""en"")"),"Psychological and Emotional Interpretations")</f>
        <v>Psychological and Emotional Interpretations</v>
      </c>
      <c r="E3347" s="3" t="str">
        <f>IFERROR(__xludf.DUMMYFUNCTION("GOOGLETRANSLATE(B3347, ""nl"", ""en"")"),"A spiral that turns inward")</f>
        <v>A spiral that turns inward</v>
      </c>
    </row>
    <row r="3348" ht="15.75" customHeight="1">
      <c r="A3348" s="3" t="s">
        <v>7</v>
      </c>
      <c r="B3348" s="3" t="s">
        <v>53</v>
      </c>
      <c r="D3348" s="3" t="str">
        <f>IFERROR(__xludf.DUMMYFUNCTION("GOOGLETRANSLATE(A3348, ""nl"", ""en"")"),"Human Figures and Physicality")</f>
        <v>Human Figures and Physicality</v>
      </c>
      <c r="E3348" s="3" t="str">
        <f>IFERROR(__xludf.DUMMYFUNCTION("GOOGLETRANSLATE(B3348, ""nl"", ""en"")"),"A face that both smiles and cries")</f>
        <v>A face that both smiles and cries</v>
      </c>
    </row>
    <row r="3349" ht="15.75" customHeight="1">
      <c r="A3349" s="3" t="s">
        <v>12</v>
      </c>
      <c r="B3349" s="3" t="s">
        <v>19</v>
      </c>
      <c r="D3349" s="3" t="str">
        <f>IFERROR(__xludf.DUMMYFUNCTION("GOOGLETRANSLATE(A3349, ""nl"", ""en"")"),"Nature and Elements")</f>
        <v>Nature and Elements</v>
      </c>
      <c r="E3349" s="3" t="str">
        <f>IFERROR(__xludf.DUMMYFUNCTION("GOOGLETRANSLATE(B3349, ""nl"", ""en"")"),"A mountain range that seems to breathe")</f>
        <v>A mountain range that seems to breathe</v>
      </c>
    </row>
    <row r="3350" ht="15.75" customHeight="1">
      <c r="A3350" s="3" t="s">
        <v>4</v>
      </c>
      <c r="B3350" s="3" t="s">
        <v>44</v>
      </c>
      <c r="D3350" s="3" t="str">
        <f>IFERROR(__xludf.DUMMYFUNCTION("GOOGLETRANSLATE(A3350, ""nl"", ""en"")"),"Architectural and Structural Associations")</f>
        <v>Architectural and Structural Associations</v>
      </c>
      <c r="E3350" s="3" t="str">
        <f>IFERROR(__xludf.DUMMYFUNCTION("GOOGLETRANSLATE(B3350, ""nl"", ""en"")"),"A structure that pulsates in waves")</f>
        <v>A structure that pulsates in waves</v>
      </c>
    </row>
    <row r="3351" ht="15.75" customHeight="1">
      <c r="A3351" s="3" t="s">
        <v>4</v>
      </c>
      <c r="B3351" s="3" t="s">
        <v>5</v>
      </c>
      <c r="D3351" s="3" t="str">
        <f>IFERROR(__xludf.DUMMYFUNCTION("GOOGLETRANSLATE(A3351, ""nl"", ""en"")"),"Architectural and Structural Associations")</f>
        <v>Architectural and Structural Associations</v>
      </c>
      <c r="E3351" s="3" t="str">
        <f>IFERROR(__xludf.DUMMYFUNCTION("GOOGLETRANSLATE(B3351, ""nl"", ""en"")"),"A cathedral shaped from mist")</f>
        <v>A cathedral shaped from mist</v>
      </c>
    </row>
    <row r="3352" ht="15.75" customHeight="1">
      <c r="A3352" s="3" t="s">
        <v>4</v>
      </c>
      <c r="B3352" s="3" t="s">
        <v>44</v>
      </c>
      <c r="D3352" s="3" t="str">
        <f>IFERROR(__xludf.DUMMYFUNCTION("GOOGLETRANSLATE(A3352, ""nl"", ""en"")"),"Architectural and Structural Associations")</f>
        <v>Architectural and Structural Associations</v>
      </c>
      <c r="E3352" s="3" t="str">
        <f>IFERROR(__xludf.DUMMYFUNCTION("GOOGLETRANSLATE(B3352, ""nl"", ""en"")"),"A structure that pulsates in waves")</f>
        <v>A structure that pulsates in waves</v>
      </c>
    </row>
    <row r="3353" ht="15.75" customHeight="1">
      <c r="A3353" s="3" t="s">
        <v>12</v>
      </c>
      <c r="B3353" s="3" t="s">
        <v>19</v>
      </c>
      <c r="D3353" s="3" t="str">
        <f>IFERROR(__xludf.DUMMYFUNCTION("GOOGLETRANSLATE(A3353, ""nl"", ""en"")"),"Nature and Elements")</f>
        <v>Nature and Elements</v>
      </c>
      <c r="E3353" s="3" t="str">
        <f>IFERROR(__xludf.DUMMYFUNCTION("GOOGLETRANSLATE(B3353, ""nl"", ""en"")"),"A mountain range that seems to breathe")</f>
        <v>A mountain range that seems to breathe</v>
      </c>
    </row>
    <row r="3354" ht="15.75" customHeight="1">
      <c r="A3354" s="3" t="s">
        <v>12</v>
      </c>
      <c r="B3354" s="3" t="s">
        <v>51</v>
      </c>
      <c r="D3354" s="3" t="str">
        <f>IFERROR(__xludf.DUMMYFUNCTION("GOOGLETRANSLATE(A3354, ""nl"", ""en"")"),"Nature and Elements")</f>
        <v>Nature and Elements</v>
      </c>
      <c r="E3354" s="3" t="str">
        <f>IFERROR(__xludf.DUMMYFUNCTION("GOOGLETRANSLATE(B3354, ""nl"", ""en"")"),"An evaporating puddle of water")</f>
        <v>An evaporating puddle of water</v>
      </c>
    </row>
    <row r="3355" ht="15.75" customHeight="1">
      <c r="A3355" s="3" t="s">
        <v>15</v>
      </c>
      <c r="B3355" s="3" t="s">
        <v>16</v>
      </c>
      <c r="D3355" s="3" t="str">
        <f>IFERROR(__xludf.DUMMYFUNCTION("GOOGLETRANSLATE(A3355, ""nl"", ""en"")"),"Animals and Organic Forms")</f>
        <v>Animals and Organic Forms</v>
      </c>
      <c r="E3355" s="3" t="str">
        <f>IFERROR(__xludf.DUMMYFUNCTION("GOOGLETRANSLATE(B3355, ""nl"", ""en"")"),"A butterfly in transformation")</f>
        <v>A butterfly in transformation</v>
      </c>
    </row>
    <row r="3356" ht="15.75" customHeight="1">
      <c r="A3356" s="3" t="s">
        <v>24</v>
      </c>
      <c r="B3356" s="3" t="s">
        <v>25</v>
      </c>
      <c r="D3356" s="3" t="str">
        <f>IFERROR(__xludf.DUMMYFUNCTION("GOOGLETRANSLATE(A3356, ""nl"", ""en"")"),"Cosmic and Abstract Patterns")</f>
        <v>Cosmic and Abstract Patterns</v>
      </c>
      <c r="E3356" s="3" t="str">
        <f>IFERROR(__xludf.DUMMYFUNCTION("GOOGLETRANSLATE(B3356, ""nl"", ""en"")"),"A meteor shower dissolving into each other")</f>
        <v>A meteor shower dissolving into each other</v>
      </c>
    </row>
    <row r="3357" ht="15.75" customHeight="1">
      <c r="A3357" s="3" t="s">
        <v>7</v>
      </c>
      <c r="B3357" s="3" t="s">
        <v>8</v>
      </c>
      <c r="D3357" s="3" t="str">
        <f>IFERROR(__xludf.DUMMYFUNCTION("GOOGLETRANSLATE(A3357, ""nl"", ""en"")"),"Human Figures and Physicality")</f>
        <v>Human Figures and Physicality</v>
      </c>
      <c r="E3357" s="3" t="str">
        <f>IFERROR(__xludf.DUMMYFUNCTION("GOOGLETRANSLATE(B3357, ""nl"", ""en"")"),"Two figures mirroring each other")</f>
        <v>Two figures mirroring each other</v>
      </c>
    </row>
    <row r="3358" ht="15.75" customHeight="1">
      <c r="A3358" s="3" t="s">
        <v>24</v>
      </c>
      <c r="B3358" s="3" t="s">
        <v>31</v>
      </c>
      <c r="D3358" s="3" t="str">
        <f>IFERROR(__xludf.DUMMYFUNCTION("GOOGLETRANSLATE(A3358, ""nl"", ""en"")"),"Cosmic and Abstract Patterns")</f>
        <v>Cosmic and Abstract Patterns</v>
      </c>
      <c r="E3358" s="3" t="str">
        <f>IFERROR(__xludf.DUMMYFUNCTION("GOOGLETRANSLATE(B3358, ""nl"", ""en"")"),"A planet with unusual rings")</f>
        <v>A planet with unusual rings</v>
      </c>
    </row>
    <row r="3359" ht="15.75" customHeight="1">
      <c r="A3359" s="3" t="s">
        <v>7</v>
      </c>
      <c r="B3359" s="3" t="s">
        <v>56</v>
      </c>
      <c r="D3359" s="3" t="str">
        <f>IFERROR(__xludf.DUMMYFUNCTION("GOOGLETRANSLATE(A3359, ""nl"", ""en"")"),"Human Figures and Physicality")</f>
        <v>Human Figures and Physicality</v>
      </c>
      <c r="E3359" s="3" t="str">
        <f>IFERROR(__xludf.DUMMYFUNCTION("GOOGLETRANSLATE(B3359, ""nl"", ""en"")"),"A shadow that seems to move")</f>
        <v>A shadow that seems to move</v>
      </c>
    </row>
    <row r="3360" ht="15.75" customHeight="1">
      <c r="A3360" s="3" t="s">
        <v>4</v>
      </c>
      <c r="B3360" s="3" t="s">
        <v>44</v>
      </c>
      <c r="D3360" s="3" t="str">
        <f>IFERROR(__xludf.DUMMYFUNCTION("GOOGLETRANSLATE(A3360, ""nl"", ""en"")"),"Architectural and Structural Associations")</f>
        <v>Architectural and Structural Associations</v>
      </c>
      <c r="E3360" s="3" t="str">
        <f>IFERROR(__xludf.DUMMYFUNCTION("GOOGLETRANSLATE(B3360, ""nl"", ""en"")"),"A structure that pulsates in waves")</f>
        <v>A structure that pulsates in waves</v>
      </c>
    </row>
    <row r="3361" ht="15.75" customHeight="1">
      <c r="A3361" s="3" t="s">
        <v>12</v>
      </c>
      <c r="B3361" s="3" t="s">
        <v>23</v>
      </c>
      <c r="D3361" s="3" t="str">
        <f>IFERROR(__xludf.DUMMYFUNCTION("GOOGLETRANSLATE(A3361, ""nl"", ""en"")"),"Nature and Elements")</f>
        <v>Nature and Elements</v>
      </c>
      <c r="E3361" s="3" t="str">
        <f>IFERROR(__xludf.DUMMYFUNCTION("GOOGLETRANSLATE(B3361, ""nl"", ""en"")"),"A storm cloud splitting in two")</f>
        <v>A storm cloud splitting in two</v>
      </c>
    </row>
    <row r="3362" ht="15.75" customHeight="1">
      <c r="A3362" s="3" t="s">
        <v>15</v>
      </c>
      <c r="B3362" s="3" t="s">
        <v>16</v>
      </c>
      <c r="D3362" s="3" t="str">
        <f>IFERROR(__xludf.DUMMYFUNCTION("GOOGLETRANSLATE(A3362, ""nl"", ""en"")"),"Animals and Organic Forms")</f>
        <v>Animals and Organic Forms</v>
      </c>
      <c r="E3362" s="3" t="str">
        <f>IFERROR(__xludf.DUMMYFUNCTION("GOOGLETRANSLATE(B3362, ""nl"", ""en"")"),"A butterfly in transformation")</f>
        <v>A butterfly in transformation</v>
      </c>
    </row>
    <row r="3363" ht="15.75" customHeight="1">
      <c r="A3363" s="3" t="s">
        <v>9</v>
      </c>
      <c r="B3363" s="3" t="s">
        <v>17</v>
      </c>
      <c r="D3363" s="3" t="str">
        <f>IFERROR(__xludf.DUMMYFUNCTION("GOOGLETRANSLATE(A3363, ""nl"", ""en"")"),"Psychological and Emotional Interpretations")</f>
        <v>Psychological and Emotional Interpretations</v>
      </c>
      <c r="E3363" s="3" t="str">
        <f>IFERROR(__xludf.DUMMYFUNCTION("GOOGLETRANSLATE(B3363, ""nl"", ""en"")"),"A figure that seems to melt")</f>
        <v>A figure that seems to melt</v>
      </c>
    </row>
    <row r="3364" ht="15.75" customHeight="1">
      <c r="A3364" s="3" t="s">
        <v>4</v>
      </c>
      <c r="B3364" s="3" t="s">
        <v>55</v>
      </c>
      <c r="D3364" s="3" t="str">
        <f>IFERROR(__xludf.DUMMYFUNCTION("GOOGLETRANSLATE(A3364, ""nl"", ""en"")"),"Architectural and Structural Associations")</f>
        <v>Architectural and Structural Associations</v>
      </c>
      <c r="E3364" s="3" t="str">
        <f>IFERROR(__xludf.DUMMYFUNCTION("GOOGLETRANSLATE(B3364, ""nl"", ""en"")"),"A prism that splits light into colors")</f>
        <v>A prism that splits light into colors</v>
      </c>
    </row>
    <row r="3365" ht="15.75" customHeight="1">
      <c r="A3365" s="3" t="s">
        <v>7</v>
      </c>
      <c r="B3365" s="3" t="s">
        <v>41</v>
      </c>
      <c r="D3365" s="3" t="str">
        <f>IFERROR(__xludf.DUMMYFUNCTION("GOOGLETRANSLATE(A3365, ""nl"", ""en"")"),"Human Figures and Physicality")</f>
        <v>Human Figures and Physicality</v>
      </c>
      <c r="E3365" s="3" t="str">
        <f>IFERROR(__xludf.DUMMYFUNCTION("GOOGLETRANSLATE(B3365, ""nl"", ""en"")"),"A face that fades into abstraction")</f>
        <v>A face that fades into abstraction</v>
      </c>
    </row>
    <row r="3366" ht="15.75" customHeight="1">
      <c r="A3366" s="3" t="s">
        <v>24</v>
      </c>
      <c r="B3366" s="3" t="s">
        <v>25</v>
      </c>
      <c r="D3366" s="3" t="str">
        <f>IFERROR(__xludf.DUMMYFUNCTION("GOOGLETRANSLATE(A3366, ""nl"", ""en"")"),"Cosmic and Abstract Patterns")</f>
        <v>Cosmic and Abstract Patterns</v>
      </c>
      <c r="E3366" s="3" t="str">
        <f>IFERROR(__xludf.DUMMYFUNCTION("GOOGLETRANSLATE(B3366, ""nl"", ""en"")"),"A meteor shower dissolving into each other")</f>
        <v>A meteor shower dissolving into each other</v>
      </c>
    </row>
    <row r="3367" ht="15.75" customHeight="1">
      <c r="A3367" s="3" t="s">
        <v>7</v>
      </c>
      <c r="B3367" s="3" t="s">
        <v>56</v>
      </c>
      <c r="D3367" s="3" t="str">
        <f>IFERROR(__xludf.DUMMYFUNCTION("GOOGLETRANSLATE(A3367, ""nl"", ""en"")"),"Human Figures and Physicality")</f>
        <v>Human Figures and Physicality</v>
      </c>
      <c r="E3367" s="3" t="str">
        <f>IFERROR(__xludf.DUMMYFUNCTION("GOOGLETRANSLATE(B3367, ""nl"", ""en"")"),"A shadow that seems to move")</f>
        <v>A shadow that seems to move</v>
      </c>
    </row>
    <row r="3368" ht="15.75" customHeight="1">
      <c r="A3368" s="3" t="s">
        <v>15</v>
      </c>
      <c r="B3368" s="3" t="s">
        <v>45</v>
      </c>
      <c r="D3368" s="3" t="str">
        <f>IFERROR(__xludf.DUMMYFUNCTION("GOOGLETRANSLATE(A3368, ""nl"", ""en"")"),"Animals and Organic Forms")</f>
        <v>Animals and Organic Forms</v>
      </c>
      <c r="E3368" s="3" t="str">
        <f>IFERROR(__xludf.DUMMYFUNCTION("GOOGLETRANSLATE(B3368, ""nl"", ""en"")"),"A snake biting its own tail")</f>
        <v>A snake biting its own tail</v>
      </c>
    </row>
    <row r="3369" ht="15.75" customHeight="1">
      <c r="A3369" s="3" t="s">
        <v>7</v>
      </c>
      <c r="B3369" s="3" t="s">
        <v>8</v>
      </c>
      <c r="D3369" s="3" t="str">
        <f>IFERROR(__xludf.DUMMYFUNCTION("GOOGLETRANSLATE(A3369, ""nl"", ""en"")"),"Human Figures and Physicality")</f>
        <v>Human Figures and Physicality</v>
      </c>
      <c r="E3369" s="3" t="str">
        <f>IFERROR(__xludf.DUMMYFUNCTION("GOOGLETRANSLATE(B3369, ""nl"", ""en"")"),"Two figures mirroring each other")</f>
        <v>Two figures mirroring each other</v>
      </c>
    </row>
    <row r="3370" ht="15.75" customHeight="1">
      <c r="A3370" s="3" t="s">
        <v>15</v>
      </c>
      <c r="B3370" s="3" t="s">
        <v>16</v>
      </c>
      <c r="D3370" s="3" t="str">
        <f>IFERROR(__xludf.DUMMYFUNCTION("GOOGLETRANSLATE(A3370, ""nl"", ""en"")"),"Animals and Organic Forms")</f>
        <v>Animals and Organic Forms</v>
      </c>
      <c r="E3370" s="3" t="str">
        <f>IFERROR(__xludf.DUMMYFUNCTION("GOOGLETRANSLATE(B3370, ""nl"", ""en"")"),"A butterfly in transformation")</f>
        <v>A butterfly in transformation</v>
      </c>
    </row>
    <row r="3371" ht="15.75" customHeight="1">
      <c r="A3371" s="3" t="s">
        <v>12</v>
      </c>
      <c r="B3371" s="3" t="s">
        <v>30</v>
      </c>
      <c r="D3371" s="3" t="str">
        <f>IFERROR(__xludf.DUMMYFUNCTION("GOOGLETRANSLATE(A3371, ""nl"", ""en"")"),"Nature and Elements")</f>
        <v>Nature and Elements</v>
      </c>
      <c r="E3371" s="3" t="str">
        <f>IFERROR(__xludf.DUMMYFUNCTION("GOOGLETRANSLATE(B3371, ""nl"", ""en"")"),"Waves breaking in fractal patterns")</f>
        <v>Waves breaking in fractal patterns</v>
      </c>
    </row>
    <row r="3372" ht="15.75" customHeight="1">
      <c r="A3372" s="3" t="s">
        <v>15</v>
      </c>
      <c r="B3372" s="3" t="s">
        <v>38</v>
      </c>
      <c r="D3372" s="3" t="str">
        <f>IFERROR(__xludf.DUMMYFUNCTION("GOOGLETRANSLATE(A3372, ""nl"", ""en"")"),"Animals and Organic Forms")</f>
        <v>Animals and Organic Forms</v>
      </c>
      <c r="E3372" s="3" t="str">
        <f>IFERROR(__xludf.DUMMYFUNCTION("GOOGLETRANSLATE(B3372, ""nl"", ""en"")"),"A lion with an open mouth")</f>
        <v>A lion with an open mouth</v>
      </c>
    </row>
    <row r="3373" ht="15.75" customHeight="1">
      <c r="A3373" s="3" t="s">
        <v>9</v>
      </c>
      <c r="B3373" s="3" t="s">
        <v>42</v>
      </c>
      <c r="D3373" s="3" t="str">
        <f>IFERROR(__xludf.DUMMYFUNCTION("GOOGLETRANSLATE(A3373, ""nl"", ""en"")"),"Psychological and Emotional Interpretations")</f>
        <v>Psychological and Emotional Interpretations</v>
      </c>
      <c r="E3373" s="3" t="str">
        <f>IFERROR(__xludf.DUMMYFUNCTION("GOOGLETRANSLATE(B3373, ""nl"", ""en"")"),"A mask that slowly disappears")</f>
        <v>A mask that slowly disappears</v>
      </c>
    </row>
    <row r="3374" ht="15.75" customHeight="1">
      <c r="A3374" s="3" t="s">
        <v>15</v>
      </c>
      <c r="B3374" s="3" t="s">
        <v>26</v>
      </c>
      <c r="D3374" s="3" t="str">
        <f>IFERROR(__xludf.DUMMYFUNCTION("GOOGLETRANSLATE(A3374, ""nl"", ""en"")"),"Animals and Organic Forms")</f>
        <v>Animals and Organic Forms</v>
      </c>
      <c r="E3374" s="3" t="str">
        <f>IFERROR(__xludf.DUMMYFUNCTION("GOOGLETRANSLATE(B3374, ""nl"", ""en"")"),"A frog preparing to jump")</f>
        <v>A frog preparing to jump</v>
      </c>
    </row>
    <row r="3375" ht="15.75" customHeight="1">
      <c r="A3375" s="3" t="s">
        <v>9</v>
      </c>
      <c r="B3375" s="3" t="s">
        <v>17</v>
      </c>
      <c r="D3375" s="3" t="str">
        <f>IFERROR(__xludf.DUMMYFUNCTION("GOOGLETRANSLATE(A3375, ""nl"", ""en"")"),"Psychological and Emotional Interpretations")</f>
        <v>Psychological and Emotional Interpretations</v>
      </c>
      <c r="E3375" s="3" t="str">
        <f>IFERROR(__xludf.DUMMYFUNCTION("GOOGLETRANSLATE(B3375, ""nl"", ""en"")"),"A figure that seems to melt")</f>
        <v>A figure that seems to melt</v>
      </c>
    </row>
    <row r="3376" ht="15.75" customHeight="1">
      <c r="A3376" s="3" t="s">
        <v>24</v>
      </c>
      <c r="B3376" s="3" t="s">
        <v>54</v>
      </c>
      <c r="D3376" s="3" t="str">
        <f>IFERROR(__xludf.DUMMYFUNCTION("GOOGLETRANSLATE(A3376, ""nl"", ""en"")"),"Cosmic and Abstract Patterns")</f>
        <v>Cosmic and Abstract Patterns</v>
      </c>
      <c r="E3376" s="3" t="str">
        <f>IFERROR(__xludf.DUMMYFUNCTION("GOOGLETRANSLATE(B3376, ""nl"", ""en"")"),"A quantum particle in superposition")</f>
        <v>A quantum particle in superposition</v>
      </c>
    </row>
    <row r="3377" ht="15.75" customHeight="1">
      <c r="A3377" s="3" t="s">
        <v>7</v>
      </c>
      <c r="B3377" s="3" t="s">
        <v>40</v>
      </c>
      <c r="D3377" s="3" t="str">
        <f>IFERROR(__xludf.DUMMYFUNCTION("GOOGLETRANSLATE(A3377, ""nl"", ""en"")"),"Human Figures and Physicality")</f>
        <v>Human Figures and Physicality</v>
      </c>
      <c r="E3377" s="3" t="str">
        <f>IFERROR(__xludf.DUMMYFUNCTION("GOOGLETRANSLATE(B3377, ""nl"", ""en"")"),"A figure who is withdrawn into himself")</f>
        <v>A figure who is withdrawn into himself</v>
      </c>
    </row>
    <row r="3378" ht="15.75" customHeight="1">
      <c r="A3378" s="3" t="s">
        <v>9</v>
      </c>
      <c r="B3378" s="3" t="s">
        <v>37</v>
      </c>
      <c r="D3378" s="3" t="str">
        <f>IFERROR(__xludf.DUMMYFUNCTION("GOOGLETRANSLATE(A3378, ""nl"", ""en"")"),"Psychological and Emotional Interpretations")</f>
        <v>Psychological and Emotional Interpretations</v>
      </c>
      <c r="E3378" s="3" t="str">
        <f>IFERROR(__xludf.DUMMYFUNCTION("GOOGLETRANSLATE(B3378, ""nl"", ""en"")"),"A figure looking through itself")</f>
        <v>A figure looking through itself</v>
      </c>
    </row>
    <row r="3379" ht="15.75" customHeight="1">
      <c r="A3379" s="3" t="s">
        <v>12</v>
      </c>
      <c r="B3379" s="3" t="s">
        <v>23</v>
      </c>
      <c r="D3379" s="3" t="str">
        <f>IFERROR(__xludf.DUMMYFUNCTION("GOOGLETRANSLATE(A3379, ""nl"", ""en"")"),"Nature and Elements")</f>
        <v>Nature and Elements</v>
      </c>
      <c r="E3379" s="3" t="str">
        <f>IFERROR(__xludf.DUMMYFUNCTION("GOOGLETRANSLATE(B3379, ""nl"", ""en"")"),"A storm cloud splitting in two")</f>
        <v>A storm cloud splitting in two</v>
      </c>
    </row>
    <row r="3380" ht="15.75" customHeight="1">
      <c r="A3380" s="3" t="s">
        <v>24</v>
      </c>
      <c r="B3380" s="3" t="s">
        <v>33</v>
      </c>
      <c r="D3380" s="3" t="str">
        <f>IFERROR(__xludf.DUMMYFUNCTION("GOOGLETRANSLATE(A3380, ""nl"", ""en"")"),"Cosmic and Abstract Patterns")</f>
        <v>Cosmic and Abstract Patterns</v>
      </c>
      <c r="E3380" s="3" t="str">
        <f>IFERROR(__xludf.DUMMYFUNCTION("GOOGLETRANSLATE(B3380, ""nl"", ""en"")"),"An eye that repeats itself in endless patterns")</f>
        <v>An eye that repeats itself in endless patterns</v>
      </c>
    </row>
    <row r="3381" ht="15.75" customHeight="1">
      <c r="A3381" s="3" t="s">
        <v>7</v>
      </c>
      <c r="B3381" s="3" t="s">
        <v>39</v>
      </c>
      <c r="D3381" s="3" t="str">
        <f>IFERROR(__xludf.DUMMYFUNCTION("GOOGLETRANSLATE(A3381, ""nl"", ""en"")"),"Human Figures and Physicality")</f>
        <v>Human Figures and Physicality</v>
      </c>
      <c r="E3381" s="3" t="str">
        <f>IFERROR(__xludf.DUMMYFUNCTION("GOOGLETRANSLATE(B3381, ""nl"", ""en"")"),"A torso without a head")</f>
        <v>A torso without a head</v>
      </c>
    </row>
    <row r="3382" ht="15.75" customHeight="1">
      <c r="A3382" s="3" t="s">
        <v>4</v>
      </c>
      <c r="B3382" s="3" t="s">
        <v>20</v>
      </c>
      <c r="D3382" s="3" t="str">
        <f>IFERROR(__xludf.DUMMYFUNCTION("GOOGLETRANSLATE(A3382, ""nl"", ""en"")"),"Architectural and Structural Associations")</f>
        <v>Architectural and Structural Associations</v>
      </c>
      <c r="E3382" s="3" t="str">
        <f>IFERROR(__xludf.DUMMYFUNCTION("GOOGLETRANSLATE(B3382, ""nl"", ""en"")"),"A tower that grows by itself")</f>
        <v>A tower that grows by itself</v>
      </c>
    </row>
    <row r="3383" ht="15.75" customHeight="1">
      <c r="A3383" s="3" t="s">
        <v>12</v>
      </c>
      <c r="B3383" s="3" t="s">
        <v>36</v>
      </c>
      <c r="D3383" s="3" t="str">
        <f>IFERROR(__xludf.DUMMYFUNCTION("GOOGLETRANSLATE(A3383, ""nl"", ""en"")"),"Nature and Elements")</f>
        <v>Nature and Elements</v>
      </c>
      <c r="E3383" s="3" t="str">
        <f>IFERROR(__xludf.DUMMYFUNCTION("GOOGLETRANSLATE(B3383, ""nl"", ""en"")"),"A river delta from a bird's-eye view")</f>
        <v>A river delta from a bird's-eye view</v>
      </c>
    </row>
    <row r="3384" ht="15.75" customHeight="1">
      <c r="A3384" s="3" t="s">
        <v>12</v>
      </c>
      <c r="B3384" s="3" t="s">
        <v>30</v>
      </c>
      <c r="D3384" s="3" t="str">
        <f>IFERROR(__xludf.DUMMYFUNCTION("GOOGLETRANSLATE(A3384, ""nl"", ""en"")"),"Nature and Elements")</f>
        <v>Nature and Elements</v>
      </c>
      <c r="E3384" s="3" t="str">
        <f>IFERROR(__xludf.DUMMYFUNCTION("GOOGLETRANSLATE(B3384, ""nl"", ""en"")"),"Waves breaking in fractal patterns")</f>
        <v>Waves breaking in fractal patterns</v>
      </c>
    </row>
    <row r="3385" ht="15.75" customHeight="1">
      <c r="A3385" s="3" t="s">
        <v>24</v>
      </c>
      <c r="B3385" s="3" t="s">
        <v>27</v>
      </c>
      <c r="D3385" s="3" t="str">
        <f>IFERROR(__xludf.DUMMYFUNCTION("GOOGLETRANSLATE(A3385, ""nl"", ""en"")"),"Cosmic and Abstract Patterns")</f>
        <v>Cosmic and Abstract Patterns</v>
      </c>
      <c r="E3385" s="3" t="str">
        <f>IFERROR(__xludf.DUMMYFUNCTION("GOOGLETRANSLATE(B3385, ""nl"", ""en"")"),"A pair of black holes in dance")</f>
        <v>A pair of black holes in dance</v>
      </c>
    </row>
    <row r="3386" ht="15.75" customHeight="1">
      <c r="A3386" s="3" t="s">
        <v>7</v>
      </c>
      <c r="B3386" s="3" t="s">
        <v>34</v>
      </c>
      <c r="D3386" s="3" t="str">
        <f>IFERROR(__xludf.DUMMYFUNCTION("GOOGLETRANSLATE(A3386, ""nl"", ""en"")"),"Human Figures and Physicality")</f>
        <v>Human Figures and Physicality</v>
      </c>
      <c r="E3386" s="3" t="str">
        <f>IFERROR(__xludf.DUMMYFUNCTION("GOOGLETRANSLATE(B3386, ""nl"", ""en"")"),"Hands almost touching")</f>
        <v>Hands almost touching</v>
      </c>
    </row>
    <row r="3387" ht="15.75" customHeight="1">
      <c r="A3387" s="3" t="s">
        <v>4</v>
      </c>
      <c r="B3387" s="3" t="s">
        <v>21</v>
      </c>
      <c r="D3387" s="3" t="str">
        <f>IFERROR(__xludf.DUMMYFUNCTION("GOOGLETRANSLATE(A3387, ""nl"", ""en"")"),"Architectural and Structural Associations")</f>
        <v>Architectural and Structural Associations</v>
      </c>
      <c r="E3387" s="3" t="str">
        <f>IFERROR(__xludf.DUMMYFUNCTION("GOOGLETRANSLATE(B3387, ""nl"", ""en"")"),"A bridge that leads nowhere")</f>
        <v>A bridge that leads nowhere</v>
      </c>
    </row>
    <row r="3388" ht="15.75" customHeight="1">
      <c r="A3388" s="3" t="s">
        <v>9</v>
      </c>
      <c r="B3388" s="3" t="s">
        <v>17</v>
      </c>
      <c r="D3388" s="3" t="str">
        <f>IFERROR(__xludf.DUMMYFUNCTION("GOOGLETRANSLATE(A3388, ""nl"", ""en"")"),"Psychological and Emotional Interpretations")</f>
        <v>Psychological and Emotional Interpretations</v>
      </c>
      <c r="E3388" s="3" t="str">
        <f>IFERROR(__xludf.DUMMYFUNCTION("GOOGLETRANSLATE(B3388, ""nl"", ""en"")"),"A figure that seems to melt")</f>
        <v>A figure that seems to melt</v>
      </c>
    </row>
    <row r="3389" ht="15.75" customHeight="1">
      <c r="A3389" s="3" t="s">
        <v>9</v>
      </c>
      <c r="B3389" s="3" t="s">
        <v>42</v>
      </c>
      <c r="D3389" s="3" t="str">
        <f>IFERROR(__xludf.DUMMYFUNCTION("GOOGLETRANSLATE(A3389, ""nl"", ""en"")"),"Psychological and Emotional Interpretations")</f>
        <v>Psychological and Emotional Interpretations</v>
      </c>
      <c r="E3389" s="3" t="str">
        <f>IFERROR(__xludf.DUMMYFUNCTION("GOOGLETRANSLATE(B3389, ""nl"", ""en"")"),"A mask that slowly disappears")</f>
        <v>A mask that slowly disappears</v>
      </c>
    </row>
    <row r="3390" ht="15.75" customHeight="1">
      <c r="A3390" s="3" t="s">
        <v>15</v>
      </c>
      <c r="B3390" s="3" t="s">
        <v>26</v>
      </c>
      <c r="D3390" s="3" t="str">
        <f>IFERROR(__xludf.DUMMYFUNCTION("GOOGLETRANSLATE(A3390, ""nl"", ""en"")"),"Animals and Organic Forms")</f>
        <v>Animals and Organic Forms</v>
      </c>
      <c r="E3390" s="3" t="str">
        <f>IFERROR(__xludf.DUMMYFUNCTION("GOOGLETRANSLATE(B3390, ""nl"", ""en"")"),"A frog preparing to jump")</f>
        <v>A frog preparing to jump</v>
      </c>
    </row>
    <row r="3391" ht="15.75" customHeight="1">
      <c r="A3391" s="3" t="s">
        <v>15</v>
      </c>
      <c r="B3391" s="3" t="s">
        <v>26</v>
      </c>
      <c r="D3391" s="3" t="str">
        <f>IFERROR(__xludf.DUMMYFUNCTION("GOOGLETRANSLATE(A3391, ""nl"", ""en"")"),"Animals and Organic Forms")</f>
        <v>Animals and Organic Forms</v>
      </c>
      <c r="E3391" s="3" t="str">
        <f>IFERROR(__xludf.DUMMYFUNCTION("GOOGLETRANSLATE(B3391, ""nl"", ""en"")"),"A frog preparing to jump")</f>
        <v>A frog preparing to jump</v>
      </c>
    </row>
    <row r="3392" ht="15.75" customHeight="1">
      <c r="A3392" s="3" t="s">
        <v>4</v>
      </c>
      <c r="B3392" s="3" t="s">
        <v>21</v>
      </c>
      <c r="D3392" s="3" t="str">
        <f>IFERROR(__xludf.DUMMYFUNCTION("GOOGLETRANSLATE(A3392, ""nl"", ""en"")"),"Architectural and Structural Associations")</f>
        <v>Architectural and Structural Associations</v>
      </c>
      <c r="E3392" s="3" t="str">
        <f>IFERROR(__xludf.DUMMYFUNCTION("GOOGLETRANSLATE(B3392, ""nl"", ""en"")"),"A bridge that leads nowhere")</f>
        <v>A bridge that leads nowhere</v>
      </c>
    </row>
    <row r="3393" ht="15.75" customHeight="1">
      <c r="A3393" s="3" t="s">
        <v>12</v>
      </c>
      <c r="B3393" s="3" t="s">
        <v>13</v>
      </c>
      <c r="D3393" s="3" t="str">
        <f>IFERROR(__xludf.DUMMYFUNCTION("GOOGLETRANSLATE(A3393, ""nl"", ""en"")"),"Nature and Elements")</f>
        <v>Nature and Elements</v>
      </c>
      <c r="E3393" s="3" t="str">
        <f>IFERROR(__xludf.DUMMYFUNCTION("GOOGLETRANSLATE(B3393, ""nl"", ""en"")"),"A lightning strike in slow motion")</f>
        <v>A lightning strike in slow motion</v>
      </c>
    </row>
    <row r="3394" ht="15.75" customHeight="1">
      <c r="A3394" s="3" t="s">
        <v>12</v>
      </c>
      <c r="B3394" s="3" t="s">
        <v>18</v>
      </c>
      <c r="D3394" s="3" t="str">
        <f>IFERROR(__xludf.DUMMYFUNCTION("GOOGLETRANSLATE(A3394, ""nl"", ""en"")"),"Nature and Elements")</f>
        <v>Nature and Elements</v>
      </c>
      <c r="E3394" s="3" t="str">
        <f>IFERROR(__xludf.DUMMYFUNCTION("GOOGLETRANSLATE(B3394, ""nl"", ""en"")"),"A tree with endless branches")</f>
        <v>A tree with endless branches</v>
      </c>
    </row>
    <row r="3395" ht="15.75" customHeight="1">
      <c r="A3395" s="3" t="s">
        <v>7</v>
      </c>
      <c r="B3395" s="3" t="s">
        <v>41</v>
      </c>
      <c r="D3395" s="3" t="str">
        <f>IFERROR(__xludf.DUMMYFUNCTION("GOOGLETRANSLATE(A3395, ""nl"", ""en"")"),"Human Figures and Physicality")</f>
        <v>Human Figures and Physicality</v>
      </c>
      <c r="E3395" s="3" t="str">
        <f>IFERROR(__xludf.DUMMYFUNCTION("GOOGLETRANSLATE(B3395, ""nl"", ""en"")"),"A face that fades into abstraction")</f>
        <v>A face that fades into abstraction</v>
      </c>
    </row>
    <row r="3396" ht="15.75" customHeight="1">
      <c r="A3396" s="3" t="s">
        <v>15</v>
      </c>
      <c r="B3396" s="3" t="s">
        <v>26</v>
      </c>
      <c r="D3396" s="3" t="str">
        <f>IFERROR(__xludf.DUMMYFUNCTION("GOOGLETRANSLATE(A3396, ""nl"", ""en"")"),"Animals and Organic Forms")</f>
        <v>Animals and Organic Forms</v>
      </c>
      <c r="E3396" s="3" t="str">
        <f>IFERROR(__xludf.DUMMYFUNCTION("GOOGLETRANSLATE(B3396, ""nl"", ""en"")"),"A frog preparing to jump")</f>
        <v>A frog preparing to jump</v>
      </c>
    </row>
    <row r="3397" ht="15.75" customHeight="1">
      <c r="A3397" s="3" t="s">
        <v>24</v>
      </c>
      <c r="B3397" s="3" t="s">
        <v>32</v>
      </c>
      <c r="D3397" s="3" t="str">
        <f>IFERROR(__xludf.DUMMYFUNCTION("GOOGLETRANSLATE(A3397, ""nl"", ""en"")"),"Cosmic and Abstract Patterns")</f>
        <v>Cosmic and Abstract Patterns</v>
      </c>
      <c r="E3397" s="3" t="str">
        <f>IFERROR(__xludf.DUMMYFUNCTION("GOOGLETRANSLATE(B3397, ""nl"", ""en"")"),"A time loop captured in image")</f>
        <v>A time loop captured in image</v>
      </c>
    </row>
    <row r="3398" ht="15.75" customHeight="1">
      <c r="A3398" s="3" t="s">
        <v>12</v>
      </c>
      <c r="B3398" s="3" t="s">
        <v>47</v>
      </c>
      <c r="D3398" s="3" t="str">
        <f>IFERROR(__xludf.DUMMYFUNCTION("GOOGLETRANSLATE(A3398, ""nl"", ""en"")"),"Nature and Elements")</f>
        <v>Nature and Elements</v>
      </c>
      <c r="E3398" s="3" t="str">
        <f>IFERROR(__xludf.DUMMYFUNCTION("GOOGLETRANSLATE(B3398, ""nl"", ""en"")"),"A desert landscape that slowly changes")</f>
        <v>A desert landscape that slowly changes</v>
      </c>
    </row>
    <row r="3399" ht="15.75" customHeight="1">
      <c r="A3399" s="3" t="s">
        <v>15</v>
      </c>
      <c r="B3399" s="3" t="s">
        <v>22</v>
      </c>
      <c r="D3399" s="3" t="str">
        <f>IFERROR(__xludf.DUMMYFUNCTION("GOOGLETRANSLATE(A3399, ""nl"", ""en"")"),"Animals and Organic Forms")</f>
        <v>Animals and Organic Forms</v>
      </c>
      <c r="E3399" s="3" t="str">
        <f>IFERROR(__xludf.DUMMYFUNCTION("GOOGLETRANSLATE(B3399, ""nl"", ""en"")"),"A bird taking off")</f>
        <v>A bird taking off</v>
      </c>
    </row>
    <row r="3400" ht="15.75" customHeight="1">
      <c r="A3400" s="3" t="s">
        <v>15</v>
      </c>
      <c r="B3400" s="3" t="s">
        <v>50</v>
      </c>
      <c r="D3400" s="3" t="str">
        <f>IFERROR(__xludf.DUMMYFUNCTION("GOOGLETRANSLATE(A3400, ""nl"", ""en"")"),"Animals and Organic Forms")</f>
        <v>Animals and Organic Forms</v>
      </c>
      <c r="E3400" s="3" t="str">
        <f>IFERROR(__xludf.DUMMYFUNCTION("GOOGLETRANSLATE(B3400, ""nl"", ""en"")"),"A squid with extended tentacles")</f>
        <v>A squid with extended tentacles</v>
      </c>
    </row>
    <row r="3401" ht="15.75" customHeight="1">
      <c r="A3401" s="3" t="s">
        <v>4</v>
      </c>
      <c r="B3401" s="3" t="s">
        <v>55</v>
      </c>
      <c r="D3401" s="3" t="str">
        <f>IFERROR(__xludf.DUMMYFUNCTION("GOOGLETRANSLATE(A3401, ""nl"", ""en"")"),"Architectural and Structural Associations")</f>
        <v>Architectural and Structural Associations</v>
      </c>
      <c r="E3401" s="3" t="str">
        <f>IFERROR(__xludf.DUMMYFUNCTION("GOOGLETRANSLATE(B3401, ""nl"", ""en"")"),"A prism that splits light into colors")</f>
        <v>A prism that splits light into colors</v>
      </c>
    </row>
    <row r="3402" ht="15.75" customHeight="1">
      <c r="A3402" s="3" t="s">
        <v>24</v>
      </c>
      <c r="B3402" s="3" t="s">
        <v>29</v>
      </c>
      <c r="D3402" s="3" t="str">
        <f>IFERROR(__xludf.DUMMYFUNCTION("GOOGLETRANSLATE(A3402, ""nl"", ""en"")"),"Cosmic and Abstract Patterns")</f>
        <v>Cosmic and Abstract Patterns</v>
      </c>
      <c r="E3402" s="3" t="str">
        <f>IFERROR(__xludf.DUMMYFUNCTION("GOOGLETRANSLATE(B3402, ""nl"", ""en"")"),"A galaxy unfolding")</f>
        <v>A galaxy unfolding</v>
      </c>
    </row>
    <row r="3403" ht="15.75" customHeight="1">
      <c r="A3403" s="3" t="s">
        <v>15</v>
      </c>
      <c r="B3403" s="3" t="s">
        <v>50</v>
      </c>
      <c r="D3403" s="3" t="str">
        <f>IFERROR(__xludf.DUMMYFUNCTION("GOOGLETRANSLATE(A3403, ""nl"", ""en"")"),"Animals and Organic Forms")</f>
        <v>Animals and Organic Forms</v>
      </c>
      <c r="E3403" s="3" t="str">
        <f>IFERROR(__xludf.DUMMYFUNCTION("GOOGLETRANSLATE(B3403, ""nl"", ""en"")"),"A squid with extended tentacles")</f>
        <v>A squid with extended tentacles</v>
      </c>
    </row>
    <row r="3404" ht="15.75" customHeight="1">
      <c r="A3404" s="3" t="s">
        <v>24</v>
      </c>
      <c r="B3404" s="3" t="s">
        <v>33</v>
      </c>
      <c r="D3404" s="3" t="str">
        <f>IFERROR(__xludf.DUMMYFUNCTION("GOOGLETRANSLATE(A3404, ""nl"", ""en"")"),"Cosmic and Abstract Patterns")</f>
        <v>Cosmic and Abstract Patterns</v>
      </c>
      <c r="E3404" s="3" t="str">
        <f>IFERROR(__xludf.DUMMYFUNCTION("GOOGLETRANSLATE(B3404, ""nl"", ""en"")"),"An eye that repeats itself in endless patterns")</f>
        <v>An eye that repeats itself in endless patterns</v>
      </c>
    </row>
    <row r="3405" ht="15.75" customHeight="1">
      <c r="A3405" s="3" t="s">
        <v>12</v>
      </c>
      <c r="B3405" s="3" t="s">
        <v>51</v>
      </c>
      <c r="D3405" s="3" t="str">
        <f>IFERROR(__xludf.DUMMYFUNCTION("GOOGLETRANSLATE(A3405, ""nl"", ""en"")"),"Nature and Elements")</f>
        <v>Nature and Elements</v>
      </c>
      <c r="E3405" s="3" t="str">
        <f>IFERROR(__xludf.DUMMYFUNCTION("GOOGLETRANSLATE(B3405, ""nl"", ""en"")"),"An evaporating puddle of water")</f>
        <v>An evaporating puddle of water</v>
      </c>
    </row>
    <row r="3406" ht="15.75" customHeight="1">
      <c r="A3406" s="3" t="s">
        <v>7</v>
      </c>
      <c r="B3406" s="3" t="s">
        <v>28</v>
      </c>
      <c r="D3406" s="3" t="str">
        <f>IFERROR(__xludf.DUMMYFUNCTION("GOOGLETRANSLATE(A3406, ""nl"", ""en"")"),"Human Figures and Physicality")</f>
        <v>Human Figures and Physicality</v>
      </c>
      <c r="E3406" s="3" t="str">
        <f>IFERROR(__xludf.DUMMYFUNCTION("GOOGLETRANSLATE(B3406, ""nl"", ""en"")"),"A dancing silhouette")</f>
        <v>A dancing silhouette</v>
      </c>
    </row>
    <row r="3407" ht="15.75" customHeight="1">
      <c r="A3407" s="3" t="s">
        <v>4</v>
      </c>
      <c r="B3407" s="3" t="s">
        <v>20</v>
      </c>
      <c r="D3407" s="3" t="str">
        <f>IFERROR(__xludf.DUMMYFUNCTION("GOOGLETRANSLATE(A3407, ""nl"", ""en"")"),"Architectural and Structural Associations")</f>
        <v>Architectural and Structural Associations</v>
      </c>
      <c r="E3407" s="3" t="str">
        <f>IFERROR(__xludf.DUMMYFUNCTION("GOOGLETRANSLATE(B3407, ""nl"", ""en"")"),"A tower that grows by itself")</f>
        <v>A tower that grows by itself</v>
      </c>
    </row>
    <row r="3408" ht="15.75" customHeight="1">
      <c r="A3408" s="3" t="s">
        <v>7</v>
      </c>
      <c r="B3408" s="3" t="s">
        <v>40</v>
      </c>
      <c r="D3408" s="3" t="str">
        <f>IFERROR(__xludf.DUMMYFUNCTION("GOOGLETRANSLATE(A3408, ""nl"", ""en"")"),"Human Figures and Physicality")</f>
        <v>Human Figures and Physicality</v>
      </c>
      <c r="E3408" s="3" t="str">
        <f>IFERROR(__xludf.DUMMYFUNCTION("GOOGLETRANSLATE(B3408, ""nl"", ""en"")"),"A figure who is withdrawn into himself")</f>
        <v>A figure who is withdrawn into himself</v>
      </c>
    </row>
    <row r="3409" ht="15.75" customHeight="1">
      <c r="A3409" s="3" t="s">
        <v>15</v>
      </c>
      <c r="B3409" s="3" t="s">
        <v>22</v>
      </c>
      <c r="D3409" s="3" t="str">
        <f>IFERROR(__xludf.DUMMYFUNCTION("GOOGLETRANSLATE(A3409, ""nl"", ""en"")"),"Animals and Organic Forms")</f>
        <v>Animals and Organic Forms</v>
      </c>
      <c r="E3409" s="3" t="str">
        <f>IFERROR(__xludf.DUMMYFUNCTION("GOOGLETRANSLATE(B3409, ""nl"", ""en"")"),"A bird taking off")</f>
        <v>A bird taking off</v>
      </c>
    </row>
    <row r="3410" ht="15.75" customHeight="1">
      <c r="A3410" s="3" t="s">
        <v>24</v>
      </c>
      <c r="B3410" s="3" t="s">
        <v>25</v>
      </c>
      <c r="D3410" s="3" t="str">
        <f>IFERROR(__xludf.DUMMYFUNCTION("GOOGLETRANSLATE(A3410, ""nl"", ""en"")"),"Cosmic and Abstract Patterns")</f>
        <v>Cosmic and Abstract Patterns</v>
      </c>
      <c r="E3410" s="3" t="str">
        <f>IFERROR(__xludf.DUMMYFUNCTION("GOOGLETRANSLATE(B3410, ""nl"", ""en"")"),"A meteor shower dissolving into each other")</f>
        <v>A meteor shower dissolving into each other</v>
      </c>
    </row>
    <row r="3411" ht="15.75" customHeight="1">
      <c r="A3411" s="3" t="s">
        <v>15</v>
      </c>
      <c r="B3411" s="3" t="s">
        <v>52</v>
      </c>
      <c r="D3411" s="3" t="str">
        <f>IFERROR(__xludf.DUMMYFUNCTION("GOOGLETRANSLATE(A3411, ""nl"", ""en"")"),"Animals and Organic Forms")</f>
        <v>Animals and Organic Forms</v>
      </c>
      <c r="E3411" s="3" t="str">
        <f>IFERROR(__xludf.DUMMYFUNCTION("GOOGLETRANSLATE(B3411, ""nl"", ""en"")"),"A mask made of leaves")</f>
        <v>A mask made of leaves</v>
      </c>
    </row>
    <row r="3412" ht="15.75" customHeight="1">
      <c r="A3412" s="3" t="s">
        <v>9</v>
      </c>
      <c r="B3412" s="3" t="s">
        <v>49</v>
      </c>
      <c r="D3412" s="3" t="str">
        <f>IFERROR(__xludf.DUMMYFUNCTION("GOOGLETRANSLATE(A3412, ""nl"", ""en"")"),"Psychological and Emotional Interpretations")</f>
        <v>Psychological and Emotional Interpretations</v>
      </c>
      <c r="E3412" s="3" t="str">
        <f>IFERROR(__xludf.DUMMYFUNCTION("GOOGLETRANSLATE(B3412, ""nl"", ""en"")"),"A spiral that turns inward")</f>
        <v>A spiral that turns inward</v>
      </c>
    </row>
    <row r="3413" ht="15.75" customHeight="1">
      <c r="A3413" s="3" t="s">
        <v>4</v>
      </c>
      <c r="B3413" s="3" t="s">
        <v>5</v>
      </c>
      <c r="D3413" s="3" t="str">
        <f>IFERROR(__xludf.DUMMYFUNCTION("GOOGLETRANSLATE(A3413, ""nl"", ""en"")"),"Architectural and Structural Associations")</f>
        <v>Architectural and Structural Associations</v>
      </c>
      <c r="E3413" s="3" t="str">
        <f>IFERROR(__xludf.DUMMYFUNCTION("GOOGLETRANSLATE(B3413, ""nl"", ""en"")"),"A cathedral shaped from mist")</f>
        <v>A cathedral shaped from mist</v>
      </c>
    </row>
    <row r="3414" ht="15.75" customHeight="1">
      <c r="A3414" s="3" t="s">
        <v>9</v>
      </c>
      <c r="B3414" s="3" t="s">
        <v>11</v>
      </c>
      <c r="D3414" s="3" t="str">
        <f>IFERROR(__xludf.DUMMYFUNCTION("GOOGLETRANSLATE(A3414, ""nl"", ""en"")"),"Psychological and Emotional Interpretations")</f>
        <v>Psychological and Emotional Interpretations</v>
      </c>
      <c r="E3414" s="3" t="str">
        <f>IFERROR(__xludf.DUMMYFUNCTION("GOOGLETRANSLATE(B3414, ""nl"", ""en"")"),"An emotion captured in abstraction")</f>
        <v>An emotion captured in abstraction</v>
      </c>
    </row>
    <row r="3415" ht="15.75" customHeight="1">
      <c r="A3415" s="3" t="s">
        <v>7</v>
      </c>
      <c r="B3415" s="3" t="s">
        <v>53</v>
      </c>
      <c r="D3415" s="3" t="str">
        <f>IFERROR(__xludf.DUMMYFUNCTION("GOOGLETRANSLATE(A3415, ""nl"", ""en"")"),"Human Figures and Physicality")</f>
        <v>Human Figures and Physicality</v>
      </c>
      <c r="E3415" s="3" t="str">
        <f>IFERROR(__xludf.DUMMYFUNCTION("GOOGLETRANSLATE(B3415, ""nl"", ""en"")"),"A face that both smiles and cries")</f>
        <v>A face that both smiles and cries</v>
      </c>
    </row>
    <row r="3416" ht="15.75" customHeight="1">
      <c r="A3416" s="3" t="s">
        <v>4</v>
      </c>
      <c r="B3416" s="3" t="s">
        <v>21</v>
      </c>
      <c r="D3416" s="3" t="str">
        <f>IFERROR(__xludf.DUMMYFUNCTION("GOOGLETRANSLATE(A3416, ""nl"", ""en"")"),"Architectural and Structural Associations")</f>
        <v>Architectural and Structural Associations</v>
      </c>
      <c r="E3416" s="3" t="str">
        <f>IFERROR(__xludf.DUMMYFUNCTION("GOOGLETRANSLATE(B3416, ""nl"", ""en"")"),"A bridge that leads nowhere")</f>
        <v>A bridge that leads nowhere</v>
      </c>
    </row>
    <row r="3417" ht="15.75" customHeight="1">
      <c r="A3417" s="3" t="s">
        <v>4</v>
      </c>
      <c r="B3417" s="3" t="s">
        <v>44</v>
      </c>
      <c r="D3417" s="3" t="str">
        <f>IFERROR(__xludf.DUMMYFUNCTION("GOOGLETRANSLATE(A3417, ""nl"", ""en"")"),"Architectural and Structural Associations")</f>
        <v>Architectural and Structural Associations</v>
      </c>
      <c r="E3417" s="3" t="str">
        <f>IFERROR(__xludf.DUMMYFUNCTION("GOOGLETRANSLATE(B3417, ""nl"", ""en"")"),"A structure that pulsates in waves")</f>
        <v>A structure that pulsates in waves</v>
      </c>
    </row>
    <row r="3418" ht="15.75" customHeight="1">
      <c r="A3418" s="3" t="s">
        <v>9</v>
      </c>
      <c r="B3418" s="3" t="s">
        <v>42</v>
      </c>
      <c r="D3418" s="3" t="str">
        <f>IFERROR(__xludf.DUMMYFUNCTION("GOOGLETRANSLATE(A3418, ""nl"", ""en"")"),"Psychological and Emotional Interpretations")</f>
        <v>Psychological and Emotional Interpretations</v>
      </c>
      <c r="E3418" s="3" t="str">
        <f>IFERROR(__xludf.DUMMYFUNCTION("GOOGLETRANSLATE(B3418, ""nl"", ""en"")"),"A mask that slowly disappears")</f>
        <v>A mask that slowly disappears</v>
      </c>
    </row>
    <row r="3419" ht="15.75" customHeight="1">
      <c r="A3419" s="3" t="s">
        <v>24</v>
      </c>
      <c r="B3419" s="3" t="s">
        <v>27</v>
      </c>
      <c r="D3419" s="3" t="str">
        <f>IFERROR(__xludf.DUMMYFUNCTION("GOOGLETRANSLATE(A3419, ""nl"", ""en"")"),"Cosmic and Abstract Patterns")</f>
        <v>Cosmic and Abstract Patterns</v>
      </c>
      <c r="E3419" s="3" t="str">
        <f>IFERROR(__xludf.DUMMYFUNCTION("GOOGLETRANSLATE(B3419, ""nl"", ""en"")"),"A pair of black holes in dance")</f>
        <v>A pair of black holes in dance</v>
      </c>
    </row>
    <row r="3420" ht="15.75" customHeight="1">
      <c r="A3420" s="3" t="s">
        <v>7</v>
      </c>
      <c r="B3420" s="3" t="s">
        <v>41</v>
      </c>
      <c r="D3420" s="3" t="str">
        <f>IFERROR(__xludf.DUMMYFUNCTION("GOOGLETRANSLATE(A3420, ""nl"", ""en"")"),"Human Figures and Physicality")</f>
        <v>Human Figures and Physicality</v>
      </c>
      <c r="E3420" s="3" t="str">
        <f>IFERROR(__xludf.DUMMYFUNCTION("GOOGLETRANSLATE(B3420, ""nl"", ""en"")"),"A face that fades into abstraction")</f>
        <v>A face that fades into abstraction</v>
      </c>
    </row>
    <row r="3421" ht="15.75" customHeight="1">
      <c r="A3421" s="3" t="s">
        <v>9</v>
      </c>
      <c r="B3421" s="3" t="s">
        <v>37</v>
      </c>
      <c r="D3421" s="3" t="str">
        <f>IFERROR(__xludf.DUMMYFUNCTION("GOOGLETRANSLATE(A3421, ""nl"", ""en"")"),"Psychological and Emotional Interpretations")</f>
        <v>Psychological and Emotional Interpretations</v>
      </c>
      <c r="E3421" s="3" t="str">
        <f>IFERROR(__xludf.DUMMYFUNCTION("GOOGLETRANSLATE(B3421, ""nl"", ""en"")"),"A figure looking through itself")</f>
        <v>A figure looking through itself</v>
      </c>
    </row>
    <row r="3422" ht="15.75" customHeight="1">
      <c r="A3422" s="3" t="s">
        <v>9</v>
      </c>
      <c r="B3422" s="3" t="s">
        <v>37</v>
      </c>
      <c r="D3422" s="3" t="str">
        <f>IFERROR(__xludf.DUMMYFUNCTION("GOOGLETRANSLATE(A3422, ""nl"", ""en"")"),"Psychological and Emotional Interpretations")</f>
        <v>Psychological and Emotional Interpretations</v>
      </c>
      <c r="E3422" s="3" t="str">
        <f>IFERROR(__xludf.DUMMYFUNCTION("GOOGLETRANSLATE(B3422, ""nl"", ""en"")"),"A figure looking through itself")</f>
        <v>A figure looking through itself</v>
      </c>
    </row>
    <row r="3423" ht="15.75" customHeight="1">
      <c r="A3423" s="3" t="s">
        <v>4</v>
      </c>
      <c r="B3423" s="3" t="s">
        <v>43</v>
      </c>
      <c r="D3423" s="3" t="str">
        <f>IFERROR(__xludf.DUMMYFUNCTION("GOOGLETRANSLATE(A3423, ""nl"", ""en"")"),"Architectural and Structural Associations")</f>
        <v>Architectural and Structural Associations</v>
      </c>
      <c r="E3423" s="3" t="str">
        <f>IFERROR(__xludf.DUMMYFUNCTION("GOOGLETRANSLATE(B3423, ""nl"", ""en"")"),"A network of tunnels and passages")</f>
        <v>A network of tunnels and passages</v>
      </c>
    </row>
    <row r="3424" ht="15.75" customHeight="1">
      <c r="A3424" s="3" t="s">
        <v>12</v>
      </c>
      <c r="B3424" s="3" t="s">
        <v>36</v>
      </c>
      <c r="D3424" s="3" t="str">
        <f>IFERROR(__xludf.DUMMYFUNCTION("GOOGLETRANSLATE(A3424, ""nl"", ""en"")"),"Nature and Elements")</f>
        <v>Nature and Elements</v>
      </c>
      <c r="E3424" s="3" t="str">
        <f>IFERROR(__xludf.DUMMYFUNCTION("GOOGLETRANSLATE(B3424, ""nl"", ""en"")"),"A river delta from a bird's-eye view")</f>
        <v>A river delta from a bird's-eye view</v>
      </c>
    </row>
    <row r="3425" ht="15.75" customHeight="1">
      <c r="A3425" s="3" t="s">
        <v>9</v>
      </c>
      <c r="B3425" s="3" t="s">
        <v>42</v>
      </c>
      <c r="D3425" s="3" t="str">
        <f>IFERROR(__xludf.DUMMYFUNCTION("GOOGLETRANSLATE(A3425, ""nl"", ""en"")"),"Psychological and Emotional Interpretations")</f>
        <v>Psychological and Emotional Interpretations</v>
      </c>
      <c r="E3425" s="3" t="str">
        <f>IFERROR(__xludf.DUMMYFUNCTION("GOOGLETRANSLATE(B3425, ""nl"", ""en"")"),"A mask that slowly disappears")</f>
        <v>A mask that slowly disappears</v>
      </c>
    </row>
    <row r="3426" ht="15.75" customHeight="1">
      <c r="A3426" s="3" t="s">
        <v>7</v>
      </c>
      <c r="B3426" s="3" t="s">
        <v>28</v>
      </c>
      <c r="D3426" s="3" t="str">
        <f>IFERROR(__xludf.DUMMYFUNCTION("GOOGLETRANSLATE(A3426, ""nl"", ""en"")"),"Human Figures and Physicality")</f>
        <v>Human Figures and Physicality</v>
      </c>
      <c r="E3426" s="3" t="str">
        <f>IFERROR(__xludf.DUMMYFUNCTION("GOOGLETRANSLATE(B3426, ""nl"", ""en"")"),"A dancing silhouette")</f>
        <v>A dancing silhouette</v>
      </c>
    </row>
    <row r="3427" ht="15.75" customHeight="1">
      <c r="A3427" s="3" t="s">
        <v>12</v>
      </c>
      <c r="B3427" s="3" t="s">
        <v>18</v>
      </c>
      <c r="D3427" s="3" t="str">
        <f>IFERROR(__xludf.DUMMYFUNCTION("GOOGLETRANSLATE(A3427, ""nl"", ""en"")"),"Nature and Elements")</f>
        <v>Nature and Elements</v>
      </c>
      <c r="E3427" s="3" t="str">
        <f>IFERROR(__xludf.DUMMYFUNCTION("GOOGLETRANSLATE(B3427, ""nl"", ""en"")"),"A tree with endless branches")</f>
        <v>A tree with endless branches</v>
      </c>
    </row>
    <row r="3428" ht="15.75" customHeight="1">
      <c r="A3428" s="3" t="s">
        <v>24</v>
      </c>
      <c r="B3428" s="3" t="s">
        <v>33</v>
      </c>
      <c r="D3428" s="3" t="str">
        <f>IFERROR(__xludf.DUMMYFUNCTION("GOOGLETRANSLATE(A3428, ""nl"", ""en"")"),"Cosmic and Abstract Patterns")</f>
        <v>Cosmic and Abstract Patterns</v>
      </c>
      <c r="E3428" s="3" t="str">
        <f>IFERROR(__xludf.DUMMYFUNCTION("GOOGLETRANSLATE(B3428, ""nl"", ""en"")"),"An eye that repeats itself in endless patterns")</f>
        <v>An eye that repeats itself in endless patterns</v>
      </c>
    </row>
    <row r="3429" ht="15.75" customHeight="1">
      <c r="A3429" s="3" t="s">
        <v>7</v>
      </c>
      <c r="B3429" s="3" t="s">
        <v>53</v>
      </c>
      <c r="D3429" s="3" t="str">
        <f>IFERROR(__xludf.DUMMYFUNCTION("GOOGLETRANSLATE(A3429, ""nl"", ""en"")"),"Human Figures and Physicality")</f>
        <v>Human Figures and Physicality</v>
      </c>
      <c r="E3429" s="3" t="str">
        <f>IFERROR(__xludf.DUMMYFUNCTION("GOOGLETRANSLATE(B3429, ""nl"", ""en"")"),"A face that both smiles and cries")</f>
        <v>A face that both smiles and cries</v>
      </c>
    </row>
    <row r="3430" ht="15.75" customHeight="1">
      <c r="A3430" s="3" t="s">
        <v>7</v>
      </c>
      <c r="B3430" s="3" t="s">
        <v>41</v>
      </c>
      <c r="D3430" s="3" t="str">
        <f>IFERROR(__xludf.DUMMYFUNCTION("GOOGLETRANSLATE(A3430, ""nl"", ""en"")"),"Human Figures and Physicality")</f>
        <v>Human Figures and Physicality</v>
      </c>
      <c r="E3430" s="3" t="str">
        <f>IFERROR(__xludf.DUMMYFUNCTION("GOOGLETRANSLATE(B3430, ""nl"", ""en"")"),"A face that fades into abstraction")</f>
        <v>A face that fades into abstraction</v>
      </c>
    </row>
    <row r="3431" ht="15.75" customHeight="1">
      <c r="A3431" s="3" t="s">
        <v>9</v>
      </c>
      <c r="B3431" s="3" t="s">
        <v>49</v>
      </c>
      <c r="D3431" s="3" t="str">
        <f>IFERROR(__xludf.DUMMYFUNCTION("GOOGLETRANSLATE(A3431, ""nl"", ""en"")"),"Psychological and Emotional Interpretations")</f>
        <v>Psychological and Emotional Interpretations</v>
      </c>
      <c r="E3431" s="3" t="str">
        <f>IFERROR(__xludf.DUMMYFUNCTION("GOOGLETRANSLATE(B3431, ""nl"", ""en"")"),"A spiral that turns inward")</f>
        <v>A spiral that turns inward</v>
      </c>
    </row>
    <row r="3432" ht="15.75" customHeight="1">
      <c r="A3432" s="3" t="s">
        <v>15</v>
      </c>
      <c r="B3432" s="3" t="s">
        <v>52</v>
      </c>
      <c r="D3432" s="3" t="str">
        <f>IFERROR(__xludf.DUMMYFUNCTION("GOOGLETRANSLATE(A3432, ""nl"", ""en"")"),"Animals and Organic Forms")</f>
        <v>Animals and Organic Forms</v>
      </c>
      <c r="E3432" s="3" t="str">
        <f>IFERROR(__xludf.DUMMYFUNCTION("GOOGLETRANSLATE(B3432, ""nl"", ""en"")"),"A mask made of leaves")</f>
        <v>A mask made of leaves</v>
      </c>
    </row>
    <row r="3433" ht="15.75" customHeight="1">
      <c r="A3433" s="3" t="s">
        <v>9</v>
      </c>
      <c r="B3433" s="3" t="s">
        <v>37</v>
      </c>
      <c r="D3433" s="3" t="str">
        <f>IFERROR(__xludf.DUMMYFUNCTION("GOOGLETRANSLATE(A3433, ""nl"", ""en"")"),"Psychological and Emotional Interpretations")</f>
        <v>Psychological and Emotional Interpretations</v>
      </c>
      <c r="E3433" s="3" t="str">
        <f>IFERROR(__xludf.DUMMYFUNCTION("GOOGLETRANSLATE(B3433, ""nl"", ""en"")"),"A figure looking through itself")</f>
        <v>A figure looking through itself</v>
      </c>
    </row>
    <row r="3434" ht="15.75" customHeight="1">
      <c r="A3434" s="3" t="s">
        <v>4</v>
      </c>
      <c r="B3434" s="3" t="s">
        <v>55</v>
      </c>
      <c r="D3434" s="3" t="str">
        <f>IFERROR(__xludf.DUMMYFUNCTION("GOOGLETRANSLATE(A3434, ""nl"", ""en"")"),"Architectural and Structural Associations")</f>
        <v>Architectural and Structural Associations</v>
      </c>
      <c r="E3434" s="3" t="str">
        <f>IFERROR(__xludf.DUMMYFUNCTION("GOOGLETRANSLATE(B3434, ""nl"", ""en"")"),"A prism that splits light into colors")</f>
        <v>A prism that splits light into colors</v>
      </c>
    </row>
    <row r="3435" ht="15.75" customHeight="1">
      <c r="A3435" s="3" t="s">
        <v>24</v>
      </c>
      <c r="B3435" s="3" t="s">
        <v>29</v>
      </c>
      <c r="D3435" s="3" t="str">
        <f>IFERROR(__xludf.DUMMYFUNCTION("GOOGLETRANSLATE(A3435, ""nl"", ""en"")"),"Cosmic and Abstract Patterns")</f>
        <v>Cosmic and Abstract Patterns</v>
      </c>
      <c r="E3435" s="3" t="str">
        <f>IFERROR(__xludf.DUMMYFUNCTION("GOOGLETRANSLATE(B3435, ""nl"", ""en"")"),"A galaxy unfolding")</f>
        <v>A galaxy unfolding</v>
      </c>
    </row>
    <row r="3436" ht="15.75" customHeight="1">
      <c r="A3436" s="3" t="s">
        <v>9</v>
      </c>
      <c r="B3436" s="3" t="s">
        <v>11</v>
      </c>
      <c r="D3436" s="3" t="str">
        <f>IFERROR(__xludf.DUMMYFUNCTION("GOOGLETRANSLATE(A3436, ""nl"", ""en"")"),"Psychological and Emotional Interpretations")</f>
        <v>Psychological and Emotional Interpretations</v>
      </c>
      <c r="E3436" s="3" t="str">
        <f>IFERROR(__xludf.DUMMYFUNCTION("GOOGLETRANSLATE(B3436, ""nl"", ""en"")"),"An emotion captured in abstraction")</f>
        <v>An emotion captured in abstraction</v>
      </c>
    </row>
    <row r="3437" ht="15.75" customHeight="1">
      <c r="A3437" s="3" t="s">
        <v>4</v>
      </c>
      <c r="B3437" s="3" t="s">
        <v>43</v>
      </c>
      <c r="D3437" s="3" t="str">
        <f>IFERROR(__xludf.DUMMYFUNCTION("GOOGLETRANSLATE(A3437, ""nl"", ""en"")"),"Architectural and Structural Associations")</f>
        <v>Architectural and Structural Associations</v>
      </c>
      <c r="E3437" s="3" t="str">
        <f>IFERROR(__xludf.DUMMYFUNCTION("GOOGLETRANSLATE(B3437, ""nl"", ""en"")"),"A network of tunnels and passages")</f>
        <v>A network of tunnels and passages</v>
      </c>
    </row>
    <row r="3438" ht="15.75" customHeight="1">
      <c r="A3438" s="3" t="s">
        <v>24</v>
      </c>
      <c r="B3438" s="3" t="s">
        <v>25</v>
      </c>
      <c r="D3438" s="3" t="str">
        <f>IFERROR(__xludf.DUMMYFUNCTION("GOOGLETRANSLATE(A3438, ""nl"", ""en"")"),"Cosmic and Abstract Patterns")</f>
        <v>Cosmic and Abstract Patterns</v>
      </c>
      <c r="E3438" s="3" t="str">
        <f>IFERROR(__xludf.DUMMYFUNCTION("GOOGLETRANSLATE(B3438, ""nl"", ""en"")"),"A meteor shower dissolving into each other")</f>
        <v>A meteor shower dissolving into each other</v>
      </c>
    </row>
    <row r="3439" ht="15.75" customHeight="1">
      <c r="A3439" s="3" t="s">
        <v>7</v>
      </c>
      <c r="B3439" s="3" t="s">
        <v>41</v>
      </c>
      <c r="D3439" s="3" t="str">
        <f>IFERROR(__xludf.DUMMYFUNCTION("GOOGLETRANSLATE(A3439, ""nl"", ""en"")"),"Human Figures and Physicality")</f>
        <v>Human Figures and Physicality</v>
      </c>
      <c r="E3439" s="3" t="str">
        <f>IFERROR(__xludf.DUMMYFUNCTION("GOOGLETRANSLATE(B3439, ""nl"", ""en"")"),"A face that fades into abstraction")</f>
        <v>A face that fades into abstraction</v>
      </c>
    </row>
    <row r="3440" ht="15.75" customHeight="1">
      <c r="A3440" s="3" t="s">
        <v>9</v>
      </c>
      <c r="B3440" s="3" t="s">
        <v>11</v>
      </c>
      <c r="D3440" s="3" t="str">
        <f>IFERROR(__xludf.DUMMYFUNCTION("GOOGLETRANSLATE(A3440, ""nl"", ""en"")"),"Psychological and Emotional Interpretations")</f>
        <v>Psychological and Emotional Interpretations</v>
      </c>
      <c r="E3440" s="3" t="str">
        <f>IFERROR(__xludf.DUMMYFUNCTION("GOOGLETRANSLATE(B3440, ""nl"", ""en"")"),"An emotion captured in abstraction")</f>
        <v>An emotion captured in abstraction</v>
      </c>
    </row>
    <row r="3441" ht="15.75" customHeight="1">
      <c r="A3441" s="3" t="s">
        <v>12</v>
      </c>
      <c r="B3441" s="3" t="s">
        <v>13</v>
      </c>
      <c r="D3441" s="3" t="str">
        <f>IFERROR(__xludf.DUMMYFUNCTION("GOOGLETRANSLATE(A3441, ""nl"", ""en"")"),"Nature and Elements")</f>
        <v>Nature and Elements</v>
      </c>
      <c r="E3441" s="3" t="str">
        <f>IFERROR(__xludf.DUMMYFUNCTION("GOOGLETRANSLATE(B3441, ""nl"", ""en"")"),"A lightning strike in slow motion")</f>
        <v>A lightning strike in slow motion</v>
      </c>
    </row>
    <row r="3442" ht="15.75" customHeight="1">
      <c r="A3442" s="3" t="s">
        <v>4</v>
      </c>
      <c r="B3442" s="3" t="s">
        <v>6</v>
      </c>
      <c r="D3442" s="3" t="str">
        <f>IFERROR(__xludf.DUMMYFUNCTION("GOOGLETRANSLATE(A3442, ""nl"", ""en"")"),"Architectural and Structural Associations")</f>
        <v>Architectural and Structural Associations</v>
      </c>
      <c r="E3442" s="3" t="str">
        <f>IFERROR(__xludf.DUMMYFUNCTION("GOOGLETRANSLATE(B3442, ""nl"", ""en"")"),"An endless labyrinth")</f>
        <v>An endless labyrinth</v>
      </c>
    </row>
    <row r="3443" ht="15.75" customHeight="1">
      <c r="A3443" s="3" t="s">
        <v>24</v>
      </c>
      <c r="B3443" s="3" t="s">
        <v>31</v>
      </c>
      <c r="D3443" s="3" t="str">
        <f>IFERROR(__xludf.DUMMYFUNCTION("GOOGLETRANSLATE(A3443, ""nl"", ""en"")"),"Cosmic and Abstract Patterns")</f>
        <v>Cosmic and Abstract Patterns</v>
      </c>
      <c r="E3443" s="3" t="str">
        <f>IFERROR(__xludf.DUMMYFUNCTION("GOOGLETRANSLATE(B3443, ""nl"", ""en"")"),"A planet with unusual rings")</f>
        <v>A planet with unusual rings</v>
      </c>
    </row>
    <row r="3444" ht="15.75" customHeight="1">
      <c r="A3444" s="3" t="s">
        <v>7</v>
      </c>
      <c r="B3444" s="3" t="s">
        <v>34</v>
      </c>
      <c r="D3444" s="3" t="str">
        <f>IFERROR(__xludf.DUMMYFUNCTION("GOOGLETRANSLATE(A3444, ""nl"", ""en"")"),"Human Figures and Physicality")</f>
        <v>Human Figures and Physicality</v>
      </c>
      <c r="E3444" s="3" t="str">
        <f>IFERROR(__xludf.DUMMYFUNCTION("GOOGLETRANSLATE(B3444, ""nl"", ""en"")"),"Hands almost touching")</f>
        <v>Hands almost touching</v>
      </c>
    </row>
    <row r="3445" ht="15.75" customHeight="1">
      <c r="A3445" s="3" t="s">
        <v>24</v>
      </c>
      <c r="B3445" s="3" t="s">
        <v>33</v>
      </c>
      <c r="D3445" s="3" t="str">
        <f>IFERROR(__xludf.DUMMYFUNCTION("GOOGLETRANSLATE(A3445, ""nl"", ""en"")"),"Cosmic and Abstract Patterns")</f>
        <v>Cosmic and Abstract Patterns</v>
      </c>
      <c r="E3445" s="3" t="str">
        <f>IFERROR(__xludf.DUMMYFUNCTION("GOOGLETRANSLATE(B3445, ""nl"", ""en"")"),"An eye that repeats itself in endless patterns")</f>
        <v>An eye that repeats itself in endless patterns</v>
      </c>
    </row>
    <row r="3446" ht="15.75" customHeight="1">
      <c r="A3446" s="3" t="s">
        <v>7</v>
      </c>
      <c r="B3446" s="3" t="s">
        <v>53</v>
      </c>
      <c r="D3446" s="3" t="str">
        <f>IFERROR(__xludf.DUMMYFUNCTION("GOOGLETRANSLATE(A3446, ""nl"", ""en"")"),"Human Figures and Physicality")</f>
        <v>Human Figures and Physicality</v>
      </c>
      <c r="E3446" s="3" t="str">
        <f>IFERROR(__xludf.DUMMYFUNCTION("GOOGLETRANSLATE(B3446, ""nl"", ""en"")"),"A face that both smiles and cries")</f>
        <v>A face that both smiles and cries</v>
      </c>
    </row>
    <row r="3447" ht="15.75" customHeight="1">
      <c r="A3447" s="3" t="s">
        <v>9</v>
      </c>
      <c r="B3447" s="3" t="s">
        <v>49</v>
      </c>
      <c r="D3447" s="3" t="str">
        <f>IFERROR(__xludf.DUMMYFUNCTION("GOOGLETRANSLATE(A3447, ""nl"", ""en"")"),"Psychological and Emotional Interpretations")</f>
        <v>Psychological and Emotional Interpretations</v>
      </c>
      <c r="E3447" s="3" t="str">
        <f>IFERROR(__xludf.DUMMYFUNCTION("GOOGLETRANSLATE(B3447, ""nl"", ""en"")"),"A spiral that turns inward")</f>
        <v>A spiral that turns inward</v>
      </c>
    </row>
    <row r="3448" ht="15.75" customHeight="1">
      <c r="A3448" s="3" t="s">
        <v>15</v>
      </c>
      <c r="B3448" s="3" t="s">
        <v>16</v>
      </c>
      <c r="D3448" s="3" t="str">
        <f>IFERROR(__xludf.DUMMYFUNCTION("GOOGLETRANSLATE(A3448, ""nl"", ""en"")"),"Animals and Organic Forms")</f>
        <v>Animals and Organic Forms</v>
      </c>
      <c r="E3448" s="3" t="str">
        <f>IFERROR(__xludf.DUMMYFUNCTION("GOOGLETRANSLATE(B3448, ""nl"", ""en"")"),"A butterfly in transformation")</f>
        <v>A butterfly in transformation</v>
      </c>
    </row>
    <row r="3449" ht="15.75" customHeight="1">
      <c r="A3449" s="3" t="s">
        <v>12</v>
      </c>
      <c r="B3449" s="3" t="s">
        <v>47</v>
      </c>
      <c r="D3449" s="3" t="str">
        <f>IFERROR(__xludf.DUMMYFUNCTION("GOOGLETRANSLATE(A3449, ""nl"", ""en"")"),"Nature and Elements")</f>
        <v>Nature and Elements</v>
      </c>
      <c r="E3449" s="3" t="str">
        <f>IFERROR(__xludf.DUMMYFUNCTION("GOOGLETRANSLATE(B3449, ""nl"", ""en"")"),"A desert landscape that slowly changes")</f>
        <v>A desert landscape that slowly changes</v>
      </c>
    </row>
    <row r="3450" ht="15.75" customHeight="1">
      <c r="A3450" s="3" t="s">
        <v>12</v>
      </c>
      <c r="B3450" s="3" t="s">
        <v>23</v>
      </c>
      <c r="D3450" s="3" t="str">
        <f>IFERROR(__xludf.DUMMYFUNCTION("GOOGLETRANSLATE(A3450, ""nl"", ""en"")"),"Nature and Elements")</f>
        <v>Nature and Elements</v>
      </c>
      <c r="E3450" s="3" t="str">
        <f>IFERROR(__xludf.DUMMYFUNCTION("GOOGLETRANSLATE(B3450, ""nl"", ""en"")"),"A storm cloud splitting in two")</f>
        <v>A storm cloud splitting in two</v>
      </c>
    </row>
    <row r="3451" ht="15.75" customHeight="1">
      <c r="A3451" s="3" t="s">
        <v>7</v>
      </c>
      <c r="B3451" s="3" t="s">
        <v>53</v>
      </c>
      <c r="D3451" s="3" t="str">
        <f>IFERROR(__xludf.DUMMYFUNCTION("GOOGLETRANSLATE(A3451, ""nl"", ""en"")"),"Human Figures and Physicality")</f>
        <v>Human Figures and Physicality</v>
      </c>
      <c r="E3451" s="3" t="str">
        <f>IFERROR(__xludf.DUMMYFUNCTION("GOOGLETRANSLATE(B3451, ""nl"", ""en"")"),"A face that both smiles and cries")</f>
        <v>A face that both smiles and cries</v>
      </c>
    </row>
    <row r="3452" ht="15.75" customHeight="1">
      <c r="A3452" s="3" t="s">
        <v>15</v>
      </c>
      <c r="B3452" s="3" t="s">
        <v>38</v>
      </c>
      <c r="D3452" s="3" t="str">
        <f>IFERROR(__xludf.DUMMYFUNCTION("GOOGLETRANSLATE(A3452, ""nl"", ""en"")"),"Animals and Organic Forms")</f>
        <v>Animals and Organic Forms</v>
      </c>
      <c r="E3452" s="3" t="str">
        <f>IFERROR(__xludf.DUMMYFUNCTION("GOOGLETRANSLATE(B3452, ""nl"", ""en"")"),"A lion with an open mouth")</f>
        <v>A lion with an open mouth</v>
      </c>
    </row>
    <row r="3453" ht="15.75" customHeight="1">
      <c r="A3453" s="3" t="s">
        <v>12</v>
      </c>
      <c r="B3453" s="3" t="s">
        <v>30</v>
      </c>
      <c r="D3453" s="3" t="str">
        <f>IFERROR(__xludf.DUMMYFUNCTION("GOOGLETRANSLATE(A3453, ""nl"", ""en"")"),"Nature and Elements")</f>
        <v>Nature and Elements</v>
      </c>
      <c r="E3453" s="3" t="str">
        <f>IFERROR(__xludf.DUMMYFUNCTION("GOOGLETRANSLATE(B3453, ""nl"", ""en"")"),"Waves breaking in fractal patterns")</f>
        <v>Waves breaking in fractal patterns</v>
      </c>
    </row>
    <row r="3454" ht="15.75" customHeight="1">
      <c r="A3454" s="3" t="s">
        <v>4</v>
      </c>
      <c r="B3454" s="3" t="s">
        <v>55</v>
      </c>
      <c r="D3454" s="3" t="str">
        <f>IFERROR(__xludf.DUMMYFUNCTION("GOOGLETRANSLATE(A3454, ""nl"", ""en"")"),"Architectural and Structural Associations")</f>
        <v>Architectural and Structural Associations</v>
      </c>
      <c r="E3454" s="3" t="str">
        <f>IFERROR(__xludf.DUMMYFUNCTION("GOOGLETRANSLATE(B3454, ""nl"", ""en"")"),"A prism that splits light into colors")</f>
        <v>A prism that splits light into colors</v>
      </c>
    </row>
    <row r="3455" ht="15.75" customHeight="1">
      <c r="A3455" s="3" t="s">
        <v>15</v>
      </c>
      <c r="B3455" s="3" t="s">
        <v>46</v>
      </c>
      <c r="D3455" s="3" t="str">
        <f>IFERROR(__xludf.DUMMYFUNCTION("GOOGLETRANSLATE(A3455, ""nl"", ""en"")"),"Animals and Organic Forms")</f>
        <v>Animals and Organic Forms</v>
      </c>
      <c r="E3455" s="3" t="str">
        <f>IFERROR(__xludf.DUMMYFUNCTION("GOOGLETRANSLATE(B3455, ""nl"", ""en"")"),"A flock of fish moving as one")</f>
        <v>A flock of fish moving as one</v>
      </c>
    </row>
    <row r="3456" ht="15.75" customHeight="1">
      <c r="A3456" s="3" t="s">
        <v>12</v>
      </c>
      <c r="B3456" s="3" t="s">
        <v>47</v>
      </c>
      <c r="D3456" s="3" t="str">
        <f>IFERROR(__xludf.DUMMYFUNCTION("GOOGLETRANSLATE(A3456, ""nl"", ""en"")"),"Nature and Elements")</f>
        <v>Nature and Elements</v>
      </c>
      <c r="E3456" s="3" t="str">
        <f>IFERROR(__xludf.DUMMYFUNCTION("GOOGLETRANSLATE(B3456, ""nl"", ""en"")"),"A desert landscape that slowly changes")</f>
        <v>A desert landscape that slowly changes</v>
      </c>
    </row>
    <row r="3457" ht="15.75" customHeight="1">
      <c r="A3457" s="3" t="s">
        <v>15</v>
      </c>
      <c r="B3457" s="3" t="s">
        <v>26</v>
      </c>
      <c r="D3457" s="3" t="str">
        <f>IFERROR(__xludf.DUMMYFUNCTION("GOOGLETRANSLATE(A3457, ""nl"", ""en"")"),"Animals and Organic Forms")</f>
        <v>Animals and Organic Forms</v>
      </c>
      <c r="E3457" s="3" t="str">
        <f>IFERROR(__xludf.DUMMYFUNCTION("GOOGLETRANSLATE(B3457, ""nl"", ""en"")"),"A frog preparing to jump")</f>
        <v>A frog preparing to jump</v>
      </c>
    </row>
    <row r="3458" ht="15.75" customHeight="1">
      <c r="A3458" s="3" t="s">
        <v>12</v>
      </c>
      <c r="B3458" s="3" t="s">
        <v>13</v>
      </c>
      <c r="D3458" s="3" t="str">
        <f>IFERROR(__xludf.DUMMYFUNCTION("GOOGLETRANSLATE(A3458, ""nl"", ""en"")"),"Nature and Elements")</f>
        <v>Nature and Elements</v>
      </c>
      <c r="E3458" s="3" t="str">
        <f>IFERROR(__xludf.DUMMYFUNCTION("GOOGLETRANSLATE(B3458, ""nl"", ""en"")"),"A lightning strike in slow motion")</f>
        <v>A lightning strike in slow motion</v>
      </c>
    </row>
    <row r="3459" ht="15.75" customHeight="1">
      <c r="A3459" s="3" t="s">
        <v>15</v>
      </c>
      <c r="B3459" s="3" t="s">
        <v>26</v>
      </c>
      <c r="D3459" s="3" t="str">
        <f>IFERROR(__xludf.DUMMYFUNCTION("GOOGLETRANSLATE(A3459, ""nl"", ""en"")"),"Animals and Organic Forms")</f>
        <v>Animals and Organic Forms</v>
      </c>
      <c r="E3459" s="3" t="str">
        <f>IFERROR(__xludf.DUMMYFUNCTION("GOOGLETRANSLATE(B3459, ""nl"", ""en"")"),"A frog preparing to jump")</f>
        <v>A frog preparing to jump</v>
      </c>
    </row>
    <row r="3460" ht="15.75" customHeight="1">
      <c r="A3460" s="3" t="s">
        <v>15</v>
      </c>
      <c r="B3460" s="3" t="s">
        <v>22</v>
      </c>
      <c r="D3460" s="3" t="str">
        <f>IFERROR(__xludf.DUMMYFUNCTION("GOOGLETRANSLATE(A3460, ""nl"", ""en"")"),"Animals and Organic Forms")</f>
        <v>Animals and Organic Forms</v>
      </c>
      <c r="E3460" s="3" t="str">
        <f>IFERROR(__xludf.DUMMYFUNCTION("GOOGLETRANSLATE(B3460, ""nl"", ""en"")"),"A bird taking off")</f>
        <v>A bird taking off</v>
      </c>
    </row>
    <row r="3461" ht="15.75" customHeight="1">
      <c r="A3461" s="3" t="s">
        <v>12</v>
      </c>
      <c r="B3461" s="3" t="s">
        <v>51</v>
      </c>
      <c r="D3461" s="3" t="str">
        <f>IFERROR(__xludf.DUMMYFUNCTION("GOOGLETRANSLATE(A3461, ""nl"", ""en"")"),"Nature and Elements")</f>
        <v>Nature and Elements</v>
      </c>
      <c r="E3461" s="3" t="str">
        <f>IFERROR(__xludf.DUMMYFUNCTION("GOOGLETRANSLATE(B3461, ""nl"", ""en"")"),"An evaporating puddle of water")</f>
        <v>An evaporating puddle of water</v>
      </c>
    </row>
    <row r="3462" ht="15.75" customHeight="1">
      <c r="A3462" s="3" t="s">
        <v>15</v>
      </c>
      <c r="B3462" s="3" t="s">
        <v>46</v>
      </c>
      <c r="D3462" s="3" t="str">
        <f>IFERROR(__xludf.DUMMYFUNCTION("GOOGLETRANSLATE(A3462, ""nl"", ""en"")"),"Animals and Organic Forms")</f>
        <v>Animals and Organic Forms</v>
      </c>
      <c r="E3462" s="3" t="str">
        <f>IFERROR(__xludf.DUMMYFUNCTION("GOOGLETRANSLATE(B3462, ""nl"", ""en"")"),"A flock of fish moving as one")</f>
        <v>A flock of fish moving as one</v>
      </c>
    </row>
    <row r="3463" ht="15.75" customHeight="1">
      <c r="A3463" s="3" t="s">
        <v>4</v>
      </c>
      <c r="B3463" s="3" t="s">
        <v>35</v>
      </c>
      <c r="D3463" s="3" t="str">
        <f>IFERROR(__xludf.DUMMYFUNCTION("GOOGLETRANSLATE(A3463, ""nl"", ""en"")"),"Architectural and Structural Associations")</f>
        <v>Architectural and Structural Associations</v>
      </c>
      <c r="E3463" s="3" t="str">
        <f>IFERROR(__xludf.DUMMYFUNCTION("GOOGLETRANSLATE(B3463, ""nl"", ""en"")"),"A floating building without a base")</f>
        <v>A floating building without a base</v>
      </c>
    </row>
    <row r="3464" ht="15.75" customHeight="1">
      <c r="A3464" s="3" t="s">
        <v>24</v>
      </c>
      <c r="B3464" s="3" t="s">
        <v>27</v>
      </c>
      <c r="D3464" s="3" t="str">
        <f>IFERROR(__xludf.DUMMYFUNCTION("GOOGLETRANSLATE(A3464, ""nl"", ""en"")"),"Cosmic and Abstract Patterns")</f>
        <v>Cosmic and Abstract Patterns</v>
      </c>
      <c r="E3464" s="3" t="str">
        <f>IFERROR(__xludf.DUMMYFUNCTION("GOOGLETRANSLATE(B3464, ""nl"", ""en"")"),"A pair of black holes in dance")</f>
        <v>A pair of black holes in dance</v>
      </c>
    </row>
    <row r="3465" ht="15.75" customHeight="1">
      <c r="A3465" s="3" t="s">
        <v>15</v>
      </c>
      <c r="B3465" s="3" t="s">
        <v>46</v>
      </c>
      <c r="D3465" s="3" t="str">
        <f>IFERROR(__xludf.DUMMYFUNCTION("GOOGLETRANSLATE(A3465, ""nl"", ""en"")"),"Animals and Organic Forms")</f>
        <v>Animals and Organic Forms</v>
      </c>
      <c r="E3465" s="3" t="str">
        <f>IFERROR(__xludf.DUMMYFUNCTION("GOOGLETRANSLATE(B3465, ""nl"", ""en"")"),"A flock of fish moving as one")</f>
        <v>A flock of fish moving as one</v>
      </c>
    </row>
    <row r="3466" ht="15.75" customHeight="1">
      <c r="A3466" s="3" t="s">
        <v>4</v>
      </c>
      <c r="B3466" s="3" t="s">
        <v>55</v>
      </c>
      <c r="D3466" s="3" t="str">
        <f>IFERROR(__xludf.DUMMYFUNCTION("GOOGLETRANSLATE(A3466, ""nl"", ""en"")"),"Architectural and Structural Associations")</f>
        <v>Architectural and Structural Associations</v>
      </c>
      <c r="E3466" s="3" t="str">
        <f>IFERROR(__xludf.DUMMYFUNCTION("GOOGLETRANSLATE(B3466, ""nl"", ""en"")"),"A prism that splits light into colors")</f>
        <v>A prism that splits light into colors</v>
      </c>
    </row>
    <row r="3467" ht="15.75" customHeight="1">
      <c r="A3467" s="3" t="s">
        <v>15</v>
      </c>
      <c r="B3467" s="3" t="s">
        <v>26</v>
      </c>
      <c r="D3467" s="3" t="str">
        <f>IFERROR(__xludf.DUMMYFUNCTION("GOOGLETRANSLATE(A3467, ""nl"", ""en"")"),"Animals and Organic Forms")</f>
        <v>Animals and Organic Forms</v>
      </c>
      <c r="E3467" s="3" t="str">
        <f>IFERROR(__xludf.DUMMYFUNCTION("GOOGLETRANSLATE(B3467, ""nl"", ""en"")"),"A frog preparing to jump")</f>
        <v>A frog preparing to jump</v>
      </c>
    </row>
    <row r="3468" ht="15.75" customHeight="1">
      <c r="A3468" s="3" t="s">
        <v>15</v>
      </c>
      <c r="B3468" s="3" t="s">
        <v>16</v>
      </c>
      <c r="D3468" s="3" t="str">
        <f>IFERROR(__xludf.DUMMYFUNCTION("GOOGLETRANSLATE(A3468, ""nl"", ""en"")"),"Animals and Organic Forms")</f>
        <v>Animals and Organic Forms</v>
      </c>
      <c r="E3468" s="3" t="str">
        <f>IFERROR(__xludf.DUMMYFUNCTION("GOOGLETRANSLATE(B3468, ""nl"", ""en"")"),"A butterfly in transformation")</f>
        <v>A butterfly in transformation</v>
      </c>
    </row>
    <row r="3469" ht="15.75" customHeight="1">
      <c r="A3469" s="3" t="s">
        <v>12</v>
      </c>
      <c r="B3469" s="3" t="s">
        <v>23</v>
      </c>
      <c r="D3469" s="3" t="str">
        <f>IFERROR(__xludf.DUMMYFUNCTION("GOOGLETRANSLATE(A3469, ""nl"", ""en"")"),"Nature and Elements")</f>
        <v>Nature and Elements</v>
      </c>
      <c r="E3469" s="3" t="str">
        <f>IFERROR(__xludf.DUMMYFUNCTION("GOOGLETRANSLATE(B3469, ""nl"", ""en"")"),"A storm cloud splitting in two")</f>
        <v>A storm cloud splitting in two</v>
      </c>
    </row>
    <row r="3470" ht="15.75" customHeight="1">
      <c r="A3470" s="3" t="s">
        <v>24</v>
      </c>
      <c r="B3470" s="3" t="s">
        <v>31</v>
      </c>
      <c r="D3470" s="3" t="str">
        <f>IFERROR(__xludf.DUMMYFUNCTION("GOOGLETRANSLATE(A3470, ""nl"", ""en"")"),"Cosmic and Abstract Patterns")</f>
        <v>Cosmic and Abstract Patterns</v>
      </c>
      <c r="E3470" s="3" t="str">
        <f>IFERROR(__xludf.DUMMYFUNCTION("GOOGLETRANSLATE(B3470, ""nl"", ""en"")"),"A planet with unusual rings")</f>
        <v>A planet with unusual rings</v>
      </c>
    </row>
    <row r="3471" ht="15.75" customHeight="1">
      <c r="A3471" s="3" t="s">
        <v>4</v>
      </c>
      <c r="B3471" s="3" t="s">
        <v>20</v>
      </c>
      <c r="D3471" s="3" t="str">
        <f>IFERROR(__xludf.DUMMYFUNCTION("GOOGLETRANSLATE(A3471, ""nl"", ""en"")"),"Architectural and Structural Associations")</f>
        <v>Architectural and Structural Associations</v>
      </c>
      <c r="E3471" s="3" t="str">
        <f>IFERROR(__xludf.DUMMYFUNCTION("GOOGLETRANSLATE(B3471, ""nl"", ""en"")"),"A tower that grows by itself")</f>
        <v>A tower that grows by itself</v>
      </c>
    </row>
    <row r="3472" ht="15.75" customHeight="1">
      <c r="A3472" s="3" t="s">
        <v>12</v>
      </c>
      <c r="B3472" s="3" t="s">
        <v>30</v>
      </c>
      <c r="D3472" s="3" t="str">
        <f>IFERROR(__xludf.DUMMYFUNCTION("GOOGLETRANSLATE(A3472, ""nl"", ""en"")"),"Nature and Elements")</f>
        <v>Nature and Elements</v>
      </c>
      <c r="E3472" s="3" t="str">
        <f>IFERROR(__xludf.DUMMYFUNCTION("GOOGLETRANSLATE(B3472, ""nl"", ""en"")"),"Waves breaking in fractal patterns")</f>
        <v>Waves breaking in fractal patterns</v>
      </c>
    </row>
    <row r="3473" ht="15.75" customHeight="1">
      <c r="A3473" s="3" t="s">
        <v>4</v>
      </c>
      <c r="B3473" s="3" t="s">
        <v>20</v>
      </c>
      <c r="D3473" s="3" t="str">
        <f>IFERROR(__xludf.DUMMYFUNCTION("GOOGLETRANSLATE(A3473, ""nl"", ""en"")"),"Architectural and Structural Associations")</f>
        <v>Architectural and Structural Associations</v>
      </c>
      <c r="E3473" s="3" t="str">
        <f>IFERROR(__xludf.DUMMYFUNCTION("GOOGLETRANSLATE(B3473, ""nl"", ""en"")"),"A tower that grows by itself")</f>
        <v>A tower that grows by itself</v>
      </c>
    </row>
    <row r="3474" ht="15.75" customHeight="1">
      <c r="A3474" s="3" t="s">
        <v>4</v>
      </c>
      <c r="B3474" s="3" t="s">
        <v>43</v>
      </c>
      <c r="D3474" s="3" t="str">
        <f>IFERROR(__xludf.DUMMYFUNCTION("GOOGLETRANSLATE(A3474, ""nl"", ""en"")"),"Architectural and Structural Associations")</f>
        <v>Architectural and Structural Associations</v>
      </c>
      <c r="E3474" s="3" t="str">
        <f>IFERROR(__xludf.DUMMYFUNCTION("GOOGLETRANSLATE(B3474, ""nl"", ""en"")"),"A network of tunnels and passages")</f>
        <v>A network of tunnels and passages</v>
      </c>
    </row>
    <row r="3475" ht="15.75" customHeight="1">
      <c r="A3475" s="3" t="s">
        <v>9</v>
      </c>
      <c r="B3475" s="3" t="s">
        <v>14</v>
      </c>
      <c r="D3475" s="3" t="str">
        <f>IFERROR(__xludf.DUMMYFUNCTION("GOOGLETRANSLATE(A3475, ""nl"", ""en"")"),"Psychological and Emotional Interpretations")</f>
        <v>Psychological and Emotional Interpretations</v>
      </c>
      <c r="E3475" s="3" t="str">
        <f>IFERROR(__xludf.DUMMYFUNCTION("GOOGLETRANSLATE(B3475, ""nl"", ""en"")"),"An unclear hug")</f>
        <v>An unclear hug</v>
      </c>
    </row>
    <row r="3476" ht="15.75" customHeight="1">
      <c r="A3476" s="3" t="s">
        <v>4</v>
      </c>
      <c r="B3476" s="3" t="s">
        <v>43</v>
      </c>
      <c r="D3476" s="3" t="str">
        <f>IFERROR(__xludf.DUMMYFUNCTION("GOOGLETRANSLATE(A3476, ""nl"", ""en"")"),"Architectural and Structural Associations")</f>
        <v>Architectural and Structural Associations</v>
      </c>
      <c r="E3476" s="3" t="str">
        <f>IFERROR(__xludf.DUMMYFUNCTION("GOOGLETRANSLATE(B3476, ""nl"", ""en"")"),"A network of tunnels and passages")</f>
        <v>A network of tunnels and passages</v>
      </c>
    </row>
    <row r="3477" ht="15.75" customHeight="1">
      <c r="A3477" s="3" t="s">
        <v>9</v>
      </c>
      <c r="B3477" s="3" t="s">
        <v>42</v>
      </c>
      <c r="D3477" s="3" t="str">
        <f>IFERROR(__xludf.DUMMYFUNCTION("GOOGLETRANSLATE(A3477, ""nl"", ""en"")"),"Psychological and Emotional Interpretations")</f>
        <v>Psychological and Emotional Interpretations</v>
      </c>
      <c r="E3477" s="3" t="str">
        <f>IFERROR(__xludf.DUMMYFUNCTION("GOOGLETRANSLATE(B3477, ""nl"", ""en"")"),"A mask that slowly disappears")</f>
        <v>A mask that slowly disappears</v>
      </c>
    </row>
    <row r="3478" ht="15.75" customHeight="1">
      <c r="A3478" s="3" t="s">
        <v>15</v>
      </c>
      <c r="B3478" s="3" t="s">
        <v>46</v>
      </c>
      <c r="D3478" s="3" t="str">
        <f>IFERROR(__xludf.DUMMYFUNCTION("GOOGLETRANSLATE(A3478, ""nl"", ""en"")"),"Animals and Organic Forms")</f>
        <v>Animals and Organic Forms</v>
      </c>
      <c r="E3478" s="3" t="str">
        <f>IFERROR(__xludf.DUMMYFUNCTION("GOOGLETRANSLATE(B3478, ""nl"", ""en"")"),"A flock of fish moving as one")</f>
        <v>A flock of fish moving as one</v>
      </c>
    </row>
    <row r="3479" ht="15.75" customHeight="1">
      <c r="A3479" s="3" t="s">
        <v>7</v>
      </c>
      <c r="B3479" s="3" t="s">
        <v>53</v>
      </c>
      <c r="D3479" s="3" t="str">
        <f>IFERROR(__xludf.DUMMYFUNCTION("GOOGLETRANSLATE(A3479, ""nl"", ""en"")"),"Human Figures and Physicality")</f>
        <v>Human Figures and Physicality</v>
      </c>
      <c r="E3479" s="3" t="str">
        <f>IFERROR(__xludf.DUMMYFUNCTION("GOOGLETRANSLATE(B3479, ""nl"", ""en"")"),"A face that both smiles and cries")</f>
        <v>A face that both smiles and cries</v>
      </c>
    </row>
    <row r="3480" ht="15.75" customHeight="1">
      <c r="A3480" s="3" t="s">
        <v>24</v>
      </c>
      <c r="B3480" s="3" t="s">
        <v>31</v>
      </c>
      <c r="D3480" s="3" t="str">
        <f>IFERROR(__xludf.DUMMYFUNCTION("GOOGLETRANSLATE(A3480, ""nl"", ""en"")"),"Cosmic and Abstract Patterns")</f>
        <v>Cosmic and Abstract Patterns</v>
      </c>
      <c r="E3480" s="3" t="str">
        <f>IFERROR(__xludf.DUMMYFUNCTION("GOOGLETRANSLATE(B3480, ""nl"", ""en"")"),"A planet with unusual rings")</f>
        <v>A planet with unusual rings</v>
      </c>
    </row>
    <row r="3481" ht="15.75" customHeight="1">
      <c r="A3481" s="3" t="s">
        <v>15</v>
      </c>
      <c r="B3481" s="3" t="s">
        <v>46</v>
      </c>
      <c r="D3481" s="3" t="str">
        <f>IFERROR(__xludf.DUMMYFUNCTION("GOOGLETRANSLATE(A3481, ""nl"", ""en"")"),"Animals and Organic Forms")</f>
        <v>Animals and Organic Forms</v>
      </c>
      <c r="E3481" s="3" t="str">
        <f>IFERROR(__xludf.DUMMYFUNCTION("GOOGLETRANSLATE(B3481, ""nl"", ""en"")"),"A flock of fish moving as one")</f>
        <v>A flock of fish moving as one</v>
      </c>
    </row>
    <row r="3482" ht="15.75" customHeight="1">
      <c r="A3482" s="3" t="s">
        <v>7</v>
      </c>
      <c r="B3482" s="3" t="s">
        <v>39</v>
      </c>
      <c r="D3482" s="3" t="str">
        <f>IFERROR(__xludf.DUMMYFUNCTION("GOOGLETRANSLATE(A3482, ""nl"", ""en"")"),"Human Figures and Physicality")</f>
        <v>Human Figures and Physicality</v>
      </c>
      <c r="E3482" s="3" t="str">
        <f>IFERROR(__xludf.DUMMYFUNCTION("GOOGLETRANSLATE(B3482, ""nl"", ""en"")"),"A torso without a head")</f>
        <v>A torso without a head</v>
      </c>
    </row>
    <row r="3483" ht="15.75" customHeight="1">
      <c r="A3483" s="3" t="s">
        <v>7</v>
      </c>
      <c r="B3483" s="3" t="s">
        <v>8</v>
      </c>
      <c r="D3483" s="3" t="str">
        <f>IFERROR(__xludf.DUMMYFUNCTION("GOOGLETRANSLATE(A3483, ""nl"", ""en"")"),"Human Figures and Physicality")</f>
        <v>Human Figures and Physicality</v>
      </c>
      <c r="E3483" s="3" t="str">
        <f>IFERROR(__xludf.DUMMYFUNCTION("GOOGLETRANSLATE(B3483, ""nl"", ""en"")"),"Two figures mirroring each other")</f>
        <v>Two figures mirroring each other</v>
      </c>
    </row>
    <row r="3484" ht="15.75" customHeight="1">
      <c r="A3484" s="3" t="s">
        <v>9</v>
      </c>
      <c r="B3484" s="3" t="s">
        <v>14</v>
      </c>
      <c r="D3484" s="3" t="str">
        <f>IFERROR(__xludf.DUMMYFUNCTION("GOOGLETRANSLATE(A3484, ""nl"", ""en"")"),"Psychological and Emotional Interpretations")</f>
        <v>Psychological and Emotional Interpretations</v>
      </c>
      <c r="E3484" s="3" t="str">
        <f>IFERROR(__xludf.DUMMYFUNCTION("GOOGLETRANSLATE(B3484, ""nl"", ""en"")"),"An unclear hug")</f>
        <v>An unclear hug</v>
      </c>
    </row>
    <row r="3485" ht="15.75" customHeight="1">
      <c r="A3485" s="3" t="s">
        <v>12</v>
      </c>
      <c r="B3485" s="3" t="s">
        <v>47</v>
      </c>
      <c r="D3485" s="3" t="str">
        <f>IFERROR(__xludf.DUMMYFUNCTION("GOOGLETRANSLATE(A3485, ""nl"", ""en"")"),"Nature and Elements")</f>
        <v>Nature and Elements</v>
      </c>
      <c r="E3485" s="3" t="str">
        <f>IFERROR(__xludf.DUMMYFUNCTION("GOOGLETRANSLATE(B3485, ""nl"", ""en"")"),"A desert landscape that slowly changes")</f>
        <v>A desert landscape that slowly changes</v>
      </c>
    </row>
    <row r="3486" ht="15.75" customHeight="1">
      <c r="A3486" s="3" t="s">
        <v>15</v>
      </c>
      <c r="B3486" s="3" t="s">
        <v>46</v>
      </c>
      <c r="D3486" s="3" t="str">
        <f>IFERROR(__xludf.DUMMYFUNCTION("GOOGLETRANSLATE(A3486, ""nl"", ""en"")"),"Animals and Organic Forms")</f>
        <v>Animals and Organic Forms</v>
      </c>
      <c r="E3486" s="3" t="str">
        <f>IFERROR(__xludf.DUMMYFUNCTION("GOOGLETRANSLATE(B3486, ""nl"", ""en"")"),"A flock of fish moving as one")</f>
        <v>A flock of fish moving as one</v>
      </c>
    </row>
    <row r="3487" ht="15.75" customHeight="1">
      <c r="A3487" s="3" t="s">
        <v>24</v>
      </c>
      <c r="B3487" s="3" t="s">
        <v>48</v>
      </c>
      <c r="D3487" s="3" t="str">
        <f>IFERROR(__xludf.DUMMYFUNCTION("GOOGLETRANSLATE(A3487, ""nl"", ""en"")"),"Cosmic and Abstract Patterns")</f>
        <v>Cosmic and Abstract Patterns</v>
      </c>
      <c r="E3487" s="3" t="str">
        <f>IFERROR(__xludf.DUMMYFUNCTION("GOOGLETRANSLATE(B3487, ""nl"", ""en"")"),"A fractal that repeats itself")</f>
        <v>A fractal that repeats itself</v>
      </c>
    </row>
    <row r="3488" ht="15.75" customHeight="1">
      <c r="A3488" s="3" t="s">
        <v>15</v>
      </c>
      <c r="B3488" s="3" t="s">
        <v>26</v>
      </c>
      <c r="D3488" s="3" t="str">
        <f>IFERROR(__xludf.DUMMYFUNCTION("GOOGLETRANSLATE(A3488, ""nl"", ""en"")"),"Animals and Organic Forms")</f>
        <v>Animals and Organic Forms</v>
      </c>
      <c r="E3488" s="3" t="str">
        <f>IFERROR(__xludf.DUMMYFUNCTION("GOOGLETRANSLATE(B3488, ""nl"", ""en"")"),"A frog preparing to jump")</f>
        <v>A frog preparing to jump</v>
      </c>
    </row>
    <row r="3489" ht="15.75" customHeight="1">
      <c r="A3489" s="3" t="s">
        <v>9</v>
      </c>
      <c r="B3489" s="3" t="s">
        <v>10</v>
      </c>
      <c r="D3489" s="3" t="str">
        <f>IFERROR(__xludf.DUMMYFUNCTION("GOOGLETRANSLATE(A3489, ""nl"", ""en"")"),"Psychological and Emotional Interpretations")</f>
        <v>Psychological and Emotional Interpretations</v>
      </c>
      <c r="E3489" s="3" t="str">
        <f>IFERROR(__xludf.DUMMYFUNCTION("GOOGLETRANSLATE(B3489, ""nl"", ""en"")"),"A face transforming in light")</f>
        <v>A face transforming in light</v>
      </c>
    </row>
    <row r="3490" ht="15.75" customHeight="1">
      <c r="A3490" s="3" t="s">
        <v>4</v>
      </c>
      <c r="B3490" s="3" t="s">
        <v>21</v>
      </c>
      <c r="D3490" s="3" t="str">
        <f>IFERROR(__xludf.DUMMYFUNCTION("GOOGLETRANSLATE(A3490, ""nl"", ""en"")"),"Architectural and Structural Associations")</f>
        <v>Architectural and Structural Associations</v>
      </c>
      <c r="E3490" s="3" t="str">
        <f>IFERROR(__xludf.DUMMYFUNCTION("GOOGLETRANSLATE(B3490, ""nl"", ""en"")"),"A bridge that leads nowhere")</f>
        <v>A bridge that leads nowhere</v>
      </c>
    </row>
    <row r="3491" ht="15.75" customHeight="1">
      <c r="A3491" s="3" t="s">
        <v>9</v>
      </c>
      <c r="B3491" s="3" t="s">
        <v>49</v>
      </c>
      <c r="D3491" s="3" t="str">
        <f>IFERROR(__xludf.DUMMYFUNCTION("GOOGLETRANSLATE(A3491, ""nl"", ""en"")"),"Psychological and Emotional Interpretations")</f>
        <v>Psychological and Emotional Interpretations</v>
      </c>
      <c r="E3491" s="3" t="str">
        <f>IFERROR(__xludf.DUMMYFUNCTION("GOOGLETRANSLATE(B3491, ""nl"", ""en"")"),"A spiral that turns inward")</f>
        <v>A spiral that turns inward</v>
      </c>
    </row>
    <row r="3492" ht="15.75" customHeight="1">
      <c r="A3492" s="3" t="s">
        <v>7</v>
      </c>
      <c r="B3492" s="3" t="s">
        <v>53</v>
      </c>
      <c r="D3492" s="3" t="str">
        <f>IFERROR(__xludf.DUMMYFUNCTION("GOOGLETRANSLATE(A3492, ""nl"", ""en"")"),"Human Figures and Physicality")</f>
        <v>Human Figures and Physicality</v>
      </c>
      <c r="E3492" s="3" t="str">
        <f>IFERROR(__xludf.DUMMYFUNCTION("GOOGLETRANSLATE(B3492, ""nl"", ""en"")"),"A face that both smiles and cries")</f>
        <v>A face that both smiles and cries</v>
      </c>
    </row>
    <row r="3493" ht="15.75" customHeight="1">
      <c r="A3493" s="3" t="s">
        <v>4</v>
      </c>
      <c r="B3493" s="3" t="s">
        <v>35</v>
      </c>
      <c r="D3493" s="3" t="str">
        <f>IFERROR(__xludf.DUMMYFUNCTION("GOOGLETRANSLATE(A3493, ""nl"", ""en"")"),"Architectural and Structural Associations")</f>
        <v>Architectural and Structural Associations</v>
      </c>
      <c r="E3493" s="3" t="str">
        <f>IFERROR(__xludf.DUMMYFUNCTION("GOOGLETRANSLATE(B3493, ""nl"", ""en"")"),"A floating building without a base")</f>
        <v>A floating building without a base</v>
      </c>
    </row>
    <row r="3494" ht="15.75" customHeight="1">
      <c r="A3494" s="3" t="s">
        <v>24</v>
      </c>
      <c r="B3494" s="3" t="s">
        <v>54</v>
      </c>
      <c r="D3494" s="3" t="str">
        <f>IFERROR(__xludf.DUMMYFUNCTION("GOOGLETRANSLATE(A3494, ""nl"", ""en"")"),"Cosmic and Abstract Patterns")</f>
        <v>Cosmic and Abstract Patterns</v>
      </c>
      <c r="E3494" s="3" t="str">
        <f>IFERROR(__xludf.DUMMYFUNCTION("GOOGLETRANSLATE(B3494, ""nl"", ""en"")"),"A quantum particle in superposition")</f>
        <v>A quantum particle in superposition</v>
      </c>
    </row>
    <row r="3495" ht="15.75" customHeight="1">
      <c r="A3495" s="3" t="s">
        <v>7</v>
      </c>
      <c r="B3495" s="3" t="s">
        <v>56</v>
      </c>
      <c r="D3495" s="3" t="str">
        <f>IFERROR(__xludf.DUMMYFUNCTION("GOOGLETRANSLATE(A3495, ""nl"", ""en"")"),"Human Figures and Physicality")</f>
        <v>Human Figures and Physicality</v>
      </c>
      <c r="E3495" s="3" t="str">
        <f>IFERROR(__xludf.DUMMYFUNCTION("GOOGLETRANSLATE(B3495, ""nl"", ""en"")"),"A shadow that seems to move")</f>
        <v>A shadow that seems to move</v>
      </c>
    </row>
    <row r="3496" ht="15.75" customHeight="1">
      <c r="A3496" s="3" t="s">
        <v>9</v>
      </c>
      <c r="B3496" s="3" t="s">
        <v>17</v>
      </c>
      <c r="D3496" s="3" t="str">
        <f>IFERROR(__xludf.DUMMYFUNCTION("GOOGLETRANSLATE(A3496, ""nl"", ""en"")"),"Psychological and Emotional Interpretations")</f>
        <v>Psychological and Emotional Interpretations</v>
      </c>
      <c r="E3496" s="3" t="str">
        <f>IFERROR(__xludf.DUMMYFUNCTION("GOOGLETRANSLATE(B3496, ""nl"", ""en"")"),"A figure that seems to melt")</f>
        <v>A figure that seems to melt</v>
      </c>
    </row>
    <row r="3497" ht="15.75" customHeight="1">
      <c r="A3497" s="3" t="s">
        <v>7</v>
      </c>
      <c r="B3497" s="3" t="s">
        <v>8</v>
      </c>
      <c r="D3497" s="3" t="str">
        <f>IFERROR(__xludf.DUMMYFUNCTION("GOOGLETRANSLATE(A3497, ""nl"", ""en"")"),"Human Figures and Physicality")</f>
        <v>Human Figures and Physicality</v>
      </c>
      <c r="E3497" s="3" t="str">
        <f>IFERROR(__xludf.DUMMYFUNCTION("GOOGLETRANSLATE(B3497, ""nl"", ""en"")"),"Two figures mirroring each other")</f>
        <v>Two figures mirroring each other</v>
      </c>
    </row>
    <row r="3498" ht="15.75" customHeight="1">
      <c r="A3498" s="3" t="s">
        <v>24</v>
      </c>
      <c r="B3498" s="3" t="s">
        <v>31</v>
      </c>
      <c r="D3498" s="3" t="str">
        <f>IFERROR(__xludf.DUMMYFUNCTION("GOOGLETRANSLATE(A3498, ""nl"", ""en"")"),"Cosmic and Abstract Patterns")</f>
        <v>Cosmic and Abstract Patterns</v>
      </c>
      <c r="E3498" s="3" t="str">
        <f>IFERROR(__xludf.DUMMYFUNCTION("GOOGLETRANSLATE(B3498, ""nl"", ""en"")"),"A planet with unusual rings")</f>
        <v>A planet with unusual rings</v>
      </c>
    </row>
    <row r="3499" ht="15.75" customHeight="1">
      <c r="A3499" s="3" t="s">
        <v>24</v>
      </c>
      <c r="B3499" s="3" t="s">
        <v>48</v>
      </c>
      <c r="D3499" s="3" t="str">
        <f>IFERROR(__xludf.DUMMYFUNCTION("GOOGLETRANSLATE(A3499, ""nl"", ""en"")"),"Cosmic and Abstract Patterns")</f>
        <v>Cosmic and Abstract Patterns</v>
      </c>
      <c r="E3499" s="3" t="str">
        <f>IFERROR(__xludf.DUMMYFUNCTION("GOOGLETRANSLATE(B3499, ""nl"", ""en"")"),"A fractal that repeats itself")</f>
        <v>A fractal that repeats itself</v>
      </c>
    </row>
    <row r="3500" ht="15.75" customHeight="1">
      <c r="A3500" s="3" t="s">
        <v>9</v>
      </c>
      <c r="B3500" s="3" t="s">
        <v>42</v>
      </c>
      <c r="D3500" s="3" t="str">
        <f>IFERROR(__xludf.DUMMYFUNCTION("GOOGLETRANSLATE(A3500, ""nl"", ""en"")"),"Psychological and Emotional Interpretations")</f>
        <v>Psychological and Emotional Interpretations</v>
      </c>
      <c r="E3500" s="3" t="str">
        <f>IFERROR(__xludf.DUMMYFUNCTION("GOOGLETRANSLATE(B3500, ""nl"", ""en"")"),"A mask that slowly disappears")</f>
        <v>A mask that slowly disappears</v>
      </c>
    </row>
    <row r="3501" ht="15.75" customHeight="1">
      <c r="A3501" s="3" t="s">
        <v>15</v>
      </c>
      <c r="B3501" s="3" t="s">
        <v>45</v>
      </c>
      <c r="D3501" s="3" t="str">
        <f>IFERROR(__xludf.DUMMYFUNCTION("GOOGLETRANSLATE(A3501, ""nl"", ""en"")"),"Animals and Organic Forms")</f>
        <v>Animals and Organic Forms</v>
      </c>
      <c r="E3501" s="3" t="str">
        <f>IFERROR(__xludf.DUMMYFUNCTION("GOOGLETRANSLATE(B3501, ""nl"", ""en"")"),"A snake biting its own tail")</f>
        <v>A snake biting its own tail</v>
      </c>
    </row>
    <row r="3502" ht="15.75" customHeight="1">
      <c r="A3502" s="3" t="s">
        <v>24</v>
      </c>
      <c r="B3502" s="3" t="s">
        <v>27</v>
      </c>
      <c r="D3502" s="3" t="str">
        <f>IFERROR(__xludf.DUMMYFUNCTION("GOOGLETRANSLATE(A3502, ""nl"", ""en"")"),"Cosmic and Abstract Patterns")</f>
        <v>Cosmic and Abstract Patterns</v>
      </c>
      <c r="E3502" s="3" t="str">
        <f>IFERROR(__xludf.DUMMYFUNCTION("GOOGLETRANSLATE(B3502, ""nl"", ""en"")"),"A pair of black holes in dance")</f>
        <v>A pair of black holes in dance</v>
      </c>
    </row>
    <row r="3503" ht="15.75" customHeight="1">
      <c r="A3503" s="3" t="s">
        <v>24</v>
      </c>
      <c r="B3503" s="3" t="s">
        <v>25</v>
      </c>
      <c r="D3503" s="3" t="str">
        <f>IFERROR(__xludf.DUMMYFUNCTION("GOOGLETRANSLATE(A3503, ""nl"", ""en"")"),"Cosmic and Abstract Patterns")</f>
        <v>Cosmic and Abstract Patterns</v>
      </c>
      <c r="E3503" s="3" t="str">
        <f>IFERROR(__xludf.DUMMYFUNCTION("GOOGLETRANSLATE(B3503, ""nl"", ""en"")"),"A meteor shower dissolving into each other")</f>
        <v>A meteor shower dissolving into each other</v>
      </c>
    </row>
    <row r="3504" ht="15.75" customHeight="1">
      <c r="A3504" s="3" t="s">
        <v>7</v>
      </c>
      <c r="B3504" s="3" t="s">
        <v>39</v>
      </c>
      <c r="D3504" s="3" t="str">
        <f>IFERROR(__xludf.DUMMYFUNCTION("GOOGLETRANSLATE(A3504, ""nl"", ""en"")"),"Human Figures and Physicality")</f>
        <v>Human Figures and Physicality</v>
      </c>
      <c r="E3504" s="3" t="str">
        <f>IFERROR(__xludf.DUMMYFUNCTION("GOOGLETRANSLATE(B3504, ""nl"", ""en"")"),"A torso without a head")</f>
        <v>A torso without a head</v>
      </c>
    </row>
    <row r="3505" ht="15.75" customHeight="1">
      <c r="A3505" s="3" t="s">
        <v>24</v>
      </c>
      <c r="B3505" s="3" t="s">
        <v>48</v>
      </c>
      <c r="D3505" s="3" t="str">
        <f>IFERROR(__xludf.DUMMYFUNCTION("GOOGLETRANSLATE(A3505, ""nl"", ""en"")"),"Cosmic and Abstract Patterns")</f>
        <v>Cosmic and Abstract Patterns</v>
      </c>
      <c r="E3505" s="3" t="str">
        <f>IFERROR(__xludf.DUMMYFUNCTION("GOOGLETRANSLATE(B3505, ""nl"", ""en"")"),"A fractal that repeats itself")</f>
        <v>A fractal that repeats itself</v>
      </c>
    </row>
    <row r="3506" ht="15.75" customHeight="1">
      <c r="A3506" s="3" t="s">
        <v>15</v>
      </c>
      <c r="B3506" s="3" t="s">
        <v>26</v>
      </c>
      <c r="D3506" s="3" t="str">
        <f>IFERROR(__xludf.DUMMYFUNCTION("GOOGLETRANSLATE(A3506, ""nl"", ""en"")"),"Animals and Organic Forms")</f>
        <v>Animals and Organic Forms</v>
      </c>
      <c r="E3506" s="3" t="str">
        <f>IFERROR(__xludf.DUMMYFUNCTION("GOOGLETRANSLATE(B3506, ""nl"", ""en"")"),"A frog preparing to jump")</f>
        <v>A frog preparing to jump</v>
      </c>
    </row>
    <row r="3507" ht="15.75" customHeight="1">
      <c r="A3507" s="3" t="s">
        <v>4</v>
      </c>
      <c r="B3507" s="3" t="s">
        <v>35</v>
      </c>
      <c r="D3507" s="3" t="str">
        <f>IFERROR(__xludf.DUMMYFUNCTION("GOOGLETRANSLATE(A3507, ""nl"", ""en"")"),"Architectural and Structural Associations")</f>
        <v>Architectural and Structural Associations</v>
      </c>
      <c r="E3507" s="3" t="str">
        <f>IFERROR(__xludf.DUMMYFUNCTION("GOOGLETRANSLATE(B3507, ""nl"", ""en"")"),"A floating building without a base")</f>
        <v>A floating building without a base</v>
      </c>
    </row>
    <row r="3508" ht="15.75" customHeight="1">
      <c r="A3508" s="3" t="s">
        <v>4</v>
      </c>
      <c r="B3508" s="3" t="s">
        <v>5</v>
      </c>
      <c r="D3508" s="3" t="str">
        <f>IFERROR(__xludf.DUMMYFUNCTION("GOOGLETRANSLATE(A3508, ""nl"", ""en"")"),"Architectural and Structural Associations")</f>
        <v>Architectural and Structural Associations</v>
      </c>
      <c r="E3508" s="3" t="str">
        <f>IFERROR(__xludf.DUMMYFUNCTION("GOOGLETRANSLATE(B3508, ""nl"", ""en"")"),"A cathedral shaped from mist")</f>
        <v>A cathedral shaped from mist</v>
      </c>
    </row>
    <row r="3509" ht="15.75" customHeight="1">
      <c r="A3509" s="3" t="s">
        <v>4</v>
      </c>
      <c r="B3509" s="3" t="s">
        <v>5</v>
      </c>
      <c r="D3509" s="3" t="str">
        <f>IFERROR(__xludf.DUMMYFUNCTION("GOOGLETRANSLATE(A3509, ""nl"", ""en"")"),"Architectural and Structural Associations")</f>
        <v>Architectural and Structural Associations</v>
      </c>
      <c r="E3509" s="3" t="str">
        <f>IFERROR(__xludf.DUMMYFUNCTION("GOOGLETRANSLATE(B3509, ""nl"", ""en"")"),"A cathedral shaped from mist")</f>
        <v>A cathedral shaped from mist</v>
      </c>
    </row>
    <row r="3510" ht="15.75" customHeight="1">
      <c r="A3510" s="3" t="s">
        <v>9</v>
      </c>
      <c r="B3510" s="3" t="s">
        <v>57</v>
      </c>
      <c r="D3510" s="3" t="str">
        <f>IFERROR(__xludf.DUMMYFUNCTION("GOOGLETRANSLATE(A3510, ""nl"", ""en"")"),"Psychological and Emotional Interpretations")</f>
        <v>Psychological and Emotional Interpretations</v>
      </c>
      <c r="E3510" s="3" t="str">
        <f>IFERROR(__xludf.DUMMYFUNCTION("GOOGLETRANSLATE(B3510, ""nl"", ""en"")"),"An explosion of colours and feelings")</f>
        <v>An explosion of colours and feelings</v>
      </c>
    </row>
    <row r="3511" ht="15.75" customHeight="1">
      <c r="A3511" s="3" t="s">
        <v>12</v>
      </c>
      <c r="B3511" s="3" t="s">
        <v>13</v>
      </c>
      <c r="D3511" s="3" t="str">
        <f>IFERROR(__xludf.DUMMYFUNCTION("GOOGLETRANSLATE(A3511, ""nl"", ""en"")"),"Nature and Elements")</f>
        <v>Nature and Elements</v>
      </c>
      <c r="E3511" s="3" t="str">
        <f>IFERROR(__xludf.DUMMYFUNCTION("GOOGLETRANSLATE(B3511, ""nl"", ""en"")"),"A lightning strike in slow motion")</f>
        <v>A lightning strike in slow motion</v>
      </c>
    </row>
    <row r="3512" ht="15.75" customHeight="1">
      <c r="A3512" s="3" t="s">
        <v>12</v>
      </c>
      <c r="B3512" s="3" t="s">
        <v>19</v>
      </c>
      <c r="D3512" s="3" t="str">
        <f>IFERROR(__xludf.DUMMYFUNCTION("GOOGLETRANSLATE(A3512, ""nl"", ""en"")"),"Nature and Elements")</f>
        <v>Nature and Elements</v>
      </c>
      <c r="E3512" s="3" t="str">
        <f>IFERROR(__xludf.DUMMYFUNCTION("GOOGLETRANSLATE(B3512, ""nl"", ""en"")"),"A mountain range that seems to breathe")</f>
        <v>A mountain range that seems to breathe</v>
      </c>
    </row>
    <row r="3513" ht="15.75" customHeight="1">
      <c r="A3513" s="3" t="s">
        <v>12</v>
      </c>
      <c r="B3513" s="3" t="s">
        <v>47</v>
      </c>
      <c r="D3513" s="3" t="str">
        <f>IFERROR(__xludf.DUMMYFUNCTION("GOOGLETRANSLATE(A3513, ""nl"", ""en"")"),"Nature and Elements")</f>
        <v>Nature and Elements</v>
      </c>
      <c r="E3513" s="3" t="str">
        <f>IFERROR(__xludf.DUMMYFUNCTION("GOOGLETRANSLATE(B3513, ""nl"", ""en"")"),"A desert landscape that slowly changes")</f>
        <v>A desert landscape that slowly changes</v>
      </c>
    </row>
    <row r="3514" ht="15.75" customHeight="1">
      <c r="A3514" s="3" t="s">
        <v>15</v>
      </c>
      <c r="B3514" s="3" t="s">
        <v>46</v>
      </c>
      <c r="D3514" s="3" t="str">
        <f>IFERROR(__xludf.DUMMYFUNCTION("GOOGLETRANSLATE(A3514, ""nl"", ""en"")"),"Animals and Organic Forms")</f>
        <v>Animals and Organic Forms</v>
      </c>
      <c r="E3514" s="3" t="str">
        <f>IFERROR(__xludf.DUMMYFUNCTION("GOOGLETRANSLATE(B3514, ""nl"", ""en"")"),"A flock of fish moving as one")</f>
        <v>A flock of fish moving as one</v>
      </c>
    </row>
    <row r="3515" ht="15.75" customHeight="1">
      <c r="A3515" s="3" t="s">
        <v>4</v>
      </c>
      <c r="B3515" s="3" t="s">
        <v>55</v>
      </c>
      <c r="D3515" s="3" t="str">
        <f>IFERROR(__xludf.DUMMYFUNCTION("GOOGLETRANSLATE(A3515, ""nl"", ""en"")"),"Architectural and Structural Associations")</f>
        <v>Architectural and Structural Associations</v>
      </c>
      <c r="E3515" s="3" t="str">
        <f>IFERROR(__xludf.DUMMYFUNCTION("GOOGLETRANSLATE(B3515, ""nl"", ""en"")"),"A prism that splits light into colors")</f>
        <v>A prism that splits light into colors</v>
      </c>
    </row>
    <row r="3516" ht="15.75" customHeight="1">
      <c r="A3516" s="3" t="s">
        <v>7</v>
      </c>
      <c r="B3516" s="3" t="s">
        <v>53</v>
      </c>
      <c r="D3516" s="3" t="str">
        <f>IFERROR(__xludf.DUMMYFUNCTION("GOOGLETRANSLATE(A3516, ""nl"", ""en"")"),"Human Figures and Physicality")</f>
        <v>Human Figures and Physicality</v>
      </c>
      <c r="E3516" s="3" t="str">
        <f>IFERROR(__xludf.DUMMYFUNCTION("GOOGLETRANSLATE(B3516, ""nl"", ""en"")"),"A face that both smiles and cries")</f>
        <v>A face that both smiles and cries</v>
      </c>
    </row>
    <row r="3517" ht="15.75" customHeight="1">
      <c r="A3517" s="3" t="s">
        <v>15</v>
      </c>
      <c r="B3517" s="3" t="s">
        <v>16</v>
      </c>
      <c r="D3517" s="3" t="str">
        <f>IFERROR(__xludf.DUMMYFUNCTION("GOOGLETRANSLATE(A3517, ""nl"", ""en"")"),"Animals and Organic Forms")</f>
        <v>Animals and Organic Forms</v>
      </c>
      <c r="E3517" s="3" t="str">
        <f>IFERROR(__xludf.DUMMYFUNCTION("GOOGLETRANSLATE(B3517, ""nl"", ""en"")"),"A butterfly in transformation")</f>
        <v>A butterfly in transformation</v>
      </c>
    </row>
    <row r="3518" ht="15.75" customHeight="1">
      <c r="A3518" s="3" t="s">
        <v>9</v>
      </c>
      <c r="B3518" s="3" t="s">
        <v>42</v>
      </c>
      <c r="D3518" s="3" t="str">
        <f>IFERROR(__xludf.DUMMYFUNCTION("GOOGLETRANSLATE(A3518, ""nl"", ""en"")"),"Psychological and Emotional Interpretations")</f>
        <v>Psychological and Emotional Interpretations</v>
      </c>
      <c r="E3518" s="3" t="str">
        <f>IFERROR(__xludf.DUMMYFUNCTION("GOOGLETRANSLATE(B3518, ""nl"", ""en"")"),"A mask that slowly disappears")</f>
        <v>A mask that slowly disappears</v>
      </c>
    </row>
    <row r="3519" ht="15.75" customHeight="1">
      <c r="A3519" s="3" t="s">
        <v>4</v>
      </c>
      <c r="B3519" s="3" t="s">
        <v>55</v>
      </c>
      <c r="D3519" s="3" t="str">
        <f>IFERROR(__xludf.DUMMYFUNCTION("GOOGLETRANSLATE(A3519, ""nl"", ""en"")"),"Architectural and Structural Associations")</f>
        <v>Architectural and Structural Associations</v>
      </c>
      <c r="E3519" s="3" t="str">
        <f>IFERROR(__xludf.DUMMYFUNCTION("GOOGLETRANSLATE(B3519, ""nl"", ""en"")"),"A prism that splits light into colors")</f>
        <v>A prism that splits light into colors</v>
      </c>
    </row>
    <row r="3520" ht="15.75" customHeight="1">
      <c r="A3520" s="3" t="s">
        <v>7</v>
      </c>
      <c r="B3520" s="3" t="s">
        <v>8</v>
      </c>
      <c r="D3520" s="3" t="str">
        <f>IFERROR(__xludf.DUMMYFUNCTION("GOOGLETRANSLATE(A3520, ""nl"", ""en"")"),"Human Figures and Physicality")</f>
        <v>Human Figures and Physicality</v>
      </c>
      <c r="E3520" s="3" t="str">
        <f>IFERROR(__xludf.DUMMYFUNCTION("GOOGLETRANSLATE(B3520, ""nl"", ""en"")"),"Two figures mirroring each other")</f>
        <v>Two figures mirroring each other</v>
      </c>
    </row>
    <row r="3521" ht="15.75" customHeight="1">
      <c r="A3521" s="3" t="s">
        <v>9</v>
      </c>
      <c r="B3521" s="3" t="s">
        <v>49</v>
      </c>
      <c r="D3521" s="3" t="str">
        <f>IFERROR(__xludf.DUMMYFUNCTION("GOOGLETRANSLATE(A3521, ""nl"", ""en"")"),"Psychological and Emotional Interpretations")</f>
        <v>Psychological and Emotional Interpretations</v>
      </c>
      <c r="E3521" s="3" t="str">
        <f>IFERROR(__xludf.DUMMYFUNCTION("GOOGLETRANSLATE(B3521, ""nl"", ""en"")"),"A spiral that turns inward")</f>
        <v>A spiral that turns inward</v>
      </c>
    </row>
    <row r="3522" ht="15.75" customHeight="1">
      <c r="A3522" s="3" t="s">
        <v>4</v>
      </c>
      <c r="B3522" s="3" t="s">
        <v>35</v>
      </c>
      <c r="D3522" s="3" t="str">
        <f>IFERROR(__xludf.DUMMYFUNCTION("GOOGLETRANSLATE(A3522, ""nl"", ""en"")"),"Architectural and Structural Associations")</f>
        <v>Architectural and Structural Associations</v>
      </c>
      <c r="E3522" s="3" t="str">
        <f>IFERROR(__xludf.DUMMYFUNCTION("GOOGLETRANSLATE(B3522, ""nl"", ""en"")"),"A floating building without a base")</f>
        <v>A floating building without a base</v>
      </c>
    </row>
    <row r="3523" ht="15.75" customHeight="1">
      <c r="A3523" s="3" t="s">
        <v>24</v>
      </c>
      <c r="B3523" s="3" t="s">
        <v>54</v>
      </c>
      <c r="D3523" s="3" t="str">
        <f>IFERROR(__xludf.DUMMYFUNCTION("GOOGLETRANSLATE(A3523, ""nl"", ""en"")"),"Cosmic and Abstract Patterns")</f>
        <v>Cosmic and Abstract Patterns</v>
      </c>
      <c r="E3523" s="3" t="str">
        <f>IFERROR(__xludf.DUMMYFUNCTION("GOOGLETRANSLATE(B3523, ""nl"", ""en"")"),"A quantum particle in superposition")</f>
        <v>A quantum particle in superposition</v>
      </c>
    </row>
    <row r="3524" ht="15.75" customHeight="1">
      <c r="A3524" s="3" t="s">
        <v>24</v>
      </c>
      <c r="B3524" s="3" t="s">
        <v>25</v>
      </c>
      <c r="D3524" s="3" t="str">
        <f>IFERROR(__xludf.DUMMYFUNCTION("GOOGLETRANSLATE(A3524, ""nl"", ""en"")"),"Cosmic and Abstract Patterns")</f>
        <v>Cosmic and Abstract Patterns</v>
      </c>
      <c r="E3524" s="3" t="str">
        <f>IFERROR(__xludf.DUMMYFUNCTION("GOOGLETRANSLATE(B3524, ""nl"", ""en"")"),"A meteor shower dissolving into each other")</f>
        <v>A meteor shower dissolving into each other</v>
      </c>
    </row>
    <row r="3525" ht="15.75" customHeight="1">
      <c r="A3525" s="3" t="s">
        <v>7</v>
      </c>
      <c r="B3525" s="3" t="s">
        <v>8</v>
      </c>
      <c r="D3525" s="3" t="str">
        <f>IFERROR(__xludf.DUMMYFUNCTION("GOOGLETRANSLATE(A3525, ""nl"", ""en"")"),"Human Figures and Physicality")</f>
        <v>Human Figures and Physicality</v>
      </c>
      <c r="E3525" s="3" t="str">
        <f>IFERROR(__xludf.DUMMYFUNCTION("GOOGLETRANSLATE(B3525, ""nl"", ""en"")"),"Two figures mirroring each other")</f>
        <v>Two figures mirroring each other</v>
      </c>
    </row>
    <row r="3526" ht="15.75" customHeight="1">
      <c r="A3526" s="3" t="s">
        <v>15</v>
      </c>
      <c r="B3526" s="3" t="s">
        <v>46</v>
      </c>
      <c r="D3526" s="3" t="str">
        <f>IFERROR(__xludf.DUMMYFUNCTION("GOOGLETRANSLATE(A3526, ""nl"", ""en"")"),"Animals and Organic Forms")</f>
        <v>Animals and Organic Forms</v>
      </c>
      <c r="E3526" s="3" t="str">
        <f>IFERROR(__xludf.DUMMYFUNCTION("GOOGLETRANSLATE(B3526, ""nl"", ""en"")"),"A flock of fish moving as one")</f>
        <v>A flock of fish moving as one</v>
      </c>
    </row>
    <row r="3527" ht="15.75" customHeight="1">
      <c r="A3527" s="3" t="s">
        <v>4</v>
      </c>
      <c r="B3527" s="3" t="s">
        <v>44</v>
      </c>
      <c r="D3527" s="3" t="str">
        <f>IFERROR(__xludf.DUMMYFUNCTION("GOOGLETRANSLATE(A3527, ""nl"", ""en"")"),"Architectural and Structural Associations")</f>
        <v>Architectural and Structural Associations</v>
      </c>
      <c r="E3527" s="3" t="str">
        <f>IFERROR(__xludf.DUMMYFUNCTION("GOOGLETRANSLATE(B3527, ""nl"", ""en"")"),"A structure that pulsates in waves")</f>
        <v>A structure that pulsates in waves</v>
      </c>
    </row>
    <row r="3528" ht="15.75" customHeight="1">
      <c r="A3528" s="3" t="s">
        <v>24</v>
      </c>
      <c r="B3528" s="3" t="s">
        <v>27</v>
      </c>
      <c r="D3528" s="3" t="str">
        <f>IFERROR(__xludf.DUMMYFUNCTION("GOOGLETRANSLATE(A3528, ""nl"", ""en"")"),"Cosmic and Abstract Patterns")</f>
        <v>Cosmic and Abstract Patterns</v>
      </c>
      <c r="E3528" s="3" t="str">
        <f>IFERROR(__xludf.DUMMYFUNCTION("GOOGLETRANSLATE(B3528, ""nl"", ""en"")"),"A pair of black holes in dance")</f>
        <v>A pair of black holes in dance</v>
      </c>
    </row>
    <row r="3529" ht="15.75" customHeight="1">
      <c r="A3529" s="3" t="s">
        <v>9</v>
      </c>
      <c r="B3529" s="3" t="s">
        <v>37</v>
      </c>
      <c r="D3529" s="3" t="str">
        <f>IFERROR(__xludf.DUMMYFUNCTION("GOOGLETRANSLATE(A3529, ""nl"", ""en"")"),"Psychological and Emotional Interpretations")</f>
        <v>Psychological and Emotional Interpretations</v>
      </c>
      <c r="E3529" s="3" t="str">
        <f>IFERROR(__xludf.DUMMYFUNCTION("GOOGLETRANSLATE(B3529, ""nl"", ""en"")"),"A figure looking through itself")</f>
        <v>A figure looking through itself</v>
      </c>
    </row>
    <row r="3530" ht="15.75" customHeight="1">
      <c r="A3530" s="3" t="s">
        <v>24</v>
      </c>
      <c r="B3530" s="3" t="s">
        <v>29</v>
      </c>
      <c r="D3530" s="3" t="str">
        <f>IFERROR(__xludf.DUMMYFUNCTION("GOOGLETRANSLATE(A3530, ""nl"", ""en"")"),"Cosmic and Abstract Patterns")</f>
        <v>Cosmic and Abstract Patterns</v>
      </c>
      <c r="E3530" s="3" t="str">
        <f>IFERROR(__xludf.DUMMYFUNCTION("GOOGLETRANSLATE(B3530, ""nl"", ""en"")"),"A galaxy unfolding")</f>
        <v>A galaxy unfolding</v>
      </c>
    </row>
    <row r="3531" ht="15.75" customHeight="1">
      <c r="A3531" s="3" t="s">
        <v>12</v>
      </c>
      <c r="B3531" s="3" t="s">
        <v>19</v>
      </c>
      <c r="D3531" s="3" t="str">
        <f>IFERROR(__xludf.DUMMYFUNCTION("GOOGLETRANSLATE(A3531, ""nl"", ""en"")"),"Nature and Elements")</f>
        <v>Nature and Elements</v>
      </c>
      <c r="E3531" s="3" t="str">
        <f>IFERROR(__xludf.DUMMYFUNCTION("GOOGLETRANSLATE(B3531, ""nl"", ""en"")"),"A mountain range that seems to breathe")</f>
        <v>A mountain range that seems to breathe</v>
      </c>
    </row>
    <row r="3532" ht="15.75" customHeight="1">
      <c r="A3532" s="3" t="s">
        <v>4</v>
      </c>
      <c r="B3532" s="3" t="s">
        <v>43</v>
      </c>
      <c r="D3532" s="3" t="str">
        <f>IFERROR(__xludf.DUMMYFUNCTION("GOOGLETRANSLATE(A3532, ""nl"", ""en"")"),"Architectural and Structural Associations")</f>
        <v>Architectural and Structural Associations</v>
      </c>
      <c r="E3532" s="3" t="str">
        <f>IFERROR(__xludf.DUMMYFUNCTION("GOOGLETRANSLATE(B3532, ""nl"", ""en"")"),"A network of tunnels and passages")</f>
        <v>A network of tunnels and passages</v>
      </c>
    </row>
    <row r="3533" ht="15.75" customHeight="1">
      <c r="A3533" s="3" t="s">
        <v>24</v>
      </c>
      <c r="B3533" s="3" t="s">
        <v>31</v>
      </c>
      <c r="D3533" s="3" t="str">
        <f>IFERROR(__xludf.DUMMYFUNCTION("GOOGLETRANSLATE(A3533, ""nl"", ""en"")"),"Cosmic and Abstract Patterns")</f>
        <v>Cosmic and Abstract Patterns</v>
      </c>
      <c r="E3533" s="3" t="str">
        <f>IFERROR(__xludf.DUMMYFUNCTION("GOOGLETRANSLATE(B3533, ""nl"", ""en"")"),"A planet with unusual rings")</f>
        <v>A planet with unusual rings</v>
      </c>
    </row>
    <row r="3534" ht="15.75" customHeight="1">
      <c r="A3534" s="3" t="s">
        <v>24</v>
      </c>
      <c r="B3534" s="3" t="s">
        <v>32</v>
      </c>
      <c r="D3534" s="3" t="str">
        <f>IFERROR(__xludf.DUMMYFUNCTION("GOOGLETRANSLATE(A3534, ""nl"", ""en"")"),"Cosmic and Abstract Patterns")</f>
        <v>Cosmic and Abstract Patterns</v>
      </c>
      <c r="E3534" s="3" t="str">
        <f>IFERROR(__xludf.DUMMYFUNCTION("GOOGLETRANSLATE(B3534, ""nl"", ""en"")"),"A time loop captured in image")</f>
        <v>A time loop captured in image</v>
      </c>
    </row>
    <row r="3535" ht="15.75" customHeight="1">
      <c r="A3535" s="3" t="s">
        <v>4</v>
      </c>
      <c r="B3535" s="3" t="s">
        <v>20</v>
      </c>
      <c r="D3535" s="3" t="str">
        <f>IFERROR(__xludf.DUMMYFUNCTION("GOOGLETRANSLATE(A3535, ""nl"", ""en"")"),"Architectural and Structural Associations")</f>
        <v>Architectural and Structural Associations</v>
      </c>
      <c r="E3535" s="3" t="str">
        <f>IFERROR(__xludf.DUMMYFUNCTION("GOOGLETRANSLATE(B3535, ""nl"", ""en"")"),"A tower that grows by itself")</f>
        <v>A tower that grows by itself</v>
      </c>
    </row>
    <row r="3536" ht="15.75" customHeight="1">
      <c r="A3536" s="3" t="s">
        <v>7</v>
      </c>
      <c r="B3536" s="3" t="s">
        <v>28</v>
      </c>
      <c r="D3536" s="3" t="str">
        <f>IFERROR(__xludf.DUMMYFUNCTION("GOOGLETRANSLATE(A3536, ""nl"", ""en"")"),"Human Figures and Physicality")</f>
        <v>Human Figures and Physicality</v>
      </c>
      <c r="E3536" s="3" t="str">
        <f>IFERROR(__xludf.DUMMYFUNCTION("GOOGLETRANSLATE(B3536, ""nl"", ""en"")"),"A dancing silhouette")</f>
        <v>A dancing silhouette</v>
      </c>
    </row>
    <row r="3537" ht="15.75" customHeight="1">
      <c r="A3537" s="3" t="s">
        <v>15</v>
      </c>
      <c r="B3537" s="3" t="s">
        <v>38</v>
      </c>
      <c r="D3537" s="3" t="str">
        <f>IFERROR(__xludf.DUMMYFUNCTION("GOOGLETRANSLATE(A3537, ""nl"", ""en"")"),"Animals and Organic Forms")</f>
        <v>Animals and Organic Forms</v>
      </c>
      <c r="E3537" s="3" t="str">
        <f>IFERROR(__xludf.DUMMYFUNCTION("GOOGLETRANSLATE(B3537, ""nl"", ""en"")"),"A lion with an open mouth")</f>
        <v>A lion with an open mouth</v>
      </c>
    </row>
    <row r="3538" ht="15.75" customHeight="1">
      <c r="A3538" s="3" t="s">
        <v>24</v>
      </c>
      <c r="B3538" s="3" t="s">
        <v>48</v>
      </c>
      <c r="D3538" s="3" t="str">
        <f>IFERROR(__xludf.DUMMYFUNCTION("GOOGLETRANSLATE(A3538, ""nl"", ""en"")"),"Cosmic and Abstract Patterns")</f>
        <v>Cosmic and Abstract Patterns</v>
      </c>
      <c r="E3538" s="3" t="str">
        <f>IFERROR(__xludf.DUMMYFUNCTION("GOOGLETRANSLATE(B3538, ""nl"", ""en"")"),"A fractal that repeats itself")</f>
        <v>A fractal that repeats itself</v>
      </c>
    </row>
    <row r="3539" ht="15.75" customHeight="1">
      <c r="A3539" s="3" t="s">
        <v>4</v>
      </c>
      <c r="B3539" s="3" t="s">
        <v>44</v>
      </c>
      <c r="D3539" s="3" t="str">
        <f>IFERROR(__xludf.DUMMYFUNCTION("GOOGLETRANSLATE(A3539, ""nl"", ""en"")"),"Architectural and Structural Associations")</f>
        <v>Architectural and Structural Associations</v>
      </c>
      <c r="E3539" s="3" t="str">
        <f>IFERROR(__xludf.DUMMYFUNCTION("GOOGLETRANSLATE(B3539, ""nl"", ""en"")"),"A structure that pulsates in waves")</f>
        <v>A structure that pulsates in waves</v>
      </c>
    </row>
    <row r="3540" ht="15.75" customHeight="1">
      <c r="A3540" s="3" t="s">
        <v>24</v>
      </c>
      <c r="B3540" s="3" t="s">
        <v>54</v>
      </c>
      <c r="D3540" s="3" t="str">
        <f>IFERROR(__xludf.DUMMYFUNCTION("GOOGLETRANSLATE(A3540, ""nl"", ""en"")"),"Cosmic and Abstract Patterns")</f>
        <v>Cosmic and Abstract Patterns</v>
      </c>
      <c r="E3540" s="3" t="str">
        <f>IFERROR(__xludf.DUMMYFUNCTION("GOOGLETRANSLATE(B3540, ""nl"", ""en"")"),"A quantum particle in superposition")</f>
        <v>A quantum particle in superposition</v>
      </c>
    </row>
    <row r="3541" ht="15.75" customHeight="1">
      <c r="A3541" s="3" t="s">
        <v>4</v>
      </c>
      <c r="B3541" s="3" t="s">
        <v>55</v>
      </c>
      <c r="D3541" s="3" t="str">
        <f>IFERROR(__xludf.DUMMYFUNCTION("GOOGLETRANSLATE(A3541, ""nl"", ""en"")"),"Architectural and Structural Associations")</f>
        <v>Architectural and Structural Associations</v>
      </c>
      <c r="E3541" s="3" t="str">
        <f>IFERROR(__xludf.DUMMYFUNCTION("GOOGLETRANSLATE(B3541, ""nl"", ""en"")"),"A prism that splits light into colors")</f>
        <v>A prism that splits light into colors</v>
      </c>
    </row>
    <row r="3542" ht="15.75" customHeight="1">
      <c r="A3542" s="3" t="s">
        <v>9</v>
      </c>
      <c r="B3542" s="3" t="s">
        <v>11</v>
      </c>
      <c r="D3542" s="3" t="str">
        <f>IFERROR(__xludf.DUMMYFUNCTION("GOOGLETRANSLATE(A3542, ""nl"", ""en"")"),"Psychological and Emotional Interpretations")</f>
        <v>Psychological and Emotional Interpretations</v>
      </c>
      <c r="E3542" s="3" t="str">
        <f>IFERROR(__xludf.DUMMYFUNCTION("GOOGLETRANSLATE(B3542, ""nl"", ""en"")"),"An emotion captured in abstraction")</f>
        <v>An emotion captured in abstraction</v>
      </c>
    </row>
    <row r="3543" ht="15.75" customHeight="1">
      <c r="A3543" s="3" t="s">
        <v>24</v>
      </c>
      <c r="B3543" s="3" t="s">
        <v>33</v>
      </c>
      <c r="D3543" s="3" t="str">
        <f>IFERROR(__xludf.DUMMYFUNCTION("GOOGLETRANSLATE(A3543, ""nl"", ""en"")"),"Cosmic and Abstract Patterns")</f>
        <v>Cosmic and Abstract Patterns</v>
      </c>
      <c r="E3543" s="3" t="str">
        <f>IFERROR(__xludf.DUMMYFUNCTION("GOOGLETRANSLATE(B3543, ""nl"", ""en"")"),"An eye that repeats itself in endless patterns")</f>
        <v>An eye that repeats itself in endless patterns</v>
      </c>
    </row>
    <row r="3544" ht="15.75" customHeight="1">
      <c r="A3544" s="3" t="s">
        <v>24</v>
      </c>
      <c r="B3544" s="3" t="s">
        <v>31</v>
      </c>
      <c r="D3544" s="3" t="str">
        <f>IFERROR(__xludf.DUMMYFUNCTION("GOOGLETRANSLATE(A3544, ""nl"", ""en"")"),"Cosmic and Abstract Patterns")</f>
        <v>Cosmic and Abstract Patterns</v>
      </c>
      <c r="E3544" s="3" t="str">
        <f>IFERROR(__xludf.DUMMYFUNCTION("GOOGLETRANSLATE(B3544, ""nl"", ""en"")"),"A planet with unusual rings")</f>
        <v>A planet with unusual rings</v>
      </c>
    </row>
    <row r="3545" ht="15.75" customHeight="1">
      <c r="A3545" s="3" t="s">
        <v>4</v>
      </c>
      <c r="B3545" s="3" t="s">
        <v>20</v>
      </c>
      <c r="D3545" s="3" t="str">
        <f>IFERROR(__xludf.DUMMYFUNCTION("GOOGLETRANSLATE(A3545, ""nl"", ""en"")"),"Architectural and Structural Associations")</f>
        <v>Architectural and Structural Associations</v>
      </c>
      <c r="E3545" s="3" t="str">
        <f>IFERROR(__xludf.DUMMYFUNCTION("GOOGLETRANSLATE(B3545, ""nl"", ""en"")"),"A tower that grows by itself")</f>
        <v>A tower that grows by itself</v>
      </c>
    </row>
    <row r="3546" ht="15.75" customHeight="1">
      <c r="A3546" s="3" t="s">
        <v>4</v>
      </c>
      <c r="B3546" s="3" t="s">
        <v>5</v>
      </c>
      <c r="D3546" s="3" t="str">
        <f>IFERROR(__xludf.DUMMYFUNCTION("GOOGLETRANSLATE(A3546, ""nl"", ""en"")"),"Architectural and Structural Associations")</f>
        <v>Architectural and Structural Associations</v>
      </c>
      <c r="E3546" s="3" t="str">
        <f>IFERROR(__xludf.DUMMYFUNCTION("GOOGLETRANSLATE(B3546, ""nl"", ""en"")"),"A cathedral shaped from mist")</f>
        <v>A cathedral shaped from mist</v>
      </c>
    </row>
    <row r="3547" ht="15.75" customHeight="1">
      <c r="A3547" s="3" t="s">
        <v>9</v>
      </c>
      <c r="B3547" s="3" t="s">
        <v>17</v>
      </c>
      <c r="D3547" s="3" t="str">
        <f>IFERROR(__xludf.DUMMYFUNCTION("GOOGLETRANSLATE(A3547, ""nl"", ""en"")"),"Psychological and Emotional Interpretations")</f>
        <v>Psychological and Emotional Interpretations</v>
      </c>
      <c r="E3547" s="3" t="str">
        <f>IFERROR(__xludf.DUMMYFUNCTION("GOOGLETRANSLATE(B3547, ""nl"", ""en"")"),"A figure that seems to melt")</f>
        <v>A figure that seems to melt</v>
      </c>
    </row>
    <row r="3548" ht="15.75" customHeight="1">
      <c r="A3548" s="3" t="s">
        <v>4</v>
      </c>
      <c r="B3548" s="3" t="s">
        <v>6</v>
      </c>
      <c r="D3548" s="3" t="str">
        <f>IFERROR(__xludf.DUMMYFUNCTION("GOOGLETRANSLATE(A3548, ""nl"", ""en"")"),"Architectural and Structural Associations")</f>
        <v>Architectural and Structural Associations</v>
      </c>
      <c r="E3548" s="3" t="str">
        <f>IFERROR(__xludf.DUMMYFUNCTION("GOOGLETRANSLATE(B3548, ""nl"", ""en"")"),"An endless labyrinth")</f>
        <v>An endless labyrinth</v>
      </c>
    </row>
    <row r="3549" ht="15.75" customHeight="1">
      <c r="A3549" s="3" t="s">
        <v>15</v>
      </c>
      <c r="B3549" s="3" t="s">
        <v>50</v>
      </c>
      <c r="D3549" s="3" t="str">
        <f>IFERROR(__xludf.DUMMYFUNCTION("GOOGLETRANSLATE(A3549, ""nl"", ""en"")"),"Animals and Organic Forms")</f>
        <v>Animals and Organic Forms</v>
      </c>
      <c r="E3549" s="3" t="str">
        <f>IFERROR(__xludf.DUMMYFUNCTION("GOOGLETRANSLATE(B3549, ""nl"", ""en"")"),"A squid with extended tentacles")</f>
        <v>A squid with extended tentacles</v>
      </c>
    </row>
    <row r="3550" ht="15.75" customHeight="1">
      <c r="A3550" s="3" t="s">
        <v>24</v>
      </c>
      <c r="B3550" s="3" t="s">
        <v>48</v>
      </c>
      <c r="D3550" s="3" t="str">
        <f>IFERROR(__xludf.DUMMYFUNCTION("GOOGLETRANSLATE(A3550, ""nl"", ""en"")"),"Cosmic and Abstract Patterns")</f>
        <v>Cosmic and Abstract Patterns</v>
      </c>
      <c r="E3550" s="3" t="str">
        <f>IFERROR(__xludf.DUMMYFUNCTION("GOOGLETRANSLATE(B3550, ""nl"", ""en"")"),"A fractal that repeats itself")</f>
        <v>A fractal that repeats itself</v>
      </c>
    </row>
    <row r="3551" ht="15.75" customHeight="1">
      <c r="A3551" s="3" t="s">
        <v>15</v>
      </c>
      <c r="B3551" s="3" t="s">
        <v>52</v>
      </c>
      <c r="D3551" s="3" t="str">
        <f>IFERROR(__xludf.DUMMYFUNCTION("GOOGLETRANSLATE(A3551, ""nl"", ""en"")"),"Animals and Organic Forms")</f>
        <v>Animals and Organic Forms</v>
      </c>
      <c r="E3551" s="3" t="str">
        <f>IFERROR(__xludf.DUMMYFUNCTION("GOOGLETRANSLATE(B3551, ""nl"", ""en"")"),"A mask made of leaves")</f>
        <v>A mask made of leaves</v>
      </c>
    </row>
    <row r="3552" ht="15.75" customHeight="1">
      <c r="A3552" s="3" t="s">
        <v>15</v>
      </c>
      <c r="B3552" s="3" t="s">
        <v>16</v>
      </c>
      <c r="D3552" s="3" t="str">
        <f>IFERROR(__xludf.DUMMYFUNCTION("GOOGLETRANSLATE(A3552, ""nl"", ""en"")"),"Animals and Organic Forms")</f>
        <v>Animals and Organic Forms</v>
      </c>
      <c r="E3552" s="3" t="str">
        <f>IFERROR(__xludf.DUMMYFUNCTION("GOOGLETRANSLATE(B3552, ""nl"", ""en"")"),"A butterfly in transformation")</f>
        <v>A butterfly in transformation</v>
      </c>
    </row>
    <row r="3553" ht="15.75" customHeight="1">
      <c r="A3553" s="3" t="s">
        <v>4</v>
      </c>
      <c r="B3553" s="3" t="s">
        <v>5</v>
      </c>
      <c r="D3553" s="3" t="str">
        <f>IFERROR(__xludf.DUMMYFUNCTION("GOOGLETRANSLATE(A3553, ""nl"", ""en"")"),"Architectural and Structural Associations")</f>
        <v>Architectural and Structural Associations</v>
      </c>
      <c r="E3553" s="3" t="str">
        <f>IFERROR(__xludf.DUMMYFUNCTION("GOOGLETRANSLATE(B3553, ""nl"", ""en"")"),"A cathedral shaped from mist")</f>
        <v>A cathedral shaped from mist</v>
      </c>
    </row>
    <row r="3554" ht="15.75" customHeight="1">
      <c r="A3554" s="3" t="s">
        <v>12</v>
      </c>
      <c r="B3554" s="3" t="s">
        <v>30</v>
      </c>
      <c r="D3554" s="3" t="str">
        <f>IFERROR(__xludf.DUMMYFUNCTION("GOOGLETRANSLATE(A3554, ""nl"", ""en"")"),"Nature and Elements")</f>
        <v>Nature and Elements</v>
      </c>
      <c r="E3554" s="3" t="str">
        <f>IFERROR(__xludf.DUMMYFUNCTION("GOOGLETRANSLATE(B3554, ""nl"", ""en"")"),"Waves breaking in fractal patterns")</f>
        <v>Waves breaking in fractal patterns</v>
      </c>
    </row>
    <row r="3555" ht="15.75" customHeight="1">
      <c r="A3555" s="3" t="s">
        <v>15</v>
      </c>
      <c r="B3555" s="3" t="s">
        <v>22</v>
      </c>
      <c r="D3555" s="3" t="str">
        <f>IFERROR(__xludf.DUMMYFUNCTION("GOOGLETRANSLATE(A3555, ""nl"", ""en"")"),"Animals and Organic Forms")</f>
        <v>Animals and Organic Forms</v>
      </c>
      <c r="E3555" s="3" t="str">
        <f>IFERROR(__xludf.DUMMYFUNCTION("GOOGLETRANSLATE(B3555, ""nl"", ""en"")"),"A bird taking off")</f>
        <v>A bird taking off</v>
      </c>
    </row>
    <row r="3556" ht="15.75" customHeight="1">
      <c r="A3556" s="3" t="s">
        <v>9</v>
      </c>
      <c r="B3556" s="3" t="s">
        <v>17</v>
      </c>
      <c r="D3556" s="3" t="str">
        <f>IFERROR(__xludf.DUMMYFUNCTION("GOOGLETRANSLATE(A3556, ""nl"", ""en"")"),"Psychological and Emotional Interpretations")</f>
        <v>Psychological and Emotional Interpretations</v>
      </c>
      <c r="E3556" s="3" t="str">
        <f>IFERROR(__xludf.DUMMYFUNCTION("GOOGLETRANSLATE(B3556, ""nl"", ""en"")"),"A figure that seems to melt")</f>
        <v>A figure that seems to melt</v>
      </c>
    </row>
    <row r="3557" ht="15.75" customHeight="1">
      <c r="A3557" s="3" t="s">
        <v>9</v>
      </c>
      <c r="B3557" s="3" t="s">
        <v>57</v>
      </c>
      <c r="D3557" s="3" t="str">
        <f>IFERROR(__xludf.DUMMYFUNCTION("GOOGLETRANSLATE(A3557, ""nl"", ""en"")"),"Psychological and Emotional Interpretations")</f>
        <v>Psychological and Emotional Interpretations</v>
      </c>
      <c r="E3557" s="3" t="str">
        <f>IFERROR(__xludf.DUMMYFUNCTION("GOOGLETRANSLATE(B3557, ""nl"", ""en"")"),"An explosion of colours and feelings")</f>
        <v>An explosion of colours and feelings</v>
      </c>
    </row>
    <row r="3558" ht="15.75" customHeight="1">
      <c r="A3558" s="3" t="s">
        <v>4</v>
      </c>
      <c r="B3558" s="3" t="s">
        <v>21</v>
      </c>
      <c r="D3558" s="3" t="str">
        <f>IFERROR(__xludf.DUMMYFUNCTION("GOOGLETRANSLATE(A3558, ""nl"", ""en"")"),"Architectural and Structural Associations")</f>
        <v>Architectural and Structural Associations</v>
      </c>
      <c r="E3558" s="3" t="str">
        <f>IFERROR(__xludf.DUMMYFUNCTION("GOOGLETRANSLATE(B3558, ""nl"", ""en"")"),"A bridge that leads nowhere")</f>
        <v>A bridge that leads nowhere</v>
      </c>
    </row>
    <row r="3559" ht="15.75" customHeight="1">
      <c r="A3559" s="3" t="s">
        <v>12</v>
      </c>
      <c r="B3559" s="3" t="s">
        <v>30</v>
      </c>
      <c r="D3559" s="3" t="str">
        <f>IFERROR(__xludf.DUMMYFUNCTION("GOOGLETRANSLATE(A3559, ""nl"", ""en"")"),"Nature and Elements")</f>
        <v>Nature and Elements</v>
      </c>
      <c r="E3559" s="3" t="str">
        <f>IFERROR(__xludf.DUMMYFUNCTION("GOOGLETRANSLATE(B3559, ""nl"", ""en"")"),"Waves breaking in fractal patterns")</f>
        <v>Waves breaking in fractal patterns</v>
      </c>
    </row>
    <row r="3560" ht="15.75" customHeight="1">
      <c r="A3560" s="3" t="s">
        <v>24</v>
      </c>
      <c r="B3560" s="3" t="s">
        <v>25</v>
      </c>
      <c r="D3560" s="3" t="str">
        <f>IFERROR(__xludf.DUMMYFUNCTION("GOOGLETRANSLATE(A3560, ""nl"", ""en"")"),"Cosmic and Abstract Patterns")</f>
        <v>Cosmic and Abstract Patterns</v>
      </c>
      <c r="E3560" s="3" t="str">
        <f>IFERROR(__xludf.DUMMYFUNCTION("GOOGLETRANSLATE(B3560, ""nl"", ""en"")"),"A meteor shower dissolving into each other")</f>
        <v>A meteor shower dissolving into each other</v>
      </c>
    </row>
    <row r="3561" ht="15.75" customHeight="1">
      <c r="A3561" s="3" t="s">
        <v>24</v>
      </c>
      <c r="B3561" s="3" t="s">
        <v>25</v>
      </c>
      <c r="D3561" s="3" t="str">
        <f>IFERROR(__xludf.DUMMYFUNCTION("GOOGLETRANSLATE(A3561, ""nl"", ""en"")"),"Cosmic and Abstract Patterns")</f>
        <v>Cosmic and Abstract Patterns</v>
      </c>
      <c r="E3561" s="3" t="str">
        <f>IFERROR(__xludf.DUMMYFUNCTION("GOOGLETRANSLATE(B3561, ""nl"", ""en"")"),"A meteor shower dissolving into each other")</f>
        <v>A meteor shower dissolving into each other</v>
      </c>
    </row>
    <row r="3562" ht="15.75" customHeight="1">
      <c r="A3562" s="3" t="s">
        <v>15</v>
      </c>
      <c r="B3562" s="3" t="s">
        <v>52</v>
      </c>
      <c r="D3562" s="3" t="str">
        <f>IFERROR(__xludf.DUMMYFUNCTION("GOOGLETRANSLATE(A3562, ""nl"", ""en"")"),"Animals and Organic Forms")</f>
        <v>Animals and Organic Forms</v>
      </c>
      <c r="E3562" s="3" t="str">
        <f>IFERROR(__xludf.DUMMYFUNCTION("GOOGLETRANSLATE(B3562, ""nl"", ""en"")"),"A mask made of leaves")</f>
        <v>A mask made of leaves</v>
      </c>
    </row>
    <row r="3563" ht="15.75" customHeight="1">
      <c r="A3563" s="3" t="s">
        <v>24</v>
      </c>
      <c r="B3563" s="3" t="s">
        <v>33</v>
      </c>
      <c r="D3563" s="3" t="str">
        <f>IFERROR(__xludf.DUMMYFUNCTION("GOOGLETRANSLATE(A3563, ""nl"", ""en"")"),"Cosmic and Abstract Patterns")</f>
        <v>Cosmic and Abstract Patterns</v>
      </c>
      <c r="E3563" s="3" t="str">
        <f>IFERROR(__xludf.DUMMYFUNCTION("GOOGLETRANSLATE(B3563, ""nl"", ""en"")"),"An eye that repeats itself in endless patterns")</f>
        <v>An eye that repeats itself in endless patterns</v>
      </c>
    </row>
    <row r="3564" ht="15.75" customHeight="1">
      <c r="A3564" s="3" t="s">
        <v>24</v>
      </c>
      <c r="B3564" s="3" t="s">
        <v>33</v>
      </c>
      <c r="D3564" s="3" t="str">
        <f>IFERROR(__xludf.DUMMYFUNCTION("GOOGLETRANSLATE(A3564, ""nl"", ""en"")"),"Cosmic and Abstract Patterns")</f>
        <v>Cosmic and Abstract Patterns</v>
      </c>
      <c r="E3564" s="3" t="str">
        <f>IFERROR(__xludf.DUMMYFUNCTION("GOOGLETRANSLATE(B3564, ""nl"", ""en"")"),"An eye that repeats itself in endless patterns")</f>
        <v>An eye that repeats itself in endless patterns</v>
      </c>
    </row>
    <row r="3565" ht="15.75" customHeight="1">
      <c r="A3565" s="3" t="s">
        <v>7</v>
      </c>
      <c r="B3565" s="3" t="s">
        <v>56</v>
      </c>
      <c r="D3565" s="3" t="str">
        <f>IFERROR(__xludf.DUMMYFUNCTION("GOOGLETRANSLATE(A3565, ""nl"", ""en"")"),"Human Figures and Physicality")</f>
        <v>Human Figures and Physicality</v>
      </c>
      <c r="E3565" s="3" t="str">
        <f>IFERROR(__xludf.DUMMYFUNCTION("GOOGLETRANSLATE(B3565, ""nl"", ""en"")"),"A shadow that seems to move")</f>
        <v>A shadow that seems to move</v>
      </c>
    </row>
    <row r="3566" ht="15.75" customHeight="1">
      <c r="A3566" s="3" t="s">
        <v>12</v>
      </c>
      <c r="B3566" s="3" t="s">
        <v>47</v>
      </c>
      <c r="D3566" s="3" t="str">
        <f>IFERROR(__xludf.DUMMYFUNCTION("GOOGLETRANSLATE(A3566, ""nl"", ""en"")"),"Nature and Elements")</f>
        <v>Nature and Elements</v>
      </c>
      <c r="E3566" s="3" t="str">
        <f>IFERROR(__xludf.DUMMYFUNCTION("GOOGLETRANSLATE(B3566, ""nl"", ""en"")"),"A desert landscape that slowly changes")</f>
        <v>A desert landscape that slowly changes</v>
      </c>
    </row>
    <row r="3567" ht="15.75" customHeight="1">
      <c r="A3567" s="3" t="s">
        <v>7</v>
      </c>
      <c r="B3567" s="3" t="s">
        <v>8</v>
      </c>
      <c r="D3567" s="3" t="str">
        <f>IFERROR(__xludf.DUMMYFUNCTION("GOOGLETRANSLATE(A3567, ""nl"", ""en"")"),"Human Figures and Physicality")</f>
        <v>Human Figures and Physicality</v>
      </c>
      <c r="E3567" s="3" t="str">
        <f>IFERROR(__xludf.DUMMYFUNCTION("GOOGLETRANSLATE(B3567, ""nl"", ""en"")"),"Two figures mirroring each other")</f>
        <v>Two figures mirroring each other</v>
      </c>
    </row>
    <row r="3568" ht="15.75" customHeight="1">
      <c r="A3568" s="3" t="s">
        <v>12</v>
      </c>
      <c r="B3568" s="3" t="s">
        <v>18</v>
      </c>
      <c r="D3568" s="3" t="str">
        <f>IFERROR(__xludf.DUMMYFUNCTION("GOOGLETRANSLATE(A3568, ""nl"", ""en"")"),"Nature and Elements")</f>
        <v>Nature and Elements</v>
      </c>
      <c r="E3568" s="3" t="str">
        <f>IFERROR(__xludf.DUMMYFUNCTION("GOOGLETRANSLATE(B3568, ""nl"", ""en"")"),"A tree with endless branches")</f>
        <v>A tree with endless branches</v>
      </c>
    </row>
    <row r="3569" ht="15.75" customHeight="1">
      <c r="A3569" s="3" t="s">
        <v>7</v>
      </c>
      <c r="B3569" s="3" t="s">
        <v>41</v>
      </c>
      <c r="D3569" s="3" t="str">
        <f>IFERROR(__xludf.DUMMYFUNCTION("GOOGLETRANSLATE(A3569, ""nl"", ""en"")"),"Human Figures and Physicality")</f>
        <v>Human Figures and Physicality</v>
      </c>
      <c r="E3569" s="3" t="str">
        <f>IFERROR(__xludf.DUMMYFUNCTION("GOOGLETRANSLATE(B3569, ""nl"", ""en"")"),"A face that fades into abstraction")</f>
        <v>A face that fades into abstraction</v>
      </c>
    </row>
    <row r="3570" ht="15.75" customHeight="1">
      <c r="A3570" s="3" t="s">
        <v>15</v>
      </c>
      <c r="B3570" s="3" t="s">
        <v>22</v>
      </c>
      <c r="D3570" s="3" t="str">
        <f>IFERROR(__xludf.DUMMYFUNCTION("GOOGLETRANSLATE(A3570, ""nl"", ""en"")"),"Animals and Organic Forms")</f>
        <v>Animals and Organic Forms</v>
      </c>
      <c r="E3570" s="3" t="str">
        <f>IFERROR(__xludf.DUMMYFUNCTION("GOOGLETRANSLATE(B3570, ""nl"", ""en"")"),"A bird taking off")</f>
        <v>A bird taking off</v>
      </c>
    </row>
    <row r="3571" ht="15.75" customHeight="1">
      <c r="A3571" s="3" t="s">
        <v>15</v>
      </c>
      <c r="B3571" s="3" t="s">
        <v>46</v>
      </c>
      <c r="D3571" s="3" t="str">
        <f>IFERROR(__xludf.DUMMYFUNCTION("GOOGLETRANSLATE(A3571, ""nl"", ""en"")"),"Animals and Organic Forms")</f>
        <v>Animals and Organic Forms</v>
      </c>
      <c r="E3571" s="3" t="str">
        <f>IFERROR(__xludf.DUMMYFUNCTION("GOOGLETRANSLATE(B3571, ""nl"", ""en"")"),"A flock of fish moving as one")</f>
        <v>A flock of fish moving as one</v>
      </c>
    </row>
    <row r="3572" ht="15.75" customHeight="1">
      <c r="A3572" s="3" t="s">
        <v>24</v>
      </c>
      <c r="B3572" s="3" t="s">
        <v>32</v>
      </c>
      <c r="D3572" s="3" t="str">
        <f>IFERROR(__xludf.DUMMYFUNCTION("GOOGLETRANSLATE(A3572, ""nl"", ""en"")"),"Cosmic and Abstract Patterns")</f>
        <v>Cosmic and Abstract Patterns</v>
      </c>
      <c r="E3572" s="3" t="str">
        <f>IFERROR(__xludf.DUMMYFUNCTION("GOOGLETRANSLATE(B3572, ""nl"", ""en"")"),"A time loop captured in image")</f>
        <v>A time loop captured in image</v>
      </c>
    </row>
    <row r="3573" ht="15.75" customHeight="1">
      <c r="A3573" s="3" t="s">
        <v>12</v>
      </c>
      <c r="B3573" s="3" t="s">
        <v>47</v>
      </c>
      <c r="D3573" s="3" t="str">
        <f>IFERROR(__xludf.DUMMYFUNCTION("GOOGLETRANSLATE(A3573, ""nl"", ""en"")"),"Nature and Elements")</f>
        <v>Nature and Elements</v>
      </c>
      <c r="E3573" s="3" t="str">
        <f>IFERROR(__xludf.DUMMYFUNCTION("GOOGLETRANSLATE(B3573, ""nl"", ""en"")"),"A desert landscape that slowly changes")</f>
        <v>A desert landscape that slowly changes</v>
      </c>
    </row>
    <row r="3574" ht="15.75" customHeight="1">
      <c r="A3574" s="3" t="s">
        <v>24</v>
      </c>
      <c r="B3574" s="3" t="s">
        <v>32</v>
      </c>
      <c r="D3574" s="3" t="str">
        <f>IFERROR(__xludf.DUMMYFUNCTION("GOOGLETRANSLATE(A3574, ""nl"", ""en"")"),"Cosmic and Abstract Patterns")</f>
        <v>Cosmic and Abstract Patterns</v>
      </c>
      <c r="E3574" s="3" t="str">
        <f>IFERROR(__xludf.DUMMYFUNCTION("GOOGLETRANSLATE(B3574, ""nl"", ""en"")"),"A time loop captured in image")</f>
        <v>A time loop captured in image</v>
      </c>
    </row>
    <row r="3575" ht="15.75" customHeight="1">
      <c r="A3575" s="3" t="s">
        <v>12</v>
      </c>
      <c r="B3575" s="3" t="s">
        <v>13</v>
      </c>
      <c r="D3575" s="3" t="str">
        <f>IFERROR(__xludf.DUMMYFUNCTION("GOOGLETRANSLATE(A3575, ""nl"", ""en"")"),"Nature and Elements")</f>
        <v>Nature and Elements</v>
      </c>
      <c r="E3575" s="3" t="str">
        <f>IFERROR(__xludf.DUMMYFUNCTION("GOOGLETRANSLATE(B3575, ""nl"", ""en"")"),"A lightning strike in slow motion")</f>
        <v>A lightning strike in slow motion</v>
      </c>
    </row>
    <row r="3576" ht="15.75" customHeight="1">
      <c r="A3576" s="3" t="s">
        <v>24</v>
      </c>
      <c r="B3576" s="3" t="s">
        <v>48</v>
      </c>
      <c r="D3576" s="3" t="str">
        <f>IFERROR(__xludf.DUMMYFUNCTION("GOOGLETRANSLATE(A3576, ""nl"", ""en"")"),"Cosmic and Abstract Patterns")</f>
        <v>Cosmic and Abstract Patterns</v>
      </c>
      <c r="E3576" s="3" t="str">
        <f>IFERROR(__xludf.DUMMYFUNCTION("GOOGLETRANSLATE(B3576, ""nl"", ""en"")"),"A fractal that repeats itself")</f>
        <v>A fractal that repeats itself</v>
      </c>
    </row>
    <row r="3577" ht="15.75" customHeight="1">
      <c r="A3577" s="3" t="s">
        <v>24</v>
      </c>
      <c r="B3577" s="3" t="s">
        <v>31</v>
      </c>
      <c r="D3577" s="3" t="str">
        <f>IFERROR(__xludf.DUMMYFUNCTION("GOOGLETRANSLATE(A3577, ""nl"", ""en"")"),"Cosmic and Abstract Patterns")</f>
        <v>Cosmic and Abstract Patterns</v>
      </c>
      <c r="E3577" s="3" t="str">
        <f>IFERROR(__xludf.DUMMYFUNCTION("GOOGLETRANSLATE(B3577, ""nl"", ""en"")"),"A planet with unusual rings")</f>
        <v>A planet with unusual rings</v>
      </c>
    </row>
    <row r="3578" ht="15.75" customHeight="1">
      <c r="A3578" s="3" t="s">
        <v>15</v>
      </c>
      <c r="B3578" s="3" t="s">
        <v>45</v>
      </c>
      <c r="D3578" s="3" t="str">
        <f>IFERROR(__xludf.DUMMYFUNCTION("GOOGLETRANSLATE(A3578, ""nl"", ""en"")"),"Animals and Organic Forms")</f>
        <v>Animals and Organic Forms</v>
      </c>
      <c r="E3578" s="3" t="str">
        <f>IFERROR(__xludf.DUMMYFUNCTION("GOOGLETRANSLATE(B3578, ""nl"", ""en"")"),"A snake biting its own tail")</f>
        <v>A snake biting its own tail</v>
      </c>
    </row>
    <row r="3579" ht="15.75" customHeight="1">
      <c r="A3579" s="3" t="s">
        <v>15</v>
      </c>
      <c r="B3579" s="3" t="s">
        <v>26</v>
      </c>
      <c r="D3579" s="3" t="str">
        <f>IFERROR(__xludf.DUMMYFUNCTION("GOOGLETRANSLATE(A3579, ""nl"", ""en"")"),"Animals and Organic Forms")</f>
        <v>Animals and Organic Forms</v>
      </c>
      <c r="E3579" s="3" t="str">
        <f>IFERROR(__xludf.DUMMYFUNCTION("GOOGLETRANSLATE(B3579, ""nl"", ""en"")"),"A frog preparing to jump")</f>
        <v>A frog preparing to jump</v>
      </c>
    </row>
    <row r="3580" ht="15.75" customHeight="1">
      <c r="A3580" s="3" t="s">
        <v>7</v>
      </c>
      <c r="B3580" s="3" t="s">
        <v>41</v>
      </c>
      <c r="D3580" s="3" t="str">
        <f>IFERROR(__xludf.DUMMYFUNCTION("GOOGLETRANSLATE(A3580, ""nl"", ""en"")"),"Human Figures and Physicality")</f>
        <v>Human Figures and Physicality</v>
      </c>
      <c r="E3580" s="3" t="str">
        <f>IFERROR(__xludf.DUMMYFUNCTION("GOOGLETRANSLATE(B3580, ""nl"", ""en"")"),"A face that fades into abstraction")</f>
        <v>A face that fades into abstraction</v>
      </c>
    </row>
    <row r="3581" ht="15.75" customHeight="1">
      <c r="A3581" s="3" t="s">
        <v>24</v>
      </c>
      <c r="B3581" s="3" t="s">
        <v>33</v>
      </c>
      <c r="D3581" s="3" t="str">
        <f>IFERROR(__xludf.DUMMYFUNCTION("GOOGLETRANSLATE(A3581, ""nl"", ""en"")"),"Cosmic and Abstract Patterns")</f>
        <v>Cosmic and Abstract Patterns</v>
      </c>
      <c r="E3581" s="3" t="str">
        <f>IFERROR(__xludf.DUMMYFUNCTION("GOOGLETRANSLATE(B3581, ""nl"", ""en"")"),"An eye that repeats itself in endless patterns")</f>
        <v>An eye that repeats itself in endless patterns</v>
      </c>
    </row>
    <row r="3582" ht="15.75" customHeight="1">
      <c r="A3582" s="3" t="s">
        <v>4</v>
      </c>
      <c r="B3582" s="3" t="s">
        <v>55</v>
      </c>
      <c r="D3582" s="3" t="str">
        <f>IFERROR(__xludf.DUMMYFUNCTION("GOOGLETRANSLATE(A3582, ""nl"", ""en"")"),"Architectural and Structural Associations")</f>
        <v>Architectural and Structural Associations</v>
      </c>
      <c r="E3582" s="3" t="str">
        <f>IFERROR(__xludf.DUMMYFUNCTION("GOOGLETRANSLATE(B3582, ""nl"", ""en"")"),"A prism that splits light into colors")</f>
        <v>A prism that splits light into colors</v>
      </c>
    </row>
    <row r="3583" ht="15.75" customHeight="1">
      <c r="A3583" s="3" t="s">
        <v>9</v>
      </c>
      <c r="B3583" s="3" t="s">
        <v>10</v>
      </c>
      <c r="D3583" s="3" t="str">
        <f>IFERROR(__xludf.DUMMYFUNCTION("GOOGLETRANSLATE(A3583, ""nl"", ""en"")"),"Psychological and Emotional Interpretations")</f>
        <v>Psychological and Emotional Interpretations</v>
      </c>
      <c r="E3583" s="3" t="str">
        <f>IFERROR(__xludf.DUMMYFUNCTION("GOOGLETRANSLATE(B3583, ""nl"", ""en"")"),"A face transforming in light")</f>
        <v>A face transforming in light</v>
      </c>
    </row>
    <row r="3584" ht="15.75" customHeight="1">
      <c r="A3584" s="3" t="s">
        <v>9</v>
      </c>
      <c r="B3584" s="3" t="s">
        <v>49</v>
      </c>
      <c r="D3584" s="3" t="str">
        <f>IFERROR(__xludf.DUMMYFUNCTION("GOOGLETRANSLATE(A3584, ""nl"", ""en"")"),"Psychological and Emotional Interpretations")</f>
        <v>Psychological and Emotional Interpretations</v>
      </c>
      <c r="E3584" s="3" t="str">
        <f>IFERROR(__xludf.DUMMYFUNCTION("GOOGLETRANSLATE(B3584, ""nl"", ""en"")"),"A spiral that turns inward")</f>
        <v>A spiral that turns inward</v>
      </c>
    </row>
    <row r="3585" ht="15.75" customHeight="1">
      <c r="A3585" s="3" t="s">
        <v>24</v>
      </c>
      <c r="B3585" s="3" t="s">
        <v>54</v>
      </c>
      <c r="D3585" s="3" t="str">
        <f>IFERROR(__xludf.DUMMYFUNCTION("GOOGLETRANSLATE(A3585, ""nl"", ""en"")"),"Cosmic and Abstract Patterns")</f>
        <v>Cosmic and Abstract Patterns</v>
      </c>
      <c r="E3585" s="3" t="str">
        <f>IFERROR(__xludf.DUMMYFUNCTION("GOOGLETRANSLATE(B3585, ""nl"", ""en"")"),"A quantum particle in superposition")</f>
        <v>A quantum particle in superposition</v>
      </c>
    </row>
    <row r="3586" ht="15.75" customHeight="1">
      <c r="A3586" s="3" t="s">
        <v>7</v>
      </c>
      <c r="B3586" s="3" t="s">
        <v>56</v>
      </c>
      <c r="D3586" s="3" t="str">
        <f>IFERROR(__xludf.DUMMYFUNCTION("GOOGLETRANSLATE(A3586, ""nl"", ""en"")"),"Human Figures and Physicality")</f>
        <v>Human Figures and Physicality</v>
      </c>
      <c r="E3586" s="3" t="str">
        <f>IFERROR(__xludf.DUMMYFUNCTION("GOOGLETRANSLATE(B3586, ""nl"", ""en"")"),"A shadow that seems to move")</f>
        <v>A shadow that seems to move</v>
      </c>
    </row>
    <row r="3587" ht="15.75" customHeight="1">
      <c r="A3587" s="3" t="s">
        <v>9</v>
      </c>
      <c r="B3587" s="3" t="s">
        <v>14</v>
      </c>
      <c r="D3587" s="3" t="str">
        <f>IFERROR(__xludf.DUMMYFUNCTION("GOOGLETRANSLATE(A3587, ""nl"", ""en"")"),"Psychological and Emotional Interpretations")</f>
        <v>Psychological and Emotional Interpretations</v>
      </c>
      <c r="E3587" s="3" t="str">
        <f>IFERROR(__xludf.DUMMYFUNCTION("GOOGLETRANSLATE(B3587, ""nl"", ""en"")"),"An unclear hug")</f>
        <v>An unclear hug</v>
      </c>
    </row>
    <row r="3588" ht="15.75" customHeight="1">
      <c r="A3588" s="3" t="s">
        <v>7</v>
      </c>
      <c r="B3588" s="3" t="s">
        <v>56</v>
      </c>
      <c r="D3588" s="3" t="str">
        <f>IFERROR(__xludf.DUMMYFUNCTION("GOOGLETRANSLATE(A3588, ""nl"", ""en"")"),"Human Figures and Physicality")</f>
        <v>Human Figures and Physicality</v>
      </c>
      <c r="E3588" s="3" t="str">
        <f>IFERROR(__xludf.DUMMYFUNCTION("GOOGLETRANSLATE(B3588, ""nl"", ""en"")"),"A shadow that seems to move")</f>
        <v>A shadow that seems to move</v>
      </c>
    </row>
    <row r="3589" ht="15.75" customHeight="1">
      <c r="A3589" s="3" t="s">
        <v>15</v>
      </c>
      <c r="B3589" s="3" t="s">
        <v>52</v>
      </c>
      <c r="D3589" s="3" t="str">
        <f>IFERROR(__xludf.DUMMYFUNCTION("GOOGLETRANSLATE(A3589, ""nl"", ""en"")"),"Animals and Organic Forms")</f>
        <v>Animals and Organic Forms</v>
      </c>
      <c r="E3589" s="3" t="str">
        <f>IFERROR(__xludf.DUMMYFUNCTION("GOOGLETRANSLATE(B3589, ""nl"", ""en"")"),"A mask made of leaves")</f>
        <v>A mask made of leaves</v>
      </c>
    </row>
    <row r="3590" ht="15.75" customHeight="1">
      <c r="A3590" s="3" t="s">
        <v>15</v>
      </c>
      <c r="B3590" s="3" t="s">
        <v>26</v>
      </c>
      <c r="D3590" s="3" t="str">
        <f>IFERROR(__xludf.DUMMYFUNCTION("GOOGLETRANSLATE(A3590, ""nl"", ""en"")"),"Animals and Organic Forms")</f>
        <v>Animals and Organic Forms</v>
      </c>
      <c r="E3590" s="3" t="str">
        <f>IFERROR(__xludf.DUMMYFUNCTION("GOOGLETRANSLATE(B3590, ""nl"", ""en"")"),"A frog preparing to jump")</f>
        <v>A frog preparing to jump</v>
      </c>
    </row>
    <row r="3591" ht="15.75" customHeight="1">
      <c r="A3591" s="3" t="s">
        <v>12</v>
      </c>
      <c r="B3591" s="3" t="s">
        <v>18</v>
      </c>
      <c r="D3591" s="3" t="str">
        <f>IFERROR(__xludf.DUMMYFUNCTION("GOOGLETRANSLATE(A3591, ""nl"", ""en"")"),"Nature and Elements")</f>
        <v>Nature and Elements</v>
      </c>
      <c r="E3591" s="3" t="str">
        <f>IFERROR(__xludf.DUMMYFUNCTION("GOOGLETRANSLATE(B3591, ""nl"", ""en"")"),"A tree with endless branches")</f>
        <v>A tree with endless branches</v>
      </c>
    </row>
    <row r="3592" ht="15.75" customHeight="1">
      <c r="A3592" s="3" t="s">
        <v>15</v>
      </c>
      <c r="B3592" s="3" t="s">
        <v>45</v>
      </c>
      <c r="D3592" s="3" t="str">
        <f>IFERROR(__xludf.DUMMYFUNCTION("GOOGLETRANSLATE(A3592, ""nl"", ""en"")"),"Animals and Organic Forms")</f>
        <v>Animals and Organic Forms</v>
      </c>
      <c r="E3592" s="3" t="str">
        <f>IFERROR(__xludf.DUMMYFUNCTION("GOOGLETRANSLATE(B3592, ""nl"", ""en"")"),"A snake biting its own tail")</f>
        <v>A snake biting its own tail</v>
      </c>
    </row>
    <row r="3593" ht="15.75" customHeight="1">
      <c r="A3593" s="3" t="s">
        <v>4</v>
      </c>
      <c r="B3593" s="3" t="s">
        <v>20</v>
      </c>
      <c r="D3593" s="3" t="str">
        <f>IFERROR(__xludf.DUMMYFUNCTION("GOOGLETRANSLATE(A3593, ""nl"", ""en"")"),"Architectural and Structural Associations")</f>
        <v>Architectural and Structural Associations</v>
      </c>
      <c r="E3593" s="3" t="str">
        <f>IFERROR(__xludf.DUMMYFUNCTION("GOOGLETRANSLATE(B3593, ""nl"", ""en"")"),"A tower that grows by itself")</f>
        <v>A tower that grows by itself</v>
      </c>
    </row>
    <row r="3594" ht="15.75" customHeight="1">
      <c r="A3594" s="3" t="s">
        <v>24</v>
      </c>
      <c r="B3594" s="3" t="s">
        <v>31</v>
      </c>
      <c r="D3594" s="3" t="str">
        <f>IFERROR(__xludf.DUMMYFUNCTION("GOOGLETRANSLATE(A3594, ""nl"", ""en"")"),"Cosmic and Abstract Patterns")</f>
        <v>Cosmic and Abstract Patterns</v>
      </c>
      <c r="E3594" s="3" t="str">
        <f>IFERROR(__xludf.DUMMYFUNCTION("GOOGLETRANSLATE(B3594, ""nl"", ""en"")"),"A planet with unusual rings")</f>
        <v>A planet with unusual rings</v>
      </c>
    </row>
    <row r="3595" ht="15.75" customHeight="1">
      <c r="A3595" s="3" t="s">
        <v>4</v>
      </c>
      <c r="B3595" s="3" t="s">
        <v>5</v>
      </c>
      <c r="D3595" s="3" t="str">
        <f>IFERROR(__xludf.DUMMYFUNCTION("GOOGLETRANSLATE(A3595, ""nl"", ""en"")"),"Architectural and Structural Associations")</f>
        <v>Architectural and Structural Associations</v>
      </c>
      <c r="E3595" s="3" t="str">
        <f>IFERROR(__xludf.DUMMYFUNCTION("GOOGLETRANSLATE(B3595, ""nl"", ""en"")"),"A cathedral shaped from mist")</f>
        <v>A cathedral shaped from mist</v>
      </c>
    </row>
    <row r="3596" ht="15.75" customHeight="1">
      <c r="A3596" s="3" t="s">
        <v>24</v>
      </c>
      <c r="B3596" s="3" t="s">
        <v>25</v>
      </c>
      <c r="D3596" s="3" t="str">
        <f>IFERROR(__xludf.DUMMYFUNCTION("GOOGLETRANSLATE(A3596, ""nl"", ""en"")"),"Cosmic and Abstract Patterns")</f>
        <v>Cosmic and Abstract Patterns</v>
      </c>
      <c r="E3596" s="3" t="str">
        <f>IFERROR(__xludf.DUMMYFUNCTION("GOOGLETRANSLATE(B3596, ""nl"", ""en"")"),"A meteor shower dissolving into each other")</f>
        <v>A meteor shower dissolving into each other</v>
      </c>
    </row>
    <row r="3597" ht="15.75" customHeight="1">
      <c r="A3597" s="3" t="s">
        <v>9</v>
      </c>
      <c r="B3597" s="3" t="s">
        <v>11</v>
      </c>
      <c r="D3597" s="3" t="str">
        <f>IFERROR(__xludf.DUMMYFUNCTION("GOOGLETRANSLATE(A3597, ""nl"", ""en"")"),"Psychological and Emotional Interpretations")</f>
        <v>Psychological and Emotional Interpretations</v>
      </c>
      <c r="E3597" s="3" t="str">
        <f>IFERROR(__xludf.DUMMYFUNCTION("GOOGLETRANSLATE(B3597, ""nl"", ""en"")"),"An emotion captured in abstraction")</f>
        <v>An emotion captured in abstraction</v>
      </c>
    </row>
    <row r="3598" ht="15.75" customHeight="1">
      <c r="A3598" s="3" t="s">
        <v>4</v>
      </c>
      <c r="B3598" s="3" t="s">
        <v>44</v>
      </c>
      <c r="D3598" s="3" t="str">
        <f>IFERROR(__xludf.DUMMYFUNCTION("GOOGLETRANSLATE(A3598, ""nl"", ""en"")"),"Architectural and Structural Associations")</f>
        <v>Architectural and Structural Associations</v>
      </c>
      <c r="E3598" s="3" t="str">
        <f>IFERROR(__xludf.DUMMYFUNCTION("GOOGLETRANSLATE(B3598, ""nl"", ""en"")"),"A structure that pulsates in waves")</f>
        <v>A structure that pulsates in waves</v>
      </c>
    </row>
    <row r="3599" ht="15.75" customHeight="1">
      <c r="A3599" s="3" t="s">
        <v>24</v>
      </c>
      <c r="B3599" s="3" t="s">
        <v>48</v>
      </c>
      <c r="D3599" s="3" t="str">
        <f>IFERROR(__xludf.DUMMYFUNCTION("GOOGLETRANSLATE(A3599, ""nl"", ""en"")"),"Cosmic and Abstract Patterns")</f>
        <v>Cosmic and Abstract Patterns</v>
      </c>
      <c r="E3599" s="3" t="str">
        <f>IFERROR(__xludf.DUMMYFUNCTION("GOOGLETRANSLATE(B3599, ""nl"", ""en"")"),"A fractal that repeats itself")</f>
        <v>A fractal that repeats itself</v>
      </c>
    </row>
    <row r="3600" ht="15.75" customHeight="1">
      <c r="A3600" s="3" t="s">
        <v>12</v>
      </c>
      <c r="B3600" s="3" t="s">
        <v>19</v>
      </c>
      <c r="D3600" s="3" t="str">
        <f>IFERROR(__xludf.DUMMYFUNCTION("GOOGLETRANSLATE(A3600, ""nl"", ""en"")"),"Nature and Elements")</f>
        <v>Nature and Elements</v>
      </c>
      <c r="E3600" s="3" t="str">
        <f>IFERROR(__xludf.DUMMYFUNCTION("GOOGLETRANSLATE(B3600, ""nl"", ""en"")"),"A mountain range that seems to breathe")</f>
        <v>A mountain range that seems to breathe</v>
      </c>
    </row>
    <row r="3601" ht="15.75" customHeight="1">
      <c r="A3601" s="3" t="s">
        <v>12</v>
      </c>
      <c r="B3601" s="3" t="s">
        <v>18</v>
      </c>
      <c r="D3601" s="3" t="str">
        <f>IFERROR(__xludf.DUMMYFUNCTION("GOOGLETRANSLATE(A3601, ""nl"", ""en"")"),"Nature and Elements")</f>
        <v>Nature and Elements</v>
      </c>
      <c r="E3601" s="3" t="str">
        <f>IFERROR(__xludf.DUMMYFUNCTION("GOOGLETRANSLATE(B3601, ""nl"", ""en"")"),"A tree with endless branches")</f>
        <v>A tree with endless branches</v>
      </c>
    </row>
    <row r="3602" ht="15.75" customHeight="1">
      <c r="A3602" s="3" t="s">
        <v>15</v>
      </c>
      <c r="B3602" s="3" t="s">
        <v>52</v>
      </c>
      <c r="D3602" s="3" t="str">
        <f>IFERROR(__xludf.DUMMYFUNCTION("GOOGLETRANSLATE(A3602, ""nl"", ""en"")"),"Animals and Organic Forms")</f>
        <v>Animals and Organic Forms</v>
      </c>
      <c r="E3602" s="3" t="str">
        <f>IFERROR(__xludf.DUMMYFUNCTION("GOOGLETRANSLATE(B3602, ""nl"", ""en"")"),"A mask made of leaves")</f>
        <v>A mask made of leaves</v>
      </c>
    </row>
    <row r="3603" ht="15.75" customHeight="1">
      <c r="A3603" s="3" t="s">
        <v>15</v>
      </c>
      <c r="B3603" s="3" t="s">
        <v>50</v>
      </c>
      <c r="D3603" s="3" t="str">
        <f>IFERROR(__xludf.DUMMYFUNCTION("GOOGLETRANSLATE(A3603, ""nl"", ""en"")"),"Animals and Organic Forms")</f>
        <v>Animals and Organic Forms</v>
      </c>
      <c r="E3603" s="3" t="str">
        <f>IFERROR(__xludf.DUMMYFUNCTION("GOOGLETRANSLATE(B3603, ""nl"", ""en"")"),"A squid with extended tentacles")</f>
        <v>A squid with extended tentacles</v>
      </c>
    </row>
    <row r="3604" ht="15.75" customHeight="1">
      <c r="A3604" s="3" t="s">
        <v>12</v>
      </c>
      <c r="B3604" s="3" t="s">
        <v>19</v>
      </c>
      <c r="D3604" s="3" t="str">
        <f>IFERROR(__xludf.DUMMYFUNCTION("GOOGLETRANSLATE(A3604, ""nl"", ""en"")"),"Nature and Elements")</f>
        <v>Nature and Elements</v>
      </c>
      <c r="E3604" s="3" t="str">
        <f>IFERROR(__xludf.DUMMYFUNCTION("GOOGLETRANSLATE(B3604, ""nl"", ""en"")"),"A mountain range that seems to breathe")</f>
        <v>A mountain range that seems to breathe</v>
      </c>
    </row>
    <row r="3605" ht="15.75" customHeight="1">
      <c r="A3605" s="3" t="s">
        <v>4</v>
      </c>
      <c r="B3605" s="3" t="s">
        <v>44</v>
      </c>
      <c r="D3605" s="3" t="str">
        <f>IFERROR(__xludf.DUMMYFUNCTION("GOOGLETRANSLATE(A3605, ""nl"", ""en"")"),"Architectural and Structural Associations")</f>
        <v>Architectural and Structural Associations</v>
      </c>
      <c r="E3605" s="3" t="str">
        <f>IFERROR(__xludf.DUMMYFUNCTION("GOOGLETRANSLATE(B3605, ""nl"", ""en"")"),"A structure that pulsates in waves")</f>
        <v>A structure that pulsates in waves</v>
      </c>
    </row>
    <row r="3606" ht="15.75" customHeight="1">
      <c r="A3606" s="3" t="s">
        <v>4</v>
      </c>
      <c r="B3606" s="3" t="s">
        <v>21</v>
      </c>
      <c r="D3606" s="3" t="str">
        <f>IFERROR(__xludf.DUMMYFUNCTION("GOOGLETRANSLATE(A3606, ""nl"", ""en"")"),"Architectural and Structural Associations")</f>
        <v>Architectural and Structural Associations</v>
      </c>
      <c r="E3606" s="3" t="str">
        <f>IFERROR(__xludf.DUMMYFUNCTION("GOOGLETRANSLATE(B3606, ""nl"", ""en"")"),"A bridge that leads nowhere")</f>
        <v>A bridge that leads nowhere</v>
      </c>
    </row>
    <row r="3607" ht="15.75" customHeight="1">
      <c r="A3607" s="3" t="s">
        <v>12</v>
      </c>
      <c r="B3607" s="3" t="s">
        <v>13</v>
      </c>
      <c r="D3607" s="3" t="str">
        <f>IFERROR(__xludf.DUMMYFUNCTION("GOOGLETRANSLATE(A3607, ""nl"", ""en"")"),"Nature and Elements")</f>
        <v>Nature and Elements</v>
      </c>
      <c r="E3607" s="3" t="str">
        <f>IFERROR(__xludf.DUMMYFUNCTION("GOOGLETRANSLATE(B3607, ""nl"", ""en"")"),"A lightning strike in slow motion")</f>
        <v>A lightning strike in slow motion</v>
      </c>
    </row>
    <row r="3608" ht="15.75" customHeight="1">
      <c r="A3608" s="3" t="s">
        <v>7</v>
      </c>
      <c r="B3608" s="3" t="s">
        <v>53</v>
      </c>
      <c r="D3608" s="3" t="str">
        <f>IFERROR(__xludf.DUMMYFUNCTION("GOOGLETRANSLATE(A3608, ""nl"", ""en"")"),"Human Figures and Physicality")</f>
        <v>Human Figures and Physicality</v>
      </c>
      <c r="E3608" s="3" t="str">
        <f>IFERROR(__xludf.DUMMYFUNCTION("GOOGLETRANSLATE(B3608, ""nl"", ""en"")"),"A face that both smiles and cries")</f>
        <v>A face that both smiles and cries</v>
      </c>
    </row>
    <row r="3609" ht="15.75" customHeight="1">
      <c r="A3609" s="3" t="s">
        <v>15</v>
      </c>
      <c r="B3609" s="3" t="s">
        <v>46</v>
      </c>
      <c r="D3609" s="3" t="str">
        <f>IFERROR(__xludf.DUMMYFUNCTION("GOOGLETRANSLATE(A3609, ""nl"", ""en"")"),"Animals and Organic Forms")</f>
        <v>Animals and Organic Forms</v>
      </c>
      <c r="E3609" s="3" t="str">
        <f>IFERROR(__xludf.DUMMYFUNCTION("GOOGLETRANSLATE(B3609, ""nl"", ""en"")"),"A flock of fish moving as one")</f>
        <v>A flock of fish moving as one</v>
      </c>
    </row>
    <row r="3610" ht="15.75" customHeight="1">
      <c r="A3610" s="3" t="s">
        <v>4</v>
      </c>
      <c r="B3610" s="3" t="s">
        <v>20</v>
      </c>
      <c r="D3610" s="3" t="str">
        <f>IFERROR(__xludf.DUMMYFUNCTION("GOOGLETRANSLATE(A3610, ""nl"", ""en"")"),"Architectural and Structural Associations")</f>
        <v>Architectural and Structural Associations</v>
      </c>
      <c r="E3610" s="3" t="str">
        <f>IFERROR(__xludf.DUMMYFUNCTION("GOOGLETRANSLATE(B3610, ""nl"", ""en"")"),"A tower that grows by itself")</f>
        <v>A tower that grows by itself</v>
      </c>
    </row>
    <row r="3611" ht="15.75" customHeight="1">
      <c r="A3611" s="3" t="s">
        <v>24</v>
      </c>
      <c r="B3611" s="3" t="s">
        <v>32</v>
      </c>
      <c r="D3611" s="3" t="str">
        <f>IFERROR(__xludf.DUMMYFUNCTION("GOOGLETRANSLATE(A3611, ""nl"", ""en"")"),"Cosmic and Abstract Patterns")</f>
        <v>Cosmic and Abstract Patterns</v>
      </c>
      <c r="E3611" s="3" t="str">
        <f>IFERROR(__xludf.DUMMYFUNCTION("GOOGLETRANSLATE(B3611, ""nl"", ""en"")"),"A time loop captured in image")</f>
        <v>A time loop captured in image</v>
      </c>
    </row>
    <row r="3612" ht="15.75" customHeight="1">
      <c r="A3612" s="3" t="s">
        <v>24</v>
      </c>
      <c r="B3612" s="3" t="s">
        <v>31</v>
      </c>
      <c r="D3612" s="3" t="str">
        <f>IFERROR(__xludf.DUMMYFUNCTION("GOOGLETRANSLATE(A3612, ""nl"", ""en"")"),"Cosmic and Abstract Patterns")</f>
        <v>Cosmic and Abstract Patterns</v>
      </c>
      <c r="E3612" s="3" t="str">
        <f>IFERROR(__xludf.DUMMYFUNCTION("GOOGLETRANSLATE(B3612, ""nl"", ""en"")"),"A planet with unusual rings")</f>
        <v>A planet with unusual rings</v>
      </c>
    </row>
    <row r="3613" ht="15.75" customHeight="1">
      <c r="A3613" s="3" t="s">
        <v>15</v>
      </c>
      <c r="B3613" s="3" t="s">
        <v>52</v>
      </c>
      <c r="D3613" s="3" t="str">
        <f>IFERROR(__xludf.DUMMYFUNCTION("GOOGLETRANSLATE(A3613, ""nl"", ""en"")"),"Animals and Organic Forms")</f>
        <v>Animals and Organic Forms</v>
      </c>
      <c r="E3613" s="3" t="str">
        <f>IFERROR(__xludf.DUMMYFUNCTION("GOOGLETRANSLATE(B3613, ""nl"", ""en"")"),"A mask made of leaves")</f>
        <v>A mask made of leaves</v>
      </c>
    </row>
    <row r="3614" ht="15.75" customHeight="1">
      <c r="A3614" s="3" t="s">
        <v>15</v>
      </c>
      <c r="B3614" s="3" t="s">
        <v>26</v>
      </c>
      <c r="D3614" s="3" t="str">
        <f>IFERROR(__xludf.DUMMYFUNCTION("GOOGLETRANSLATE(A3614, ""nl"", ""en"")"),"Animals and Organic Forms")</f>
        <v>Animals and Organic Forms</v>
      </c>
      <c r="E3614" s="3" t="str">
        <f>IFERROR(__xludf.DUMMYFUNCTION("GOOGLETRANSLATE(B3614, ""nl"", ""en"")"),"A frog preparing to jump")</f>
        <v>A frog preparing to jump</v>
      </c>
    </row>
    <row r="3615" ht="15.75" customHeight="1">
      <c r="A3615" s="3" t="s">
        <v>24</v>
      </c>
      <c r="B3615" s="3" t="s">
        <v>25</v>
      </c>
      <c r="D3615" s="3" t="str">
        <f>IFERROR(__xludf.DUMMYFUNCTION("GOOGLETRANSLATE(A3615, ""nl"", ""en"")"),"Cosmic and Abstract Patterns")</f>
        <v>Cosmic and Abstract Patterns</v>
      </c>
      <c r="E3615" s="3" t="str">
        <f>IFERROR(__xludf.DUMMYFUNCTION("GOOGLETRANSLATE(B3615, ""nl"", ""en"")"),"A meteor shower dissolving into each other")</f>
        <v>A meteor shower dissolving into each other</v>
      </c>
    </row>
    <row r="3616" ht="15.75" customHeight="1">
      <c r="A3616" s="3" t="s">
        <v>4</v>
      </c>
      <c r="B3616" s="3" t="s">
        <v>6</v>
      </c>
      <c r="D3616" s="3" t="str">
        <f>IFERROR(__xludf.DUMMYFUNCTION("GOOGLETRANSLATE(A3616, ""nl"", ""en"")"),"Architectural and Structural Associations")</f>
        <v>Architectural and Structural Associations</v>
      </c>
      <c r="E3616" s="3" t="str">
        <f>IFERROR(__xludf.DUMMYFUNCTION("GOOGLETRANSLATE(B3616, ""nl"", ""en"")"),"An endless labyrinth")</f>
        <v>An endless labyrinth</v>
      </c>
    </row>
    <row r="3617" ht="15.75" customHeight="1">
      <c r="A3617" s="3" t="s">
        <v>9</v>
      </c>
      <c r="B3617" s="3" t="s">
        <v>49</v>
      </c>
      <c r="D3617" s="3" t="str">
        <f>IFERROR(__xludf.DUMMYFUNCTION("GOOGLETRANSLATE(A3617, ""nl"", ""en"")"),"Psychological and Emotional Interpretations")</f>
        <v>Psychological and Emotional Interpretations</v>
      </c>
      <c r="E3617" s="3" t="str">
        <f>IFERROR(__xludf.DUMMYFUNCTION("GOOGLETRANSLATE(B3617, ""nl"", ""en"")"),"A spiral that turns inward")</f>
        <v>A spiral that turns inward</v>
      </c>
    </row>
    <row r="3618" ht="15.75" customHeight="1">
      <c r="A3618" s="3" t="s">
        <v>7</v>
      </c>
      <c r="B3618" s="3" t="s">
        <v>34</v>
      </c>
      <c r="D3618" s="3" t="str">
        <f>IFERROR(__xludf.DUMMYFUNCTION("GOOGLETRANSLATE(A3618, ""nl"", ""en"")"),"Human Figures and Physicality")</f>
        <v>Human Figures and Physicality</v>
      </c>
      <c r="E3618" s="3" t="str">
        <f>IFERROR(__xludf.DUMMYFUNCTION("GOOGLETRANSLATE(B3618, ""nl"", ""en"")"),"Hands almost touching")</f>
        <v>Hands almost touching</v>
      </c>
    </row>
    <row r="3619" ht="15.75" customHeight="1">
      <c r="A3619" s="3" t="s">
        <v>7</v>
      </c>
      <c r="B3619" s="3" t="s">
        <v>34</v>
      </c>
      <c r="D3619" s="3" t="str">
        <f>IFERROR(__xludf.DUMMYFUNCTION("GOOGLETRANSLATE(A3619, ""nl"", ""en"")"),"Human Figures and Physicality")</f>
        <v>Human Figures and Physicality</v>
      </c>
      <c r="E3619" s="3" t="str">
        <f>IFERROR(__xludf.DUMMYFUNCTION("GOOGLETRANSLATE(B3619, ""nl"", ""en"")"),"Hands almost touching")</f>
        <v>Hands almost touching</v>
      </c>
    </row>
    <row r="3620" ht="15.75" customHeight="1">
      <c r="A3620" s="3" t="s">
        <v>4</v>
      </c>
      <c r="B3620" s="3" t="s">
        <v>20</v>
      </c>
      <c r="D3620" s="3" t="str">
        <f>IFERROR(__xludf.DUMMYFUNCTION("GOOGLETRANSLATE(A3620, ""nl"", ""en"")"),"Architectural and Structural Associations")</f>
        <v>Architectural and Structural Associations</v>
      </c>
      <c r="E3620" s="3" t="str">
        <f>IFERROR(__xludf.DUMMYFUNCTION("GOOGLETRANSLATE(B3620, ""nl"", ""en"")"),"A tower that grows by itself")</f>
        <v>A tower that grows by itself</v>
      </c>
    </row>
    <row r="3621" ht="15.75" customHeight="1">
      <c r="A3621" s="3" t="s">
        <v>7</v>
      </c>
      <c r="B3621" s="3" t="s">
        <v>41</v>
      </c>
      <c r="D3621" s="3" t="str">
        <f>IFERROR(__xludf.DUMMYFUNCTION("GOOGLETRANSLATE(A3621, ""nl"", ""en"")"),"Human Figures and Physicality")</f>
        <v>Human Figures and Physicality</v>
      </c>
      <c r="E3621" s="3" t="str">
        <f>IFERROR(__xludf.DUMMYFUNCTION("GOOGLETRANSLATE(B3621, ""nl"", ""en"")"),"A face that fades into abstraction")</f>
        <v>A face that fades into abstraction</v>
      </c>
    </row>
    <row r="3622" ht="15.75" customHeight="1">
      <c r="A3622" s="3" t="s">
        <v>7</v>
      </c>
      <c r="B3622" s="3" t="s">
        <v>34</v>
      </c>
      <c r="D3622" s="3" t="str">
        <f>IFERROR(__xludf.DUMMYFUNCTION("GOOGLETRANSLATE(A3622, ""nl"", ""en"")"),"Human Figures and Physicality")</f>
        <v>Human Figures and Physicality</v>
      </c>
      <c r="E3622" s="3" t="str">
        <f>IFERROR(__xludf.DUMMYFUNCTION("GOOGLETRANSLATE(B3622, ""nl"", ""en"")"),"Hands almost touching")</f>
        <v>Hands almost touching</v>
      </c>
    </row>
    <row r="3623" ht="15.75" customHeight="1">
      <c r="A3623" s="3" t="s">
        <v>4</v>
      </c>
      <c r="B3623" s="3" t="s">
        <v>20</v>
      </c>
      <c r="D3623" s="3" t="str">
        <f>IFERROR(__xludf.DUMMYFUNCTION("GOOGLETRANSLATE(A3623, ""nl"", ""en"")"),"Architectural and Structural Associations")</f>
        <v>Architectural and Structural Associations</v>
      </c>
      <c r="E3623" s="3" t="str">
        <f>IFERROR(__xludf.DUMMYFUNCTION("GOOGLETRANSLATE(B3623, ""nl"", ""en"")"),"A tower that grows by itself")</f>
        <v>A tower that grows by itself</v>
      </c>
    </row>
    <row r="3624" ht="15.75" customHeight="1">
      <c r="A3624" s="3" t="s">
        <v>12</v>
      </c>
      <c r="B3624" s="3" t="s">
        <v>13</v>
      </c>
      <c r="D3624" s="3" t="str">
        <f>IFERROR(__xludf.DUMMYFUNCTION("GOOGLETRANSLATE(A3624, ""nl"", ""en"")"),"Nature and Elements")</f>
        <v>Nature and Elements</v>
      </c>
      <c r="E3624" s="3" t="str">
        <f>IFERROR(__xludf.DUMMYFUNCTION("GOOGLETRANSLATE(B3624, ""nl"", ""en"")"),"A lightning strike in slow motion")</f>
        <v>A lightning strike in slow motion</v>
      </c>
    </row>
    <row r="3625" ht="15.75" customHeight="1">
      <c r="A3625" s="3" t="s">
        <v>24</v>
      </c>
      <c r="B3625" s="3" t="s">
        <v>27</v>
      </c>
      <c r="D3625" s="3" t="str">
        <f>IFERROR(__xludf.DUMMYFUNCTION("GOOGLETRANSLATE(A3625, ""nl"", ""en"")"),"Cosmic and Abstract Patterns")</f>
        <v>Cosmic and Abstract Patterns</v>
      </c>
      <c r="E3625" s="3" t="str">
        <f>IFERROR(__xludf.DUMMYFUNCTION("GOOGLETRANSLATE(B3625, ""nl"", ""en"")"),"A pair of black holes in dance")</f>
        <v>A pair of black holes in dance</v>
      </c>
    </row>
    <row r="3626" ht="15.75" customHeight="1">
      <c r="A3626" s="3" t="s">
        <v>12</v>
      </c>
      <c r="B3626" s="3" t="s">
        <v>30</v>
      </c>
      <c r="D3626" s="3" t="str">
        <f>IFERROR(__xludf.DUMMYFUNCTION("GOOGLETRANSLATE(A3626, ""nl"", ""en"")"),"Nature and Elements")</f>
        <v>Nature and Elements</v>
      </c>
      <c r="E3626" s="3" t="str">
        <f>IFERROR(__xludf.DUMMYFUNCTION("GOOGLETRANSLATE(B3626, ""nl"", ""en"")"),"Waves breaking in fractal patterns")</f>
        <v>Waves breaking in fractal patterns</v>
      </c>
    </row>
    <row r="3627" ht="15.75" customHeight="1">
      <c r="A3627" s="3" t="s">
        <v>4</v>
      </c>
      <c r="B3627" s="3" t="s">
        <v>21</v>
      </c>
      <c r="D3627" s="3" t="str">
        <f>IFERROR(__xludf.DUMMYFUNCTION("GOOGLETRANSLATE(A3627, ""nl"", ""en"")"),"Architectural and Structural Associations")</f>
        <v>Architectural and Structural Associations</v>
      </c>
      <c r="E3627" s="3" t="str">
        <f>IFERROR(__xludf.DUMMYFUNCTION("GOOGLETRANSLATE(B3627, ""nl"", ""en"")"),"A bridge that leads nowhere")</f>
        <v>A bridge that leads nowhere</v>
      </c>
    </row>
    <row r="3628" ht="15.75" customHeight="1">
      <c r="A3628" s="3" t="s">
        <v>7</v>
      </c>
      <c r="B3628" s="3" t="s">
        <v>41</v>
      </c>
      <c r="D3628" s="3" t="str">
        <f>IFERROR(__xludf.DUMMYFUNCTION("GOOGLETRANSLATE(A3628, ""nl"", ""en"")"),"Human Figures and Physicality")</f>
        <v>Human Figures and Physicality</v>
      </c>
      <c r="E3628" s="3" t="str">
        <f>IFERROR(__xludf.DUMMYFUNCTION("GOOGLETRANSLATE(B3628, ""nl"", ""en"")"),"A face that fades into abstraction")</f>
        <v>A face that fades into abstraction</v>
      </c>
    </row>
    <row r="3629" ht="15.75" customHeight="1">
      <c r="A3629" s="3" t="s">
        <v>24</v>
      </c>
      <c r="B3629" s="3" t="s">
        <v>54</v>
      </c>
      <c r="D3629" s="3" t="str">
        <f>IFERROR(__xludf.DUMMYFUNCTION("GOOGLETRANSLATE(A3629, ""nl"", ""en"")"),"Cosmic and Abstract Patterns")</f>
        <v>Cosmic and Abstract Patterns</v>
      </c>
      <c r="E3629" s="3" t="str">
        <f>IFERROR(__xludf.DUMMYFUNCTION("GOOGLETRANSLATE(B3629, ""nl"", ""en"")"),"A quantum particle in superposition")</f>
        <v>A quantum particle in superposition</v>
      </c>
    </row>
    <row r="3630" ht="15.75" customHeight="1">
      <c r="A3630" s="3" t="s">
        <v>15</v>
      </c>
      <c r="B3630" s="3" t="s">
        <v>46</v>
      </c>
      <c r="D3630" s="3" t="str">
        <f>IFERROR(__xludf.DUMMYFUNCTION("GOOGLETRANSLATE(A3630, ""nl"", ""en"")"),"Animals and Organic Forms")</f>
        <v>Animals and Organic Forms</v>
      </c>
      <c r="E3630" s="3" t="str">
        <f>IFERROR(__xludf.DUMMYFUNCTION("GOOGLETRANSLATE(B3630, ""nl"", ""en"")"),"A flock of fish moving as one")</f>
        <v>A flock of fish moving as one</v>
      </c>
    </row>
    <row r="3631" ht="15.75" customHeight="1">
      <c r="A3631" s="3" t="s">
        <v>9</v>
      </c>
      <c r="B3631" s="3" t="s">
        <v>10</v>
      </c>
      <c r="D3631" s="3" t="str">
        <f>IFERROR(__xludf.DUMMYFUNCTION("GOOGLETRANSLATE(A3631, ""nl"", ""en"")"),"Psychological and Emotional Interpretations")</f>
        <v>Psychological and Emotional Interpretations</v>
      </c>
      <c r="E3631" s="3" t="str">
        <f>IFERROR(__xludf.DUMMYFUNCTION("GOOGLETRANSLATE(B3631, ""nl"", ""en"")"),"A face transforming in light")</f>
        <v>A face transforming in light</v>
      </c>
    </row>
    <row r="3632" ht="15.75" customHeight="1">
      <c r="A3632" s="3" t="s">
        <v>7</v>
      </c>
      <c r="B3632" s="3" t="s">
        <v>28</v>
      </c>
      <c r="D3632" s="3" t="str">
        <f>IFERROR(__xludf.DUMMYFUNCTION("GOOGLETRANSLATE(A3632, ""nl"", ""en"")"),"Human Figures and Physicality")</f>
        <v>Human Figures and Physicality</v>
      </c>
      <c r="E3632" s="3" t="str">
        <f>IFERROR(__xludf.DUMMYFUNCTION("GOOGLETRANSLATE(B3632, ""nl"", ""en"")"),"A dancing silhouette")</f>
        <v>A dancing silhouette</v>
      </c>
    </row>
    <row r="3633" ht="15.75" customHeight="1">
      <c r="A3633" s="3" t="s">
        <v>12</v>
      </c>
      <c r="B3633" s="3" t="s">
        <v>51</v>
      </c>
      <c r="D3633" s="3" t="str">
        <f>IFERROR(__xludf.DUMMYFUNCTION("GOOGLETRANSLATE(A3633, ""nl"", ""en"")"),"Nature and Elements")</f>
        <v>Nature and Elements</v>
      </c>
      <c r="E3633" s="3" t="str">
        <f>IFERROR(__xludf.DUMMYFUNCTION("GOOGLETRANSLATE(B3633, ""nl"", ""en"")"),"An evaporating puddle of water")</f>
        <v>An evaporating puddle of water</v>
      </c>
    </row>
    <row r="3634" ht="15.75" customHeight="1">
      <c r="A3634" s="3" t="s">
        <v>15</v>
      </c>
      <c r="B3634" s="3" t="s">
        <v>16</v>
      </c>
      <c r="D3634" s="3" t="str">
        <f>IFERROR(__xludf.DUMMYFUNCTION("GOOGLETRANSLATE(A3634, ""nl"", ""en"")"),"Animals and Organic Forms")</f>
        <v>Animals and Organic Forms</v>
      </c>
      <c r="E3634" s="3" t="str">
        <f>IFERROR(__xludf.DUMMYFUNCTION("GOOGLETRANSLATE(B3634, ""nl"", ""en"")"),"A butterfly in transformation")</f>
        <v>A butterfly in transformation</v>
      </c>
    </row>
    <row r="3635" ht="15.75" customHeight="1">
      <c r="A3635" s="3" t="s">
        <v>15</v>
      </c>
      <c r="B3635" s="3" t="s">
        <v>52</v>
      </c>
      <c r="D3635" s="3" t="str">
        <f>IFERROR(__xludf.DUMMYFUNCTION("GOOGLETRANSLATE(A3635, ""nl"", ""en"")"),"Animals and Organic Forms")</f>
        <v>Animals and Organic Forms</v>
      </c>
      <c r="E3635" s="3" t="str">
        <f>IFERROR(__xludf.DUMMYFUNCTION("GOOGLETRANSLATE(B3635, ""nl"", ""en"")"),"A mask made of leaves")</f>
        <v>A mask made of leaves</v>
      </c>
    </row>
    <row r="3636" ht="15.75" customHeight="1">
      <c r="A3636" s="3" t="s">
        <v>12</v>
      </c>
      <c r="B3636" s="3" t="s">
        <v>23</v>
      </c>
      <c r="D3636" s="3" t="str">
        <f>IFERROR(__xludf.DUMMYFUNCTION("GOOGLETRANSLATE(A3636, ""nl"", ""en"")"),"Nature and Elements")</f>
        <v>Nature and Elements</v>
      </c>
      <c r="E3636" s="3" t="str">
        <f>IFERROR(__xludf.DUMMYFUNCTION("GOOGLETRANSLATE(B3636, ""nl"", ""en"")"),"A storm cloud splitting in two")</f>
        <v>A storm cloud splitting in two</v>
      </c>
    </row>
    <row r="3637" ht="15.75" customHeight="1">
      <c r="A3637" s="3" t="s">
        <v>24</v>
      </c>
      <c r="B3637" s="3" t="s">
        <v>48</v>
      </c>
      <c r="D3637" s="3" t="str">
        <f>IFERROR(__xludf.DUMMYFUNCTION("GOOGLETRANSLATE(A3637, ""nl"", ""en"")"),"Cosmic and Abstract Patterns")</f>
        <v>Cosmic and Abstract Patterns</v>
      </c>
      <c r="E3637" s="3" t="str">
        <f>IFERROR(__xludf.DUMMYFUNCTION("GOOGLETRANSLATE(B3637, ""nl"", ""en"")"),"A fractal that repeats itself")</f>
        <v>A fractal that repeats itself</v>
      </c>
    </row>
    <row r="3638" ht="15.75" customHeight="1">
      <c r="A3638" s="3" t="s">
        <v>24</v>
      </c>
      <c r="B3638" s="3" t="s">
        <v>54</v>
      </c>
      <c r="D3638" s="3" t="str">
        <f>IFERROR(__xludf.DUMMYFUNCTION("GOOGLETRANSLATE(A3638, ""nl"", ""en"")"),"Cosmic and Abstract Patterns")</f>
        <v>Cosmic and Abstract Patterns</v>
      </c>
      <c r="E3638" s="3" t="str">
        <f>IFERROR(__xludf.DUMMYFUNCTION("GOOGLETRANSLATE(B3638, ""nl"", ""en"")"),"A quantum particle in superposition")</f>
        <v>A quantum particle in superposition</v>
      </c>
    </row>
    <row r="3639" ht="15.75" customHeight="1">
      <c r="A3639" s="3" t="s">
        <v>12</v>
      </c>
      <c r="B3639" s="3" t="s">
        <v>19</v>
      </c>
      <c r="D3639" s="3" t="str">
        <f>IFERROR(__xludf.DUMMYFUNCTION("GOOGLETRANSLATE(A3639, ""nl"", ""en"")"),"Nature and Elements")</f>
        <v>Nature and Elements</v>
      </c>
      <c r="E3639" s="3" t="str">
        <f>IFERROR(__xludf.DUMMYFUNCTION("GOOGLETRANSLATE(B3639, ""nl"", ""en"")"),"A mountain range that seems to breathe")</f>
        <v>A mountain range that seems to breathe</v>
      </c>
    </row>
    <row r="3640" ht="15.75" customHeight="1">
      <c r="A3640" s="3" t="s">
        <v>7</v>
      </c>
      <c r="B3640" s="3" t="s">
        <v>8</v>
      </c>
      <c r="D3640" s="3" t="str">
        <f>IFERROR(__xludf.DUMMYFUNCTION("GOOGLETRANSLATE(A3640, ""nl"", ""en"")"),"Human Figures and Physicality")</f>
        <v>Human Figures and Physicality</v>
      </c>
      <c r="E3640" s="3" t="str">
        <f>IFERROR(__xludf.DUMMYFUNCTION("GOOGLETRANSLATE(B3640, ""nl"", ""en"")"),"Two figures mirroring each other")</f>
        <v>Two figures mirroring each other</v>
      </c>
    </row>
    <row r="3641" ht="15.75" customHeight="1">
      <c r="A3641" s="3" t="s">
        <v>15</v>
      </c>
      <c r="B3641" s="3" t="s">
        <v>16</v>
      </c>
      <c r="D3641" s="3" t="str">
        <f>IFERROR(__xludf.DUMMYFUNCTION("GOOGLETRANSLATE(A3641, ""nl"", ""en"")"),"Animals and Organic Forms")</f>
        <v>Animals and Organic Forms</v>
      </c>
      <c r="E3641" s="3" t="str">
        <f>IFERROR(__xludf.DUMMYFUNCTION("GOOGLETRANSLATE(B3641, ""nl"", ""en"")"),"A butterfly in transformation")</f>
        <v>A butterfly in transformation</v>
      </c>
    </row>
    <row r="3642" ht="15.75" customHeight="1">
      <c r="A3642" s="3" t="s">
        <v>7</v>
      </c>
      <c r="B3642" s="3" t="s">
        <v>39</v>
      </c>
      <c r="D3642" s="3" t="str">
        <f>IFERROR(__xludf.DUMMYFUNCTION("GOOGLETRANSLATE(A3642, ""nl"", ""en"")"),"Human Figures and Physicality")</f>
        <v>Human Figures and Physicality</v>
      </c>
      <c r="E3642" s="3" t="str">
        <f>IFERROR(__xludf.DUMMYFUNCTION("GOOGLETRANSLATE(B3642, ""nl"", ""en"")"),"A torso without a head")</f>
        <v>A torso without a head</v>
      </c>
    </row>
    <row r="3643" ht="15.75" customHeight="1">
      <c r="A3643" s="3" t="s">
        <v>12</v>
      </c>
      <c r="B3643" s="3" t="s">
        <v>19</v>
      </c>
      <c r="D3643" s="3" t="str">
        <f>IFERROR(__xludf.DUMMYFUNCTION("GOOGLETRANSLATE(A3643, ""nl"", ""en"")"),"Nature and Elements")</f>
        <v>Nature and Elements</v>
      </c>
      <c r="E3643" s="3" t="str">
        <f>IFERROR(__xludf.DUMMYFUNCTION("GOOGLETRANSLATE(B3643, ""nl"", ""en"")"),"A mountain range that seems to breathe")</f>
        <v>A mountain range that seems to breathe</v>
      </c>
    </row>
    <row r="3644" ht="15.75" customHeight="1">
      <c r="A3644" s="3" t="s">
        <v>24</v>
      </c>
      <c r="B3644" s="3" t="s">
        <v>48</v>
      </c>
      <c r="D3644" s="3" t="str">
        <f>IFERROR(__xludf.DUMMYFUNCTION("GOOGLETRANSLATE(A3644, ""nl"", ""en"")"),"Cosmic and Abstract Patterns")</f>
        <v>Cosmic and Abstract Patterns</v>
      </c>
      <c r="E3644" s="3" t="str">
        <f>IFERROR(__xludf.DUMMYFUNCTION("GOOGLETRANSLATE(B3644, ""nl"", ""en"")"),"A fractal that repeats itself")</f>
        <v>A fractal that repeats itself</v>
      </c>
    </row>
    <row r="3645" ht="15.75" customHeight="1">
      <c r="A3645" s="3" t="s">
        <v>9</v>
      </c>
      <c r="B3645" s="3" t="s">
        <v>14</v>
      </c>
      <c r="D3645" s="3" t="str">
        <f>IFERROR(__xludf.DUMMYFUNCTION("GOOGLETRANSLATE(A3645, ""nl"", ""en"")"),"Psychological and Emotional Interpretations")</f>
        <v>Psychological and Emotional Interpretations</v>
      </c>
      <c r="E3645" s="3" t="str">
        <f>IFERROR(__xludf.DUMMYFUNCTION("GOOGLETRANSLATE(B3645, ""nl"", ""en"")"),"An unclear hug")</f>
        <v>An unclear hug</v>
      </c>
    </row>
    <row r="3646" ht="15.75" customHeight="1">
      <c r="A3646" s="3" t="s">
        <v>7</v>
      </c>
      <c r="B3646" s="3" t="s">
        <v>41</v>
      </c>
      <c r="D3646" s="3" t="str">
        <f>IFERROR(__xludf.DUMMYFUNCTION("GOOGLETRANSLATE(A3646, ""nl"", ""en"")"),"Human Figures and Physicality")</f>
        <v>Human Figures and Physicality</v>
      </c>
      <c r="E3646" s="3" t="str">
        <f>IFERROR(__xludf.DUMMYFUNCTION("GOOGLETRANSLATE(B3646, ""nl"", ""en"")"),"A face that fades into abstraction")</f>
        <v>A face that fades into abstraction</v>
      </c>
    </row>
    <row r="3647" ht="15.75" customHeight="1">
      <c r="A3647" s="3" t="s">
        <v>7</v>
      </c>
      <c r="B3647" s="3" t="s">
        <v>28</v>
      </c>
      <c r="D3647" s="3" t="str">
        <f>IFERROR(__xludf.DUMMYFUNCTION("GOOGLETRANSLATE(A3647, ""nl"", ""en"")"),"Human Figures and Physicality")</f>
        <v>Human Figures and Physicality</v>
      </c>
      <c r="E3647" s="3" t="str">
        <f>IFERROR(__xludf.DUMMYFUNCTION("GOOGLETRANSLATE(B3647, ""nl"", ""en"")"),"A dancing silhouette")</f>
        <v>A dancing silhouette</v>
      </c>
    </row>
    <row r="3648" ht="15.75" customHeight="1">
      <c r="A3648" s="3" t="s">
        <v>7</v>
      </c>
      <c r="B3648" s="3" t="s">
        <v>39</v>
      </c>
      <c r="D3648" s="3" t="str">
        <f>IFERROR(__xludf.DUMMYFUNCTION("GOOGLETRANSLATE(A3648, ""nl"", ""en"")"),"Human Figures and Physicality")</f>
        <v>Human Figures and Physicality</v>
      </c>
      <c r="E3648" s="3" t="str">
        <f>IFERROR(__xludf.DUMMYFUNCTION("GOOGLETRANSLATE(B3648, ""nl"", ""en"")"),"A torso without a head")</f>
        <v>A torso without a head</v>
      </c>
    </row>
    <row r="3649" ht="15.75" customHeight="1">
      <c r="A3649" s="3" t="s">
        <v>12</v>
      </c>
      <c r="B3649" s="3" t="s">
        <v>19</v>
      </c>
      <c r="D3649" s="3" t="str">
        <f>IFERROR(__xludf.DUMMYFUNCTION("GOOGLETRANSLATE(A3649, ""nl"", ""en"")"),"Nature and Elements")</f>
        <v>Nature and Elements</v>
      </c>
      <c r="E3649" s="3" t="str">
        <f>IFERROR(__xludf.DUMMYFUNCTION("GOOGLETRANSLATE(B3649, ""nl"", ""en"")"),"A mountain range that seems to breathe")</f>
        <v>A mountain range that seems to breathe</v>
      </c>
    </row>
    <row r="3650" ht="15.75" customHeight="1">
      <c r="A3650" s="3" t="s">
        <v>9</v>
      </c>
      <c r="B3650" s="3" t="s">
        <v>14</v>
      </c>
      <c r="D3650" s="3" t="str">
        <f>IFERROR(__xludf.DUMMYFUNCTION("GOOGLETRANSLATE(A3650, ""nl"", ""en"")"),"Psychological and Emotional Interpretations")</f>
        <v>Psychological and Emotional Interpretations</v>
      </c>
      <c r="E3650" s="3" t="str">
        <f>IFERROR(__xludf.DUMMYFUNCTION("GOOGLETRANSLATE(B3650, ""nl"", ""en"")"),"An unclear hug")</f>
        <v>An unclear hug</v>
      </c>
    </row>
    <row r="3651" ht="15.75" customHeight="1">
      <c r="A3651" s="3" t="s">
        <v>9</v>
      </c>
      <c r="B3651" s="3" t="s">
        <v>42</v>
      </c>
      <c r="D3651" s="3" t="str">
        <f>IFERROR(__xludf.DUMMYFUNCTION("GOOGLETRANSLATE(A3651, ""nl"", ""en"")"),"Psychological and Emotional Interpretations")</f>
        <v>Psychological and Emotional Interpretations</v>
      </c>
      <c r="E3651" s="3" t="str">
        <f>IFERROR(__xludf.DUMMYFUNCTION("GOOGLETRANSLATE(B3651, ""nl"", ""en"")"),"A mask that slowly disappears")</f>
        <v>A mask that slowly disappears</v>
      </c>
    </row>
    <row r="3652" ht="15.75" customHeight="1">
      <c r="A3652" s="3" t="s">
        <v>12</v>
      </c>
      <c r="B3652" s="3" t="s">
        <v>23</v>
      </c>
      <c r="D3652" s="3" t="str">
        <f>IFERROR(__xludf.DUMMYFUNCTION("GOOGLETRANSLATE(A3652, ""nl"", ""en"")"),"Nature and Elements")</f>
        <v>Nature and Elements</v>
      </c>
      <c r="E3652" s="3" t="str">
        <f>IFERROR(__xludf.DUMMYFUNCTION("GOOGLETRANSLATE(B3652, ""nl"", ""en"")"),"A storm cloud splitting in two")</f>
        <v>A storm cloud splitting in two</v>
      </c>
    </row>
    <row r="3653" ht="15.75" customHeight="1">
      <c r="A3653" s="3" t="s">
        <v>24</v>
      </c>
      <c r="B3653" s="3" t="s">
        <v>27</v>
      </c>
      <c r="D3653" s="3" t="str">
        <f>IFERROR(__xludf.DUMMYFUNCTION("GOOGLETRANSLATE(A3653, ""nl"", ""en"")"),"Cosmic and Abstract Patterns")</f>
        <v>Cosmic and Abstract Patterns</v>
      </c>
      <c r="E3653" s="3" t="str">
        <f>IFERROR(__xludf.DUMMYFUNCTION("GOOGLETRANSLATE(B3653, ""nl"", ""en"")"),"A pair of black holes in dance")</f>
        <v>A pair of black holes in dance</v>
      </c>
    </row>
    <row r="3654" ht="15.75" customHeight="1">
      <c r="A3654" s="3" t="s">
        <v>12</v>
      </c>
      <c r="B3654" s="3" t="s">
        <v>23</v>
      </c>
      <c r="D3654" s="3" t="str">
        <f>IFERROR(__xludf.DUMMYFUNCTION("GOOGLETRANSLATE(A3654, ""nl"", ""en"")"),"Nature and Elements")</f>
        <v>Nature and Elements</v>
      </c>
      <c r="E3654" s="3" t="str">
        <f>IFERROR(__xludf.DUMMYFUNCTION("GOOGLETRANSLATE(B3654, ""nl"", ""en"")"),"A storm cloud splitting in two")</f>
        <v>A storm cloud splitting in two</v>
      </c>
    </row>
    <row r="3655" ht="15.75" customHeight="1">
      <c r="A3655" s="3" t="s">
        <v>4</v>
      </c>
      <c r="B3655" s="3" t="s">
        <v>21</v>
      </c>
      <c r="D3655" s="3" t="str">
        <f>IFERROR(__xludf.DUMMYFUNCTION("GOOGLETRANSLATE(A3655, ""nl"", ""en"")"),"Architectural and Structural Associations")</f>
        <v>Architectural and Structural Associations</v>
      </c>
      <c r="E3655" s="3" t="str">
        <f>IFERROR(__xludf.DUMMYFUNCTION("GOOGLETRANSLATE(B3655, ""nl"", ""en"")"),"A bridge that leads nowhere")</f>
        <v>A bridge that leads nowhere</v>
      </c>
    </row>
    <row r="3656" ht="15.75" customHeight="1">
      <c r="A3656" s="3" t="s">
        <v>4</v>
      </c>
      <c r="B3656" s="3" t="s">
        <v>44</v>
      </c>
      <c r="D3656" s="3" t="str">
        <f>IFERROR(__xludf.DUMMYFUNCTION("GOOGLETRANSLATE(A3656, ""nl"", ""en"")"),"Architectural and Structural Associations")</f>
        <v>Architectural and Structural Associations</v>
      </c>
      <c r="E3656" s="3" t="str">
        <f>IFERROR(__xludf.DUMMYFUNCTION("GOOGLETRANSLATE(B3656, ""nl"", ""en"")"),"A structure that pulsates in waves")</f>
        <v>A structure that pulsates in waves</v>
      </c>
    </row>
    <row r="3657" ht="15.75" customHeight="1">
      <c r="A3657" s="3" t="s">
        <v>12</v>
      </c>
      <c r="B3657" s="3" t="s">
        <v>47</v>
      </c>
      <c r="D3657" s="3" t="str">
        <f>IFERROR(__xludf.DUMMYFUNCTION("GOOGLETRANSLATE(A3657, ""nl"", ""en"")"),"Nature and Elements")</f>
        <v>Nature and Elements</v>
      </c>
      <c r="E3657" s="3" t="str">
        <f>IFERROR(__xludf.DUMMYFUNCTION("GOOGLETRANSLATE(B3657, ""nl"", ""en"")"),"A desert landscape that slowly changes")</f>
        <v>A desert landscape that slowly changes</v>
      </c>
    </row>
    <row r="3658" ht="15.75" customHeight="1">
      <c r="A3658" s="3" t="s">
        <v>4</v>
      </c>
      <c r="B3658" s="3" t="s">
        <v>43</v>
      </c>
      <c r="D3658" s="3" t="str">
        <f>IFERROR(__xludf.DUMMYFUNCTION("GOOGLETRANSLATE(A3658, ""nl"", ""en"")"),"Architectural and Structural Associations")</f>
        <v>Architectural and Structural Associations</v>
      </c>
      <c r="E3658" s="3" t="str">
        <f>IFERROR(__xludf.DUMMYFUNCTION("GOOGLETRANSLATE(B3658, ""nl"", ""en"")"),"A network of tunnels and passages")</f>
        <v>A network of tunnels and passages</v>
      </c>
    </row>
    <row r="3659" ht="15.75" customHeight="1">
      <c r="A3659" s="3" t="s">
        <v>4</v>
      </c>
      <c r="B3659" s="3" t="s">
        <v>6</v>
      </c>
      <c r="D3659" s="3" t="str">
        <f>IFERROR(__xludf.DUMMYFUNCTION("GOOGLETRANSLATE(A3659, ""nl"", ""en"")"),"Architectural and Structural Associations")</f>
        <v>Architectural and Structural Associations</v>
      </c>
      <c r="E3659" s="3" t="str">
        <f>IFERROR(__xludf.DUMMYFUNCTION("GOOGLETRANSLATE(B3659, ""nl"", ""en"")"),"An endless labyrinth")</f>
        <v>An endless labyrinth</v>
      </c>
    </row>
    <row r="3660" ht="15.75" customHeight="1">
      <c r="A3660" s="3" t="s">
        <v>4</v>
      </c>
      <c r="B3660" s="3" t="s">
        <v>20</v>
      </c>
      <c r="D3660" s="3" t="str">
        <f>IFERROR(__xludf.DUMMYFUNCTION("GOOGLETRANSLATE(A3660, ""nl"", ""en"")"),"Architectural and Structural Associations")</f>
        <v>Architectural and Structural Associations</v>
      </c>
      <c r="E3660" s="3" t="str">
        <f>IFERROR(__xludf.DUMMYFUNCTION("GOOGLETRANSLATE(B3660, ""nl"", ""en"")"),"A tower that grows by itself")</f>
        <v>A tower that grows by itself</v>
      </c>
    </row>
    <row r="3661" ht="15.75" customHeight="1">
      <c r="A3661" s="3" t="s">
        <v>15</v>
      </c>
      <c r="B3661" s="3" t="s">
        <v>52</v>
      </c>
      <c r="D3661" s="3" t="str">
        <f>IFERROR(__xludf.DUMMYFUNCTION("GOOGLETRANSLATE(A3661, ""nl"", ""en"")"),"Animals and Organic Forms")</f>
        <v>Animals and Organic Forms</v>
      </c>
      <c r="E3661" s="3" t="str">
        <f>IFERROR(__xludf.DUMMYFUNCTION("GOOGLETRANSLATE(B3661, ""nl"", ""en"")"),"A mask made of leaves")</f>
        <v>A mask made of leaves</v>
      </c>
    </row>
    <row r="3662" ht="15.75" customHeight="1">
      <c r="A3662" s="3" t="s">
        <v>24</v>
      </c>
      <c r="B3662" s="3" t="s">
        <v>33</v>
      </c>
      <c r="D3662" s="3" t="str">
        <f>IFERROR(__xludf.DUMMYFUNCTION("GOOGLETRANSLATE(A3662, ""nl"", ""en"")"),"Cosmic and Abstract Patterns")</f>
        <v>Cosmic and Abstract Patterns</v>
      </c>
      <c r="E3662" s="3" t="str">
        <f>IFERROR(__xludf.DUMMYFUNCTION("GOOGLETRANSLATE(B3662, ""nl"", ""en"")"),"An eye that repeats itself in endless patterns")</f>
        <v>An eye that repeats itself in endless patterns</v>
      </c>
    </row>
    <row r="3663" ht="15.75" customHeight="1">
      <c r="A3663" s="3" t="s">
        <v>9</v>
      </c>
      <c r="B3663" s="3" t="s">
        <v>49</v>
      </c>
      <c r="D3663" s="3" t="str">
        <f>IFERROR(__xludf.DUMMYFUNCTION("GOOGLETRANSLATE(A3663, ""nl"", ""en"")"),"Psychological and Emotional Interpretations")</f>
        <v>Psychological and Emotional Interpretations</v>
      </c>
      <c r="E3663" s="3" t="str">
        <f>IFERROR(__xludf.DUMMYFUNCTION("GOOGLETRANSLATE(B3663, ""nl"", ""en"")"),"A spiral that turns inward")</f>
        <v>A spiral that turns inward</v>
      </c>
    </row>
    <row r="3664" ht="15.75" customHeight="1">
      <c r="A3664" s="3" t="s">
        <v>15</v>
      </c>
      <c r="B3664" s="3" t="s">
        <v>26</v>
      </c>
      <c r="D3664" s="3" t="str">
        <f>IFERROR(__xludf.DUMMYFUNCTION("GOOGLETRANSLATE(A3664, ""nl"", ""en"")"),"Animals and Organic Forms")</f>
        <v>Animals and Organic Forms</v>
      </c>
      <c r="E3664" s="3" t="str">
        <f>IFERROR(__xludf.DUMMYFUNCTION("GOOGLETRANSLATE(B3664, ""nl"", ""en"")"),"A frog preparing to jump")</f>
        <v>A frog preparing to jump</v>
      </c>
    </row>
    <row r="3665" ht="15.75" customHeight="1">
      <c r="A3665" s="3" t="s">
        <v>15</v>
      </c>
      <c r="B3665" s="3" t="s">
        <v>16</v>
      </c>
      <c r="D3665" s="3" t="str">
        <f>IFERROR(__xludf.DUMMYFUNCTION("GOOGLETRANSLATE(A3665, ""nl"", ""en"")"),"Animals and Organic Forms")</f>
        <v>Animals and Organic Forms</v>
      </c>
      <c r="E3665" s="3" t="str">
        <f>IFERROR(__xludf.DUMMYFUNCTION("GOOGLETRANSLATE(B3665, ""nl"", ""en"")"),"A butterfly in transformation")</f>
        <v>A butterfly in transformation</v>
      </c>
    </row>
    <row r="3666" ht="15.75" customHeight="1">
      <c r="A3666" s="3" t="s">
        <v>9</v>
      </c>
      <c r="B3666" s="3" t="s">
        <v>11</v>
      </c>
      <c r="D3666" s="3" t="str">
        <f>IFERROR(__xludf.DUMMYFUNCTION("GOOGLETRANSLATE(A3666, ""nl"", ""en"")"),"Psychological and Emotional Interpretations")</f>
        <v>Psychological and Emotional Interpretations</v>
      </c>
      <c r="E3666" s="3" t="str">
        <f>IFERROR(__xludf.DUMMYFUNCTION("GOOGLETRANSLATE(B3666, ""nl"", ""en"")"),"An emotion captured in abstraction")</f>
        <v>An emotion captured in abstraction</v>
      </c>
    </row>
    <row r="3667" ht="15.75" customHeight="1">
      <c r="A3667" s="3" t="s">
        <v>7</v>
      </c>
      <c r="B3667" s="3" t="s">
        <v>53</v>
      </c>
      <c r="D3667" s="3" t="str">
        <f>IFERROR(__xludf.DUMMYFUNCTION("GOOGLETRANSLATE(A3667, ""nl"", ""en"")"),"Human Figures and Physicality")</f>
        <v>Human Figures and Physicality</v>
      </c>
      <c r="E3667" s="3" t="str">
        <f>IFERROR(__xludf.DUMMYFUNCTION("GOOGLETRANSLATE(B3667, ""nl"", ""en"")"),"A face that both smiles and cries")</f>
        <v>A face that both smiles and cries</v>
      </c>
    </row>
    <row r="3668" ht="15.75" customHeight="1">
      <c r="A3668" s="3" t="s">
        <v>9</v>
      </c>
      <c r="B3668" s="3" t="s">
        <v>10</v>
      </c>
      <c r="D3668" s="3" t="str">
        <f>IFERROR(__xludf.DUMMYFUNCTION("GOOGLETRANSLATE(A3668, ""nl"", ""en"")"),"Psychological and Emotional Interpretations")</f>
        <v>Psychological and Emotional Interpretations</v>
      </c>
      <c r="E3668" s="3" t="str">
        <f>IFERROR(__xludf.DUMMYFUNCTION("GOOGLETRANSLATE(B3668, ""nl"", ""en"")"),"A face transforming in light")</f>
        <v>A face transforming in light</v>
      </c>
    </row>
    <row r="3669" ht="15.75" customHeight="1">
      <c r="A3669" s="3" t="s">
        <v>15</v>
      </c>
      <c r="B3669" s="3" t="s">
        <v>46</v>
      </c>
      <c r="D3669" s="3" t="str">
        <f>IFERROR(__xludf.DUMMYFUNCTION("GOOGLETRANSLATE(A3669, ""nl"", ""en"")"),"Animals and Organic Forms")</f>
        <v>Animals and Organic Forms</v>
      </c>
      <c r="E3669" s="3" t="str">
        <f>IFERROR(__xludf.DUMMYFUNCTION("GOOGLETRANSLATE(B3669, ""nl"", ""en"")"),"A flock of fish moving as one")</f>
        <v>A flock of fish moving as one</v>
      </c>
    </row>
    <row r="3670" ht="15.75" customHeight="1">
      <c r="A3670" s="3" t="s">
        <v>7</v>
      </c>
      <c r="B3670" s="3" t="s">
        <v>56</v>
      </c>
      <c r="D3670" s="3" t="str">
        <f>IFERROR(__xludf.DUMMYFUNCTION("GOOGLETRANSLATE(A3670, ""nl"", ""en"")"),"Human Figures and Physicality")</f>
        <v>Human Figures and Physicality</v>
      </c>
      <c r="E3670" s="3" t="str">
        <f>IFERROR(__xludf.DUMMYFUNCTION("GOOGLETRANSLATE(B3670, ""nl"", ""en"")"),"A shadow that seems to move")</f>
        <v>A shadow that seems to move</v>
      </c>
    </row>
    <row r="3671" ht="15.75" customHeight="1">
      <c r="A3671" s="3" t="s">
        <v>4</v>
      </c>
      <c r="B3671" s="3" t="s">
        <v>6</v>
      </c>
      <c r="D3671" s="3" t="str">
        <f>IFERROR(__xludf.DUMMYFUNCTION("GOOGLETRANSLATE(A3671, ""nl"", ""en"")"),"Architectural and Structural Associations")</f>
        <v>Architectural and Structural Associations</v>
      </c>
      <c r="E3671" s="3" t="str">
        <f>IFERROR(__xludf.DUMMYFUNCTION("GOOGLETRANSLATE(B3671, ""nl"", ""en"")"),"An endless labyrinth")</f>
        <v>An endless labyrinth</v>
      </c>
    </row>
    <row r="3672" ht="15.75" customHeight="1">
      <c r="A3672" s="3" t="s">
        <v>4</v>
      </c>
      <c r="B3672" s="3" t="s">
        <v>55</v>
      </c>
      <c r="D3672" s="3" t="str">
        <f>IFERROR(__xludf.DUMMYFUNCTION("GOOGLETRANSLATE(A3672, ""nl"", ""en"")"),"Architectural and Structural Associations")</f>
        <v>Architectural and Structural Associations</v>
      </c>
      <c r="E3672" s="3" t="str">
        <f>IFERROR(__xludf.DUMMYFUNCTION("GOOGLETRANSLATE(B3672, ""nl"", ""en"")"),"A prism that splits light into colors")</f>
        <v>A prism that splits light into colors</v>
      </c>
    </row>
    <row r="3673" ht="15.75" customHeight="1">
      <c r="A3673" s="3" t="s">
        <v>7</v>
      </c>
      <c r="B3673" s="3" t="s">
        <v>53</v>
      </c>
      <c r="D3673" s="3" t="str">
        <f>IFERROR(__xludf.DUMMYFUNCTION("GOOGLETRANSLATE(A3673, ""nl"", ""en"")"),"Human Figures and Physicality")</f>
        <v>Human Figures and Physicality</v>
      </c>
      <c r="E3673" s="3" t="str">
        <f>IFERROR(__xludf.DUMMYFUNCTION("GOOGLETRANSLATE(B3673, ""nl"", ""en"")"),"A face that both smiles and cries")</f>
        <v>A face that both smiles and cries</v>
      </c>
    </row>
    <row r="3674" ht="15.75" customHeight="1">
      <c r="A3674" s="3" t="s">
        <v>4</v>
      </c>
      <c r="B3674" s="3" t="s">
        <v>5</v>
      </c>
      <c r="D3674" s="3" t="str">
        <f>IFERROR(__xludf.DUMMYFUNCTION("GOOGLETRANSLATE(A3674, ""nl"", ""en"")"),"Architectural and Structural Associations")</f>
        <v>Architectural and Structural Associations</v>
      </c>
      <c r="E3674" s="3" t="str">
        <f>IFERROR(__xludf.DUMMYFUNCTION("GOOGLETRANSLATE(B3674, ""nl"", ""en"")"),"A cathedral shaped from mist")</f>
        <v>A cathedral shaped from mist</v>
      </c>
    </row>
    <row r="3675" ht="15.75" customHeight="1">
      <c r="A3675" s="3" t="s">
        <v>12</v>
      </c>
      <c r="B3675" s="3" t="s">
        <v>51</v>
      </c>
      <c r="D3675" s="3" t="str">
        <f>IFERROR(__xludf.DUMMYFUNCTION("GOOGLETRANSLATE(A3675, ""nl"", ""en"")"),"Nature and Elements")</f>
        <v>Nature and Elements</v>
      </c>
      <c r="E3675" s="3" t="str">
        <f>IFERROR(__xludf.DUMMYFUNCTION("GOOGLETRANSLATE(B3675, ""nl"", ""en"")"),"An evaporating puddle of water")</f>
        <v>An evaporating puddle of water</v>
      </c>
    </row>
    <row r="3676" ht="15.75" customHeight="1">
      <c r="A3676" s="3" t="s">
        <v>4</v>
      </c>
      <c r="B3676" s="3" t="s">
        <v>20</v>
      </c>
      <c r="D3676" s="3" t="str">
        <f>IFERROR(__xludf.DUMMYFUNCTION("GOOGLETRANSLATE(A3676, ""nl"", ""en"")"),"Architectural and Structural Associations")</f>
        <v>Architectural and Structural Associations</v>
      </c>
      <c r="E3676" s="3" t="str">
        <f>IFERROR(__xludf.DUMMYFUNCTION("GOOGLETRANSLATE(B3676, ""nl"", ""en"")"),"A tower that grows by itself")</f>
        <v>A tower that grows by itself</v>
      </c>
    </row>
    <row r="3677" ht="15.75" customHeight="1">
      <c r="A3677" s="3" t="s">
        <v>7</v>
      </c>
      <c r="B3677" s="3" t="s">
        <v>34</v>
      </c>
      <c r="D3677" s="3" t="str">
        <f>IFERROR(__xludf.DUMMYFUNCTION("GOOGLETRANSLATE(A3677, ""nl"", ""en"")"),"Human Figures and Physicality")</f>
        <v>Human Figures and Physicality</v>
      </c>
      <c r="E3677" s="3" t="str">
        <f>IFERROR(__xludf.DUMMYFUNCTION("GOOGLETRANSLATE(B3677, ""nl"", ""en"")"),"Hands almost touching")</f>
        <v>Hands almost touching</v>
      </c>
    </row>
    <row r="3678" ht="15.75" customHeight="1">
      <c r="A3678" s="3" t="s">
        <v>24</v>
      </c>
      <c r="B3678" s="3" t="s">
        <v>29</v>
      </c>
      <c r="D3678" s="3" t="str">
        <f>IFERROR(__xludf.DUMMYFUNCTION("GOOGLETRANSLATE(A3678, ""nl"", ""en"")"),"Cosmic and Abstract Patterns")</f>
        <v>Cosmic and Abstract Patterns</v>
      </c>
      <c r="E3678" s="3" t="str">
        <f>IFERROR(__xludf.DUMMYFUNCTION("GOOGLETRANSLATE(B3678, ""nl"", ""en"")"),"A galaxy unfolding")</f>
        <v>A galaxy unfolding</v>
      </c>
    </row>
    <row r="3679" ht="15.75" customHeight="1">
      <c r="A3679" s="3" t="s">
        <v>4</v>
      </c>
      <c r="B3679" s="3" t="s">
        <v>21</v>
      </c>
      <c r="D3679" s="3" t="str">
        <f>IFERROR(__xludf.DUMMYFUNCTION("GOOGLETRANSLATE(A3679, ""nl"", ""en"")"),"Architectural and Structural Associations")</f>
        <v>Architectural and Structural Associations</v>
      </c>
      <c r="E3679" s="3" t="str">
        <f>IFERROR(__xludf.DUMMYFUNCTION("GOOGLETRANSLATE(B3679, ""nl"", ""en"")"),"A bridge that leads nowhere")</f>
        <v>A bridge that leads nowhere</v>
      </c>
    </row>
    <row r="3680" ht="15.75" customHeight="1">
      <c r="A3680" s="3" t="s">
        <v>9</v>
      </c>
      <c r="B3680" s="3" t="s">
        <v>37</v>
      </c>
      <c r="D3680" s="3" t="str">
        <f>IFERROR(__xludf.DUMMYFUNCTION("GOOGLETRANSLATE(A3680, ""nl"", ""en"")"),"Psychological and Emotional Interpretations")</f>
        <v>Psychological and Emotional Interpretations</v>
      </c>
      <c r="E3680" s="3" t="str">
        <f>IFERROR(__xludf.DUMMYFUNCTION("GOOGLETRANSLATE(B3680, ""nl"", ""en"")"),"A figure looking through itself")</f>
        <v>A figure looking through itself</v>
      </c>
    </row>
    <row r="3681" ht="15.75" customHeight="1">
      <c r="A3681" s="3" t="s">
        <v>4</v>
      </c>
      <c r="B3681" s="3" t="s">
        <v>43</v>
      </c>
      <c r="D3681" s="3" t="str">
        <f>IFERROR(__xludf.DUMMYFUNCTION("GOOGLETRANSLATE(A3681, ""nl"", ""en"")"),"Architectural and Structural Associations")</f>
        <v>Architectural and Structural Associations</v>
      </c>
      <c r="E3681" s="3" t="str">
        <f>IFERROR(__xludf.DUMMYFUNCTION("GOOGLETRANSLATE(B3681, ""nl"", ""en"")"),"A network of tunnels and passages")</f>
        <v>A network of tunnels and passages</v>
      </c>
    </row>
    <row r="3682" ht="15.75" customHeight="1">
      <c r="A3682" s="3" t="s">
        <v>15</v>
      </c>
      <c r="B3682" s="3" t="s">
        <v>22</v>
      </c>
      <c r="D3682" s="3" t="str">
        <f>IFERROR(__xludf.DUMMYFUNCTION("GOOGLETRANSLATE(A3682, ""nl"", ""en"")"),"Animals and Organic Forms")</f>
        <v>Animals and Organic Forms</v>
      </c>
      <c r="E3682" s="3" t="str">
        <f>IFERROR(__xludf.DUMMYFUNCTION("GOOGLETRANSLATE(B3682, ""nl"", ""en"")"),"A bird taking off")</f>
        <v>A bird taking off</v>
      </c>
    </row>
    <row r="3683" ht="15.75" customHeight="1">
      <c r="A3683" s="3" t="s">
        <v>12</v>
      </c>
      <c r="B3683" s="3" t="s">
        <v>51</v>
      </c>
      <c r="D3683" s="3" t="str">
        <f>IFERROR(__xludf.DUMMYFUNCTION("GOOGLETRANSLATE(A3683, ""nl"", ""en"")"),"Nature and Elements")</f>
        <v>Nature and Elements</v>
      </c>
      <c r="E3683" s="3" t="str">
        <f>IFERROR(__xludf.DUMMYFUNCTION("GOOGLETRANSLATE(B3683, ""nl"", ""en"")"),"An evaporating puddle of water")</f>
        <v>An evaporating puddle of water</v>
      </c>
    </row>
    <row r="3684" ht="15.75" customHeight="1">
      <c r="A3684" s="3" t="s">
        <v>15</v>
      </c>
      <c r="B3684" s="3" t="s">
        <v>16</v>
      </c>
      <c r="D3684" s="3" t="str">
        <f>IFERROR(__xludf.DUMMYFUNCTION("GOOGLETRANSLATE(A3684, ""nl"", ""en"")"),"Animals and Organic Forms")</f>
        <v>Animals and Organic Forms</v>
      </c>
      <c r="E3684" s="3" t="str">
        <f>IFERROR(__xludf.DUMMYFUNCTION("GOOGLETRANSLATE(B3684, ""nl"", ""en"")"),"A butterfly in transformation")</f>
        <v>A butterfly in transformation</v>
      </c>
    </row>
    <row r="3685" ht="15.75" customHeight="1">
      <c r="A3685" s="3" t="s">
        <v>9</v>
      </c>
      <c r="B3685" s="3" t="s">
        <v>57</v>
      </c>
      <c r="D3685" s="3" t="str">
        <f>IFERROR(__xludf.DUMMYFUNCTION("GOOGLETRANSLATE(A3685, ""nl"", ""en"")"),"Psychological and Emotional Interpretations")</f>
        <v>Psychological and Emotional Interpretations</v>
      </c>
      <c r="E3685" s="3" t="str">
        <f>IFERROR(__xludf.DUMMYFUNCTION("GOOGLETRANSLATE(B3685, ""nl"", ""en"")"),"An explosion of colours and feelings")</f>
        <v>An explosion of colours and feelings</v>
      </c>
    </row>
    <row r="3686" ht="15.75" customHeight="1">
      <c r="A3686" s="3" t="s">
        <v>24</v>
      </c>
      <c r="B3686" s="3" t="s">
        <v>27</v>
      </c>
      <c r="D3686" s="3" t="str">
        <f>IFERROR(__xludf.DUMMYFUNCTION("GOOGLETRANSLATE(A3686, ""nl"", ""en"")"),"Cosmic and Abstract Patterns")</f>
        <v>Cosmic and Abstract Patterns</v>
      </c>
      <c r="E3686" s="3" t="str">
        <f>IFERROR(__xludf.DUMMYFUNCTION("GOOGLETRANSLATE(B3686, ""nl"", ""en"")"),"A pair of black holes in dance")</f>
        <v>A pair of black holes in dance</v>
      </c>
    </row>
    <row r="3687" ht="15.75" customHeight="1">
      <c r="A3687" s="3" t="s">
        <v>7</v>
      </c>
      <c r="B3687" s="3" t="s">
        <v>41</v>
      </c>
      <c r="D3687" s="3" t="str">
        <f>IFERROR(__xludf.DUMMYFUNCTION("GOOGLETRANSLATE(A3687, ""nl"", ""en"")"),"Human Figures and Physicality")</f>
        <v>Human Figures and Physicality</v>
      </c>
      <c r="E3687" s="3" t="str">
        <f>IFERROR(__xludf.DUMMYFUNCTION("GOOGLETRANSLATE(B3687, ""nl"", ""en"")"),"A face that fades into abstraction")</f>
        <v>A face that fades into abstraction</v>
      </c>
    </row>
    <row r="3688" ht="15.75" customHeight="1">
      <c r="A3688" s="3" t="s">
        <v>12</v>
      </c>
      <c r="B3688" s="3" t="s">
        <v>30</v>
      </c>
      <c r="D3688" s="3" t="str">
        <f>IFERROR(__xludf.DUMMYFUNCTION("GOOGLETRANSLATE(A3688, ""nl"", ""en"")"),"Nature and Elements")</f>
        <v>Nature and Elements</v>
      </c>
      <c r="E3688" s="3" t="str">
        <f>IFERROR(__xludf.DUMMYFUNCTION("GOOGLETRANSLATE(B3688, ""nl"", ""en"")"),"Waves breaking in fractal patterns")</f>
        <v>Waves breaking in fractal patterns</v>
      </c>
    </row>
    <row r="3689" ht="15.75" customHeight="1">
      <c r="A3689" s="3" t="s">
        <v>9</v>
      </c>
      <c r="B3689" s="3" t="s">
        <v>49</v>
      </c>
      <c r="D3689" s="3" t="str">
        <f>IFERROR(__xludf.DUMMYFUNCTION("GOOGLETRANSLATE(A3689, ""nl"", ""en"")"),"Psychological and Emotional Interpretations")</f>
        <v>Psychological and Emotional Interpretations</v>
      </c>
      <c r="E3689" s="3" t="str">
        <f>IFERROR(__xludf.DUMMYFUNCTION("GOOGLETRANSLATE(B3689, ""nl"", ""en"")"),"A spiral that turns inward")</f>
        <v>A spiral that turns inward</v>
      </c>
    </row>
    <row r="3690" ht="15.75" customHeight="1">
      <c r="A3690" s="3" t="s">
        <v>7</v>
      </c>
      <c r="B3690" s="3" t="s">
        <v>40</v>
      </c>
      <c r="D3690" s="3" t="str">
        <f>IFERROR(__xludf.DUMMYFUNCTION("GOOGLETRANSLATE(A3690, ""nl"", ""en"")"),"Human Figures and Physicality")</f>
        <v>Human Figures and Physicality</v>
      </c>
      <c r="E3690" s="3" t="str">
        <f>IFERROR(__xludf.DUMMYFUNCTION("GOOGLETRANSLATE(B3690, ""nl"", ""en"")"),"A figure who is withdrawn into himself")</f>
        <v>A figure who is withdrawn into himself</v>
      </c>
    </row>
    <row r="3691" ht="15.75" customHeight="1">
      <c r="A3691" s="3" t="s">
        <v>9</v>
      </c>
      <c r="B3691" s="3" t="s">
        <v>49</v>
      </c>
      <c r="D3691" s="3" t="str">
        <f>IFERROR(__xludf.DUMMYFUNCTION("GOOGLETRANSLATE(A3691, ""nl"", ""en"")"),"Psychological and Emotional Interpretations")</f>
        <v>Psychological and Emotional Interpretations</v>
      </c>
      <c r="E3691" s="3" t="str">
        <f>IFERROR(__xludf.DUMMYFUNCTION("GOOGLETRANSLATE(B3691, ""nl"", ""en"")"),"A spiral that turns inward")</f>
        <v>A spiral that turns inward</v>
      </c>
    </row>
    <row r="3692" ht="15.75" customHeight="1">
      <c r="A3692" s="3" t="s">
        <v>12</v>
      </c>
      <c r="B3692" s="3" t="s">
        <v>47</v>
      </c>
      <c r="D3692" s="3" t="str">
        <f>IFERROR(__xludf.DUMMYFUNCTION("GOOGLETRANSLATE(A3692, ""nl"", ""en"")"),"Nature and Elements")</f>
        <v>Nature and Elements</v>
      </c>
      <c r="E3692" s="3" t="str">
        <f>IFERROR(__xludf.DUMMYFUNCTION("GOOGLETRANSLATE(B3692, ""nl"", ""en"")"),"A desert landscape that slowly changes")</f>
        <v>A desert landscape that slowly changes</v>
      </c>
    </row>
    <row r="3693" ht="15.75" customHeight="1">
      <c r="A3693" s="3" t="s">
        <v>9</v>
      </c>
      <c r="B3693" s="3" t="s">
        <v>37</v>
      </c>
      <c r="D3693" s="3" t="str">
        <f>IFERROR(__xludf.DUMMYFUNCTION("GOOGLETRANSLATE(A3693, ""nl"", ""en"")"),"Psychological and Emotional Interpretations")</f>
        <v>Psychological and Emotional Interpretations</v>
      </c>
      <c r="E3693" s="3" t="str">
        <f>IFERROR(__xludf.DUMMYFUNCTION("GOOGLETRANSLATE(B3693, ""nl"", ""en"")"),"A figure looking through itself")</f>
        <v>A figure looking through itself</v>
      </c>
    </row>
    <row r="3694" ht="15.75" customHeight="1">
      <c r="A3694" s="3" t="s">
        <v>12</v>
      </c>
      <c r="B3694" s="3" t="s">
        <v>36</v>
      </c>
      <c r="D3694" s="3" t="str">
        <f>IFERROR(__xludf.DUMMYFUNCTION("GOOGLETRANSLATE(A3694, ""nl"", ""en"")"),"Nature and Elements")</f>
        <v>Nature and Elements</v>
      </c>
      <c r="E3694" s="3" t="str">
        <f>IFERROR(__xludf.DUMMYFUNCTION("GOOGLETRANSLATE(B3694, ""nl"", ""en"")"),"A river delta from a bird's-eye view")</f>
        <v>A river delta from a bird's-eye view</v>
      </c>
    </row>
    <row r="3695" ht="15.75" customHeight="1">
      <c r="A3695" s="3" t="s">
        <v>24</v>
      </c>
      <c r="B3695" s="3" t="s">
        <v>33</v>
      </c>
      <c r="D3695" s="3" t="str">
        <f>IFERROR(__xludf.DUMMYFUNCTION("GOOGLETRANSLATE(A3695, ""nl"", ""en"")"),"Cosmic and Abstract Patterns")</f>
        <v>Cosmic and Abstract Patterns</v>
      </c>
      <c r="E3695" s="3" t="str">
        <f>IFERROR(__xludf.DUMMYFUNCTION("GOOGLETRANSLATE(B3695, ""nl"", ""en"")"),"An eye that repeats itself in endless patterns")</f>
        <v>An eye that repeats itself in endless patterns</v>
      </c>
    </row>
    <row r="3696" ht="15.75" customHeight="1">
      <c r="A3696" s="3" t="s">
        <v>9</v>
      </c>
      <c r="B3696" s="3" t="s">
        <v>17</v>
      </c>
      <c r="D3696" s="3" t="str">
        <f>IFERROR(__xludf.DUMMYFUNCTION("GOOGLETRANSLATE(A3696, ""nl"", ""en"")"),"Psychological and Emotional Interpretations")</f>
        <v>Psychological and Emotional Interpretations</v>
      </c>
      <c r="E3696" s="3" t="str">
        <f>IFERROR(__xludf.DUMMYFUNCTION("GOOGLETRANSLATE(B3696, ""nl"", ""en"")"),"A figure that seems to melt")</f>
        <v>A figure that seems to melt</v>
      </c>
    </row>
    <row r="3697" ht="15.75" customHeight="1">
      <c r="A3697" s="3" t="s">
        <v>24</v>
      </c>
      <c r="B3697" s="3" t="s">
        <v>27</v>
      </c>
      <c r="D3697" s="3" t="str">
        <f>IFERROR(__xludf.DUMMYFUNCTION("GOOGLETRANSLATE(A3697, ""nl"", ""en"")"),"Cosmic and Abstract Patterns")</f>
        <v>Cosmic and Abstract Patterns</v>
      </c>
      <c r="E3697" s="3" t="str">
        <f>IFERROR(__xludf.DUMMYFUNCTION("GOOGLETRANSLATE(B3697, ""nl"", ""en"")"),"A pair of black holes in dance")</f>
        <v>A pair of black holes in dance</v>
      </c>
    </row>
    <row r="3698" ht="15.75" customHeight="1">
      <c r="A3698" s="3" t="s">
        <v>15</v>
      </c>
      <c r="B3698" s="3" t="s">
        <v>52</v>
      </c>
      <c r="D3698" s="3" t="str">
        <f>IFERROR(__xludf.DUMMYFUNCTION("GOOGLETRANSLATE(A3698, ""nl"", ""en"")"),"Animals and Organic Forms")</f>
        <v>Animals and Organic Forms</v>
      </c>
      <c r="E3698" s="3" t="str">
        <f>IFERROR(__xludf.DUMMYFUNCTION("GOOGLETRANSLATE(B3698, ""nl"", ""en"")"),"A mask made of leaves")</f>
        <v>A mask made of leaves</v>
      </c>
    </row>
    <row r="3699" ht="15.75" customHeight="1">
      <c r="A3699" s="3" t="s">
        <v>24</v>
      </c>
      <c r="B3699" s="3" t="s">
        <v>31</v>
      </c>
      <c r="D3699" s="3" t="str">
        <f>IFERROR(__xludf.DUMMYFUNCTION("GOOGLETRANSLATE(A3699, ""nl"", ""en"")"),"Cosmic and Abstract Patterns")</f>
        <v>Cosmic and Abstract Patterns</v>
      </c>
      <c r="E3699" s="3" t="str">
        <f>IFERROR(__xludf.DUMMYFUNCTION("GOOGLETRANSLATE(B3699, ""nl"", ""en"")"),"A planet with unusual rings")</f>
        <v>A planet with unusual rings</v>
      </c>
    </row>
    <row r="3700" ht="15.75" customHeight="1">
      <c r="A3700" s="3" t="s">
        <v>15</v>
      </c>
      <c r="B3700" s="3" t="s">
        <v>52</v>
      </c>
      <c r="D3700" s="3" t="str">
        <f>IFERROR(__xludf.DUMMYFUNCTION("GOOGLETRANSLATE(A3700, ""nl"", ""en"")"),"Animals and Organic Forms")</f>
        <v>Animals and Organic Forms</v>
      </c>
      <c r="E3700" s="3" t="str">
        <f>IFERROR(__xludf.DUMMYFUNCTION("GOOGLETRANSLATE(B3700, ""nl"", ""en"")"),"A mask made of leaves")</f>
        <v>A mask made of leaves</v>
      </c>
    </row>
    <row r="3701" ht="15.75" customHeight="1">
      <c r="A3701" s="3" t="s">
        <v>12</v>
      </c>
      <c r="B3701" s="3" t="s">
        <v>19</v>
      </c>
      <c r="D3701" s="3" t="str">
        <f>IFERROR(__xludf.DUMMYFUNCTION("GOOGLETRANSLATE(A3701, ""nl"", ""en"")"),"Nature and Elements")</f>
        <v>Nature and Elements</v>
      </c>
      <c r="E3701" s="3" t="str">
        <f>IFERROR(__xludf.DUMMYFUNCTION("GOOGLETRANSLATE(B3701, ""nl"", ""en"")"),"A mountain range that seems to breathe")</f>
        <v>A mountain range that seems to breathe</v>
      </c>
    </row>
    <row r="3702" ht="15.75" customHeight="1">
      <c r="A3702" s="3" t="s">
        <v>15</v>
      </c>
      <c r="B3702" s="3" t="s">
        <v>38</v>
      </c>
      <c r="D3702" s="3" t="str">
        <f>IFERROR(__xludf.DUMMYFUNCTION("GOOGLETRANSLATE(A3702, ""nl"", ""en"")"),"Animals and Organic Forms")</f>
        <v>Animals and Organic Forms</v>
      </c>
      <c r="E3702" s="3" t="str">
        <f>IFERROR(__xludf.DUMMYFUNCTION("GOOGLETRANSLATE(B3702, ""nl"", ""en"")"),"A lion with an open mouth")</f>
        <v>A lion with an open mouth</v>
      </c>
    </row>
    <row r="3703" ht="15.75" customHeight="1">
      <c r="A3703" s="3" t="s">
        <v>12</v>
      </c>
      <c r="B3703" s="3" t="s">
        <v>30</v>
      </c>
      <c r="D3703" s="3" t="str">
        <f>IFERROR(__xludf.DUMMYFUNCTION("GOOGLETRANSLATE(A3703, ""nl"", ""en"")"),"Nature and Elements")</f>
        <v>Nature and Elements</v>
      </c>
      <c r="E3703" s="3" t="str">
        <f>IFERROR(__xludf.DUMMYFUNCTION("GOOGLETRANSLATE(B3703, ""nl"", ""en"")"),"Waves breaking in fractal patterns")</f>
        <v>Waves breaking in fractal patterns</v>
      </c>
    </row>
    <row r="3704" ht="15.75" customHeight="1">
      <c r="A3704" s="3" t="s">
        <v>24</v>
      </c>
      <c r="B3704" s="3" t="s">
        <v>27</v>
      </c>
      <c r="D3704" s="3" t="str">
        <f>IFERROR(__xludf.DUMMYFUNCTION("GOOGLETRANSLATE(A3704, ""nl"", ""en"")"),"Cosmic and Abstract Patterns")</f>
        <v>Cosmic and Abstract Patterns</v>
      </c>
      <c r="E3704" s="3" t="str">
        <f>IFERROR(__xludf.DUMMYFUNCTION("GOOGLETRANSLATE(B3704, ""nl"", ""en"")"),"A pair of black holes in dance")</f>
        <v>A pair of black holes in dance</v>
      </c>
    </row>
    <row r="3705" ht="15.75" customHeight="1">
      <c r="A3705" s="3" t="s">
        <v>4</v>
      </c>
      <c r="B3705" s="3" t="s">
        <v>20</v>
      </c>
      <c r="D3705" s="3" t="str">
        <f>IFERROR(__xludf.DUMMYFUNCTION("GOOGLETRANSLATE(A3705, ""nl"", ""en"")"),"Architectural and Structural Associations")</f>
        <v>Architectural and Structural Associations</v>
      </c>
      <c r="E3705" s="3" t="str">
        <f>IFERROR(__xludf.DUMMYFUNCTION("GOOGLETRANSLATE(B3705, ""nl"", ""en"")"),"A tower that grows by itself")</f>
        <v>A tower that grows by itself</v>
      </c>
    </row>
    <row r="3706" ht="15.75" customHeight="1">
      <c r="A3706" s="3" t="s">
        <v>9</v>
      </c>
      <c r="B3706" s="3" t="s">
        <v>10</v>
      </c>
      <c r="D3706" s="3" t="str">
        <f>IFERROR(__xludf.DUMMYFUNCTION("GOOGLETRANSLATE(A3706, ""nl"", ""en"")"),"Psychological and Emotional Interpretations")</f>
        <v>Psychological and Emotional Interpretations</v>
      </c>
      <c r="E3706" s="3" t="str">
        <f>IFERROR(__xludf.DUMMYFUNCTION("GOOGLETRANSLATE(B3706, ""nl"", ""en"")"),"A face transforming in light")</f>
        <v>A face transforming in light</v>
      </c>
    </row>
    <row r="3707" ht="15.75" customHeight="1">
      <c r="A3707" s="3" t="s">
        <v>12</v>
      </c>
      <c r="B3707" s="3" t="s">
        <v>18</v>
      </c>
      <c r="D3707" s="3" t="str">
        <f>IFERROR(__xludf.DUMMYFUNCTION("GOOGLETRANSLATE(A3707, ""nl"", ""en"")"),"Nature and Elements")</f>
        <v>Nature and Elements</v>
      </c>
      <c r="E3707" s="3" t="str">
        <f>IFERROR(__xludf.DUMMYFUNCTION("GOOGLETRANSLATE(B3707, ""nl"", ""en"")"),"A tree with endless branches")</f>
        <v>A tree with endless branches</v>
      </c>
    </row>
    <row r="3708" ht="15.75" customHeight="1">
      <c r="A3708" s="3" t="s">
        <v>24</v>
      </c>
      <c r="B3708" s="3" t="s">
        <v>33</v>
      </c>
      <c r="D3708" s="3" t="str">
        <f>IFERROR(__xludf.DUMMYFUNCTION("GOOGLETRANSLATE(A3708, ""nl"", ""en"")"),"Cosmic and Abstract Patterns")</f>
        <v>Cosmic and Abstract Patterns</v>
      </c>
      <c r="E3708" s="3" t="str">
        <f>IFERROR(__xludf.DUMMYFUNCTION("GOOGLETRANSLATE(B3708, ""nl"", ""en"")"),"An eye that repeats itself in endless patterns")</f>
        <v>An eye that repeats itself in endless patterns</v>
      </c>
    </row>
    <row r="3709" ht="15.75" customHeight="1">
      <c r="A3709" s="3" t="s">
        <v>7</v>
      </c>
      <c r="B3709" s="3" t="s">
        <v>28</v>
      </c>
      <c r="D3709" s="3" t="str">
        <f>IFERROR(__xludf.DUMMYFUNCTION("GOOGLETRANSLATE(A3709, ""nl"", ""en"")"),"Human Figures and Physicality")</f>
        <v>Human Figures and Physicality</v>
      </c>
      <c r="E3709" s="3" t="str">
        <f>IFERROR(__xludf.DUMMYFUNCTION("GOOGLETRANSLATE(B3709, ""nl"", ""en"")"),"A dancing silhouette")</f>
        <v>A dancing silhouette</v>
      </c>
    </row>
    <row r="3710" ht="15.75" customHeight="1">
      <c r="A3710" s="3" t="s">
        <v>7</v>
      </c>
      <c r="B3710" s="3" t="s">
        <v>39</v>
      </c>
      <c r="D3710" s="3" t="str">
        <f>IFERROR(__xludf.DUMMYFUNCTION("GOOGLETRANSLATE(A3710, ""nl"", ""en"")"),"Human Figures and Physicality")</f>
        <v>Human Figures and Physicality</v>
      </c>
      <c r="E3710" s="3" t="str">
        <f>IFERROR(__xludf.DUMMYFUNCTION("GOOGLETRANSLATE(B3710, ""nl"", ""en"")"),"A torso without a head")</f>
        <v>A torso without a head</v>
      </c>
    </row>
    <row r="3711" ht="15.75" customHeight="1">
      <c r="A3711" s="3" t="s">
        <v>24</v>
      </c>
      <c r="B3711" s="3" t="s">
        <v>25</v>
      </c>
      <c r="D3711" s="3" t="str">
        <f>IFERROR(__xludf.DUMMYFUNCTION("GOOGLETRANSLATE(A3711, ""nl"", ""en"")"),"Cosmic and Abstract Patterns")</f>
        <v>Cosmic and Abstract Patterns</v>
      </c>
      <c r="E3711" s="3" t="str">
        <f>IFERROR(__xludf.DUMMYFUNCTION("GOOGLETRANSLATE(B3711, ""nl"", ""en"")"),"A meteor shower dissolving into each other")</f>
        <v>A meteor shower dissolving into each other</v>
      </c>
    </row>
    <row r="3712" ht="15.75" customHeight="1">
      <c r="A3712" s="3" t="s">
        <v>24</v>
      </c>
      <c r="B3712" s="3" t="s">
        <v>48</v>
      </c>
      <c r="D3712" s="3" t="str">
        <f>IFERROR(__xludf.DUMMYFUNCTION("GOOGLETRANSLATE(A3712, ""nl"", ""en"")"),"Cosmic and Abstract Patterns")</f>
        <v>Cosmic and Abstract Patterns</v>
      </c>
      <c r="E3712" s="3" t="str">
        <f>IFERROR(__xludf.DUMMYFUNCTION("GOOGLETRANSLATE(B3712, ""nl"", ""en"")"),"A fractal that repeats itself")</f>
        <v>A fractal that repeats itself</v>
      </c>
    </row>
    <row r="3713" ht="15.75" customHeight="1">
      <c r="A3713" s="3" t="s">
        <v>15</v>
      </c>
      <c r="B3713" s="3" t="s">
        <v>26</v>
      </c>
      <c r="D3713" s="3" t="str">
        <f>IFERROR(__xludf.DUMMYFUNCTION("GOOGLETRANSLATE(A3713, ""nl"", ""en"")"),"Animals and Organic Forms")</f>
        <v>Animals and Organic Forms</v>
      </c>
      <c r="E3713" s="3" t="str">
        <f>IFERROR(__xludf.DUMMYFUNCTION("GOOGLETRANSLATE(B3713, ""nl"", ""en"")"),"A frog preparing to jump")</f>
        <v>A frog preparing to jump</v>
      </c>
    </row>
    <row r="3714" ht="15.75" customHeight="1">
      <c r="A3714" s="3" t="s">
        <v>9</v>
      </c>
      <c r="B3714" s="3" t="s">
        <v>17</v>
      </c>
      <c r="D3714" s="3" t="str">
        <f>IFERROR(__xludf.DUMMYFUNCTION("GOOGLETRANSLATE(A3714, ""nl"", ""en"")"),"Psychological and Emotional Interpretations")</f>
        <v>Psychological and Emotional Interpretations</v>
      </c>
      <c r="E3714" s="3" t="str">
        <f>IFERROR(__xludf.DUMMYFUNCTION("GOOGLETRANSLATE(B3714, ""nl"", ""en"")"),"A figure that seems to melt")</f>
        <v>A figure that seems to melt</v>
      </c>
    </row>
    <row r="3715" ht="15.75" customHeight="1">
      <c r="A3715" s="3" t="s">
        <v>7</v>
      </c>
      <c r="B3715" s="3" t="s">
        <v>34</v>
      </c>
      <c r="D3715" s="3" t="str">
        <f>IFERROR(__xludf.DUMMYFUNCTION("GOOGLETRANSLATE(A3715, ""nl"", ""en"")"),"Human Figures and Physicality")</f>
        <v>Human Figures and Physicality</v>
      </c>
      <c r="E3715" s="3" t="str">
        <f>IFERROR(__xludf.DUMMYFUNCTION("GOOGLETRANSLATE(B3715, ""nl"", ""en"")"),"Hands almost touching")</f>
        <v>Hands almost touching</v>
      </c>
    </row>
    <row r="3716" ht="15.75" customHeight="1">
      <c r="A3716" s="3" t="s">
        <v>9</v>
      </c>
      <c r="B3716" s="3" t="s">
        <v>17</v>
      </c>
      <c r="D3716" s="3" t="str">
        <f>IFERROR(__xludf.DUMMYFUNCTION("GOOGLETRANSLATE(A3716, ""nl"", ""en"")"),"Psychological and Emotional Interpretations")</f>
        <v>Psychological and Emotional Interpretations</v>
      </c>
      <c r="E3716" s="3" t="str">
        <f>IFERROR(__xludf.DUMMYFUNCTION("GOOGLETRANSLATE(B3716, ""nl"", ""en"")"),"A figure that seems to melt")</f>
        <v>A figure that seems to melt</v>
      </c>
    </row>
    <row r="3717" ht="15.75" customHeight="1">
      <c r="A3717" s="3" t="s">
        <v>15</v>
      </c>
      <c r="B3717" s="3" t="s">
        <v>46</v>
      </c>
      <c r="D3717" s="3" t="str">
        <f>IFERROR(__xludf.DUMMYFUNCTION("GOOGLETRANSLATE(A3717, ""nl"", ""en"")"),"Animals and Organic Forms")</f>
        <v>Animals and Organic Forms</v>
      </c>
      <c r="E3717" s="3" t="str">
        <f>IFERROR(__xludf.DUMMYFUNCTION("GOOGLETRANSLATE(B3717, ""nl"", ""en"")"),"A flock of fish moving as one")</f>
        <v>A flock of fish moving as one</v>
      </c>
    </row>
    <row r="3718" ht="15.75" customHeight="1">
      <c r="A3718" s="3" t="s">
        <v>15</v>
      </c>
      <c r="B3718" s="3" t="s">
        <v>45</v>
      </c>
      <c r="D3718" s="3" t="str">
        <f>IFERROR(__xludf.DUMMYFUNCTION("GOOGLETRANSLATE(A3718, ""nl"", ""en"")"),"Animals and Organic Forms")</f>
        <v>Animals and Organic Forms</v>
      </c>
      <c r="E3718" s="3" t="str">
        <f>IFERROR(__xludf.DUMMYFUNCTION("GOOGLETRANSLATE(B3718, ""nl"", ""en"")"),"A snake biting its own tail")</f>
        <v>A snake biting its own tail</v>
      </c>
    </row>
    <row r="3719" ht="15.75" customHeight="1">
      <c r="A3719" s="3" t="s">
        <v>24</v>
      </c>
      <c r="B3719" s="3" t="s">
        <v>32</v>
      </c>
      <c r="D3719" s="3" t="str">
        <f>IFERROR(__xludf.DUMMYFUNCTION("GOOGLETRANSLATE(A3719, ""nl"", ""en"")"),"Cosmic and Abstract Patterns")</f>
        <v>Cosmic and Abstract Patterns</v>
      </c>
      <c r="E3719" s="3" t="str">
        <f>IFERROR(__xludf.DUMMYFUNCTION("GOOGLETRANSLATE(B3719, ""nl"", ""en"")"),"A time loop captured in image")</f>
        <v>A time loop captured in image</v>
      </c>
    </row>
    <row r="3720" ht="15.75" customHeight="1">
      <c r="A3720" s="3" t="s">
        <v>7</v>
      </c>
      <c r="B3720" s="3" t="s">
        <v>28</v>
      </c>
      <c r="D3720" s="3" t="str">
        <f>IFERROR(__xludf.DUMMYFUNCTION("GOOGLETRANSLATE(A3720, ""nl"", ""en"")"),"Human Figures and Physicality")</f>
        <v>Human Figures and Physicality</v>
      </c>
      <c r="E3720" s="3" t="str">
        <f>IFERROR(__xludf.DUMMYFUNCTION("GOOGLETRANSLATE(B3720, ""nl"", ""en"")"),"A dancing silhouette")</f>
        <v>A dancing silhouette</v>
      </c>
    </row>
    <row r="3721" ht="15.75" customHeight="1">
      <c r="A3721" s="3" t="s">
        <v>4</v>
      </c>
      <c r="B3721" s="3" t="s">
        <v>55</v>
      </c>
      <c r="D3721" s="3" t="str">
        <f>IFERROR(__xludf.DUMMYFUNCTION("GOOGLETRANSLATE(A3721, ""nl"", ""en"")"),"Architectural and Structural Associations")</f>
        <v>Architectural and Structural Associations</v>
      </c>
      <c r="E3721" s="3" t="str">
        <f>IFERROR(__xludf.DUMMYFUNCTION("GOOGLETRANSLATE(B3721, ""nl"", ""en"")"),"A prism that splits light into colors")</f>
        <v>A prism that splits light into colors</v>
      </c>
    </row>
    <row r="3722" ht="15.75" customHeight="1">
      <c r="A3722" s="3" t="s">
        <v>7</v>
      </c>
      <c r="B3722" s="3" t="s">
        <v>40</v>
      </c>
      <c r="D3722" s="3" t="str">
        <f>IFERROR(__xludf.DUMMYFUNCTION("GOOGLETRANSLATE(A3722, ""nl"", ""en"")"),"Human Figures and Physicality")</f>
        <v>Human Figures and Physicality</v>
      </c>
      <c r="E3722" s="3" t="str">
        <f>IFERROR(__xludf.DUMMYFUNCTION("GOOGLETRANSLATE(B3722, ""nl"", ""en"")"),"A figure who is withdrawn into himself")</f>
        <v>A figure who is withdrawn into himself</v>
      </c>
    </row>
    <row r="3723" ht="15.75" customHeight="1">
      <c r="A3723" s="3" t="s">
        <v>12</v>
      </c>
      <c r="B3723" s="3" t="s">
        <v>51</v>
      </c>
      <c r="D3723" s="3" t="str">
        <f>IFERROR(__xludf.DUMMYFUNCTION("GOOGLETRANSLATE(A3723, ""nl"", ""en"")"),"Nature and Elements")</f>
        <v>Nature and Elements</v>
      </c>
      <c r="E3723" s="3" t="str">
        <f>IFERROR(__xludf.DUMMYFUNCTION("GOOGLETRANSLATE(B3723, ""nl"", ""en"")"),"An evaporating puddle of water")</f>
        <v>An evaporating puddle of water</v>
      </c>
    </row>
    <row r="3724" ht="15.75" customHeight="1">
      <c r="A3724" s="3" t="s">
        <v>7</v>
      </c>
      <c r="B3724" s="3" t="s">
        <v>53</v>
      </c>
      <c r="D3724" s="3" t="str">
        <f>IFERROR(__xludf.DUMMYFUNCTION("GOOGLETRANSLATE(A3724, ""nl"", ""en"")"),"Human Figures and Physicality")</f>
        <v>Human Figures and Physicality</v>
      </c>
      <c r="E3724" s="3" t="str">
        <f>IFERROR(__xludf.DUMMYFUNCTION("GOOGLETRANSLATE(B3724, ""nl"", ""en"")"),"A face that both smiles and cries")</f>
        <v>A face that both smiles and cries</v>
      </c>
    </row>
    <row r="3725" ht="15.75" customHeight="1">
      <c r="A3725" s="3" t="s">
        <v>15</v>
      </c>
      <c r="B3725" s="3" t="s">
        <v>26</v>
      </c>
      <c r="D3725" s="3" t="str">
        <f>IFERROR(__xludf.DUMMYFUNCTION("GOOGLETRANSLATE(A3725, ""nl"", ""en"")"),"Animals and Organic Forms")</f>
        <v>Animals and Organic Forms</v>
      </c>
      <c r="E3725" s="3" t="str">
        <f>IFERROR(__xludf.DUMMYFUNCTION("GOOGLETRANSLATE(B3725, ""nl"", ""en"")"),"A frog preparing to jump")</f>
        <v>A frog preparing to jump</v>
      </c>
    </row>
    <row r="3726" ht="15.75" customHeight="1">
      <c r="A3726" s="3" t="s">
        <v>15</v>
      </c>
      <c r="B3726" s="3" t="s">
        <v>22</v>
      </c>
      <c r="D3726" s="3" t="str">
        <f>IFERROR(__xludf.DUMMYFUNCTION("GOOGLETRANSLATE(A3726, ""nl"", ""en"")"),"Animals and Organic Forms")</f>
        <v>Animals and Organic Forms</v>
      </c>
      <c r="E3726" s="3" t="str">
        <f>IFERROR(__xludf.DUMMYFUNCTION("GOOGLETRANSLATE(B3726, ""nl"", ""en"")"),"A bird taking off")</f>
        <v>A bird taking off</v>
      </c>
    </row>
    <row r="3727" ht="15.75" customHeight="1">
      <c r="A3727" s="3" t="s">
        <v>12</v>
      </c>
      <c r="B3727" s="3" t="s">
        <v>30</v>
      </c>
      <c r="D3727" s="3" t="str">
        <f>IFERROR(__xludf.DUMMYFUNCTION("GOOGLETRANSLATE(A3727, ""nl"", ""en"")"),"Nature and Elements")</f>
        <v>Nature and Elements</v>
      </c>
      <c r="E3727" s="3" t="str">
        <f>IFERROR(__xludf.DUMMYFUNCTION("GOOGLETRANSLATE(B3727, ""nl"", ""en"")"),"Waves breaking in fractal patterns")</f>
        <v>Waves breaking in fractal patterns</v>
      </c>
    </row>
    <row r="3728" ht="15.75" customHeight="1">
      <c r="A3728" s="3" t="s">
        <v>4</v>
      </c>
      <c r="B3728" s="3" t="s">
        <v>55</v>
      </c>
      <c r="D3728" s="3" t="str">
        <f>IFERROR(__xludf.DUMMYFUNCTION("GOOGLETRANSLATE(A3728, ""nl"", ""en"")"),"Architectural and Structural Associations")</f>
        <v>Architectural and Structural Associations</v>
      </c>
      <c r="E3728" s="3" t="str">
        <f>IFERROR(__xludf.DUMMYFUNCTION("GOOGLETRANSLATE(B3728, ""nl"", ""en"")"),"A prism that splits light into colors")</f>
        <v>A prism that splits light into colors</v>
      </c>
    </row>
    <row r="3729" ht="15.75" customHeight="1">
      <c r="A3729" s="3" t="s">
        <v>24</v>
      </c>
      <c r="B3729" s="3" t="s">
        <v>29</v>
      </c>
      <c r="D3729" s="3" t="str">
        <f>IFERROR(__xludf.DUMMYFUNCTION("GOOGLETRANSLATE(A3729, ""nl"", ""en"")"),"Cosmic and Abstract Patterns")</f>
        <v>Cosmic and Abstract Patterns</v>
      </c>
      <c r="E3729" s="3" t="str">
        <f>IFERROR(__xludf.DUMMYFUNCTION("GOOGLETRANSLATE(B3729, ""nl"", ""en"")"),"A galaxy unfolding")</f>
        <v>A galaxy unfolding</v>
      </c>
    </row>
    <row r="3730" ht="15.75" customHeight="1">
      <c r="A3730" s="3" t="s">
        <v>9</v>
      </c>
      <c r="B3730" s="3" t="s">
        <v>10</v>
      </c>
      <c r="D3730" s="3" t="str">
        <f>IFERROR(__xludf.DUMMYFUNCTION("GOOGLETRANSLATE(A3730, ""nl"", ""en"")"),"Psychological and Emotional Interpretations")</f>
        <v>Psychological and Emotional Interpretations</v>
      </c>
      <c r="E3730" s="3" t="str">
        <f>IFERROR(__xludf.DUMMYFUNCTION("GOOGLETRANSLATE(B3730, ""nl"", ""en"")"),"A face transforming in light")</f>
        <v>A face transforming in light</v>
      </c>
    </row>
    <row r="3731" ht="15.75" customHeight="1">
      <c r="A3731" s="3" t="s">
        <v>4</v>
      </c>
      <c r="B3731" s="3" t="s">
        <v>20</v>
      </c>
      <c r="D3731" s="3" t="str">
        <f>IFERROR(__xludf.DUMMYFUNCTION("GOOGLETRANSLATE(A3731, ""nl"", ""en"")"),"Architectural and Structural Associations")</f>
        <v>Architectural and Structural Associations</v>
      </c>
      <c r="E3731" s="3" t="str">
        <f>IFERROR(__xludf.DUMMYFUNCTION("GOOGLETRANSLATE(B3731, ""nl"", ""en"")"),"A tower that grows by itself")</f>
        <v>A tower that grows by itself</v>
      </c>
    </row>
    <row r="3732" ht="15.75" customHeight="1">
      <c r="A3732" s="3" t="s">
        <v>15</v>
      </c>
      <c r="B3732" s="3" t="s">
        <v>16</v>
      </c>
      <c r="D3732" s="3" t="str">
        <f>IFERROR(__xludf.DUMMYFUNCTION("GOOGLETRANSLATE(A3732, ""nl"", ""en"")"),"Animals and Organic Forms")</f>
        <v>Animals and Organic Forms</v>
      </c>
      <c r="E3732" s="3" t="str">
        <f>IFERROR(__xludf.DUMMYFUNCTION("GOOGLETRANSLATE(B3732, ""nl"", ""en"")"),"A butterfly in transformation")</f>
        <v>A butterfly in transformation</v>
      </c>
    </row>
    <row r="3733" ht="15.75" customHeight="1">
      <c r="A3733" s="3" t="s">
        <v>12</v>
      </c>
      <c r="B3733" s="3" t="s">
        <v>23</v>
      </c>
      <c r="D3733" s="3" t="str">
        <f>IFERROR(__xludf.DUMMYFUNCTION("GOOGLETRANSLATE(A3733, ""nl"", ""en"")"),"Nature and Elements")</f>
        <v>Nature and Elements</v>
      </c>
      <c r="E3733" s="3" t="str">
        <f>IFERROR(__xludf.DUMMYFUNCTION("GOOGLETRANSLATE(B3733, ""nl"", ""en"")"),"A storm cloud splitting in two")</f>
        <v>A storm cloud splitting in two</v>
      </c>
    </row>
    <row r="3734" ht="15.75" customHeight="1">
      <c r="A3734" s="3" t="s">
        <v>9</v>
      </c>
      <c r="B3734" s="3" t="s">
        <v>49</v>
      </c>
      <c r="D3734" s="3" t="str">
        <f>IFERROR(__xludf.DUMMYFUNCTION("GOOGLETRANSLATE(A3734, ""nl"", ""en"")"),"Psychological and Emotional Interpretations")</f>
        <v>Psychological and Emotional Interpretations</v>
      </c>
      <c r="E3734" s="3" t="str">
        <f>IFERROR(__xludf.DUMMYFUNCTION("GOOGLETRANSLATE(B3734, ""nl"", ""en"")"),"A spiral that turns inward")</f>
        <v>A spiral that turns inward</v>
      </c>
    </row>
    <row r="3735" ht="15.75" customHeight="1">
      <c r="A3735" s="3" t="s">
        <v>12</v>
      </c>
      <c r="B3735" s="3" t="s">
        <v>51</v>
      </c>
      <c r="D3735" s="3" t="str">
        <f>IFERROR(__xludf.DUMMYFUNCTION("GOOGLETRANSLATE(A3735, ""nl"", ""en"")"),"Nature and Elements")</f>
        <v>Nature and Elements</v>
      </c>
      <c r="E3735" s="3" t="str">
        <f>IFERROR(__xludf.DUMMYFUNCTION("GOOGLETRANSLATE(B3735, ""nl"", ""en"")"),"An evaporating puddle of water")</f>
        <v>An evaporating puddle of water</v>
      </c>
    </row>
    <row r="3736" ht="15.75" customHeight="1">
      <c r="A3736" s="3" t="s">
        <v>12</v>
      </c>
      <c r="B3736" s="3" t="s">
        <v>18</v>
      </c>
      <c r="D3736" s="3" t="str">
        <f>IFERROR(__xludf.DUMMYFUNCTION("GOOGLETRANSLATE(A3736, ""nl"", ""en"")"),"Nature and Elements")</f>
        <v>Nature and Elements</v>
      </c>
      <c r="E3736" s="3" t="str">
        <f>IFERROR(__xludf.DUMMYFUNCTION("GOOGLETRANSLATE(B3736, ""nl"", ""en"")"),"A tree with endless branches")</f>
        <v>A tree with endless branches</v>
      </c>
    </row>
    <row r="3737" ht="15.75" customHeight="1">
      <c r="A3737" s="3" t="s">
        <v>9</v>
      </c>
      <c r="B3737" s="3" t="s">
        <v>37</v>
      </c>
      <c r="D3737" s="3" t="str">
        <f>IFERROR(__xludf.DUMMYFUNCTION("GOOGLETRANSLATE(A3737, ""nl"", ""en"")"),"Psychological and Emotional Interpretations")</f>
        <v>Psychological and Emotional Interpretations</v>
      </c>
      <c r="E3737" s="3" t="str">
        <f>IFERROR(__xludf.DUMMYFUNCTION("GOOGLETRANSLATE(B3737, ""nl"", ""en"")"),"A figure looking through itself")</f>
        <v>A figure looking through itself</v>
      </c>
    </row>
    <row r="3738" ht="15.75" customHeight="1">
      <c r="A3738" s="3" t="s">
        <v>9</v>
      </c>
      <c r="B3738" s="3" t="s">
        <v>49</v>
      </c>
      <c r="D3738" s="3" t="str">
        <f>IFERROR(__xludf.DUMMYFUNCTION("GOOGLETRANSLATE(A3738, ""nl"", ""en"")"),"Psychological and Emotional Interpretations")</f>
        <v>Psychological and Emotional Interpretations</v>
      </c>
      <c r="E3738" s="3" t="str">
        <f>IFERROR(__xludf.DUMMYFUNCTION("GOOGLETRANSLATE(B3738, ""nl"", ""en"")"),"A spiral that turns inward")</f>
        <v>A spiral that turns inward</v>
      </c>
    </row>
    <row r="3739" ht="15.75" customHeight="1">
      <c r="A3739" s="3" t="s">
        <v>7</v>
      </c>
      <c r="B3739" s="3" t="s">
        <v>8</v>
      </c>
      <c r="D3739" s="3" t="str">
        <f>IFERROR(__xludf.DUMMYFUNCTION("GOOGLETRANSLATE(A3739, ""nl"", ""en"")"),"Human Figures and Physicality")</f>
        <v>Human Figures and Physicality</v>
      </c>
      <c r="E3739" s="3" t="str">
        <f>IFERROR(__xludf.DUMMYFUNCTION("GOOGLETRANSLATE(B3739, ""nl"", ""en"")"),"Two figures mirroring each other")</f>
        <v>Two figures mirroring each other</v>
      </c>
    </row>
    <row r="3740" ht="15.75" customHeight="1">
      <c r="A3740" s="3" t="s">
        <v>24</v>
      </c>
      <c r="B3740" s="3" t="s">
        <v>33</v>
      </c>
      <c r="D3740" s="3" t="str">
        <f>IFERROR(__xludf.DUMMYFUNCTION("GOOGLETRANSLATE(A3740, ""nl"", ""en"")"),"Cosmic and Abstract Patterns")</f>
        <v>Cosmic and Abstract Patterns</v>
      </c>
      <c r="E3740" s="3" t="str">
        <f>IFERROR(__xludf.DUMMYFUNCTION("GOOGLETRANSLATE(B3740, ""nl"", ""en"")"),"An eye that repeats itself in endless patterns")</f>
        <v>An eye that repeats itself in endless patterns</v>
      </c>
    </row>
    <row r="3741" ht="15.75" customHeight="1">
      <c r="A3741" s="3" t="s">
        <v>7</v>
      </c>
      <c r="B3741" s="3" t="s">
        <v>39</v>
      </c>
      <c r="D3741" s="3" t="str">
        <f>IFERROR(__xludf.DUMMYFUNCTION("GOOGLETRANSLATE(A3741, ""nl"", ""en"")"),"Human Figures and Physicality")</f>
        <v>Human Figures and Physicality</v>
      </c>
      <c r="E3741" s="3" t="str">
        <f>IFERROR(__xludf.DUMMYFUNCTION("GOOGLETRANSLATE(B3741, ""nl"", ""en"")"),"A torso without a head")</f>
        <v>A torso without a head</v>
      </c>
    </row>
    <row r="3742" ht="15.75" customHeight="1">
      <c r="A3742" s="3" t="s">
        <v>12</v>
      </c>
      <c r="B3742" s="3" t="s">
        <v>36</v>
      </c>
      <c r="D3742" s="3" t="str">
        <f>IFERROR(__xludf.DUMMYFUNCTION("GOOGLETRANSLATE(A3742, ""nl"", ""en"")"),"Nature and Elements")</f>
        <v>Nature and Elements</v>
      </c>
      <c r="E3742" s="3" t="str">
        <f>IFERROR(__xludf.DUMMYFUNCTION("GOOGLETRANSLATE(B3742, ""nl"", ""en"")"),"A river delta from a bird's-eye view")</f>
        <v>A river delta from a bird's-eye view</v>
      </c>
    </row>
    <row r="3743" ht="15.75" customHeight="1">
      <c r="A3743" s="3" t="s">
        <v>24</v>
      </c>
      <c r="B3743" s="3" t="s">
        <v>27</v>
      </c>
      <c r="D3743" s="3" t="str">
        <f>IFERROR(__xludf.DUMMYFUNCTION("GOOGLETRANSLATE(A3743, ""nl"", ""en"")"),"Cosmic and Abstract Patterns")</f>
        <v>Cosmic and Abstract Patterns</v>
      </c>
      <c r="E3743" s="3" t="str">
        <f>IFERROR(__xludf.DUMMYFUNCTION("GOOGLETRANSLATE(B3743, ""nl"", ""en"")"),"A pair of black holes in dance")</f>
        <v>A pair of black holes in dance</v>
      </c>
    </row>
    <row r="3744" ht="15.75" customHeight="1">
      <c r="A3744" s="3" t="s">
        <v>24</v>
      </c>
      <c r="B3744" s="3" t="s">
        <v>27</v>
      </c>
      <c r="D3744" s="3" t="str">
        <f>IFERROR(__xludf.DUMMYFUNCTION("GOOGLETRANSLATE(A3744, ""nl"", ""en"")"),"Cosmic and Abstract Patterns")</f>
        <v>Cosmic and Abstract Patterns</v>
      </c>
      <c r="E3744" s="3" t="str">
        <f>IFERROR(__xludf.DUMMYFUNCTION("GOOGLETRANSLATE(B3744, ""nl"", ""en"")"),"A pair of black holes in dance")</f>
        <v>A pair of black holes in dance</v>
      </c>
    </row>
    <row r="3745" ht="15.75" customHeight="1">
      <c r="A3745" s="3" t="s">
        <v>9</v>
      </c>
      <c r="B3745" s="3" t="s">
        <v>42</v>
      </c>
      <c r="D3745" s="3" t="str">
        <f>IFERROR(__xludf.DUMMYFUNCTION("GOOGLETRANSLATE(A3745, ""nl"", ""en"")"),"Psychological and Emotional Interpretations")</f>
        <v>Psychological and Emotional Interpretations</v>
      </c>
      <c r="E3745" s="3" t="str">
        <f>IFERROR(__xludf.DUMMYFUNCTION("GOOGLETRANSLATE(B3745, ""nl"", ""en"")"),"A mask that slowly disappears")</f>
        <v>A mask that slowly disappears</v>
      </c>
    </row>
    <row r="3746" ht="15.75" customHeight="1">
      <c r="A3746" s="3" t="s">
        <v>4</v>
      </c>
      <c r="B3746" s="3" t="s">
        <v>43</v>
      </c>
      <c r="D3746" s="3" t="str">
        <f>IFERROR(__xludf.DUMMYFUNCTION("GOOGLETRANSLATE(A3746, ""nl"", ""en"")"),"Architectural and Structural Associations")</f>
        <v>Architectural and Structural Associations</v>
      </c>
      <c r="E3746" s="3" t="str">
        <f>IFERROR(__xludf.DUMMYFUNCTION("GOOGLETRANSLATE(B3746, ""nl"", ""en"")"),"A network of tunnels and passages")</f>
        <v>A network of tunnels and passages</v>
      </c>
    </row>
    <row r="3747" ht="15.75" customHeight="1">
      <c r="A3747" s="3" t="s">
        <v>4</v>
      </c>
      <c r="B3747" s="3" t="s">
        <v>20</v>
      </c>
      <c r="D3747" s="3" t="str">
        <f>IFERROR(__xludf.DUMMYFUNCTION("GOOGLETRANSLATE(A3747, ""nl"", ""en"")"),"Architectural and Structural Associations")</f>
        <v>Architectural and Structural Associations</v>
      </c>
      <c r="E3747" s="3" t="str">
        <f>IFERROR(__xludf.DUMMYFUNCTION("GOOGLETRANSLATE(B3747, ""nl"", ""en"")"),"A tower that grows by itself")</f>
        <v>A tower that grows by itself</v>
      </c>
    </row>
    <row r="3748" ht="15.75" customHeight="1">
      <c r="A3748" s="3" t="s">
        <v>15</v>
      </c>
      <c r="B3748" s="3" t="s">
        <v>52</v>
      </c>
      <c r="D3748" s="3" t="str">
        <f>IFERROR(__xludf.DUMMYFUNCTION("GOOGLETRANSLATE(A3748, ""nl"", ""en"")"),"Animals and Organic Forms")</f>
        <v>Animals and Organic Forms</v>
      </c>
      <c r="E3748" s="3" t="str">
        <f>IFERROR(__xludf.DUMMYFUNCTION("GOOGLETRANSLATE(B3748, ""nl"", ""en"")"),"A mask made of leaves")</f>
        <v>A mask made of leaves</v>
      </c>
    </row>
    <row r="3749" ht="15.75" customHeight="1">
      <c r="A3749" s="3" t="s">
        <v>9</v>
      </c>
      <c r="B3749" s="3" t="s">
        <v>10</v>
      </c>
      <c r="D3749" s="3" t="str">
        <f>IFERROR(__xludf.DUMMYFUNCTION("GOOGLETRANSLATE(A3749, ""nl"", ""en"")"),"Psychological and Emotional Interpretations")</f>
        <v>Psychological and Emotional Interpretations</v>
      </c>
      <c r="E3749" s="3" t="str">
        <f>IFERROR(__xludf.DUMMYFUNCTION("GOOGLETRANSLATE(B3749, ""nl"", ""en"")"),"A face transforming in light")</f>
        <v>A face transforming in light</v>
      </c>
    </row>
    <row r="3750" ht="15.75" customHeight="1">
      <c r="A3750" s="3" t="s">
        <v>7</v>
      </c>
      <c r="B3750" s="3" t="s">
        <v>41</v>
      </c>
      <c r="D3750" s="3" t="str">
        <f>IFERROR(__xludf.DUMMYFUNCTION("GOOGLETRANSLATE(A3750, ""nl"", ""en"")"),"Human Figures and Physicality")</f>
        <v>Human Figures and Physicality</v>
      </c>
      <c r="E3750" s="3" t="str">
        <f>IFERROR(__xludf.DUMMYFUNCTION("GOOGLETRANSLATE(B3750, ""nl"", ""en"")"),"A face that fades into abstraction")</f>
        <v>A face that fades into abstraction</v>
      </c>
    </row>
    <row r="3751" ht="15.75" customHeight="1">
      <c r="A3751" s="3" t="s">
        <v>24</v>
      </c>
      <c r="B3751" s="3" t="s">
        <v>31</v>
      </c>
      <c r="D3751" s="3" t="str">
        <f>IFERROR(__xludf.DUMMYFUNCTION("GOOGLETRANSLATE(A3751, ""nl"", ""en"")"),"Cosmic and Abstract Patterns")</f>
        <v>Cosmic and Abstract Patterns</v>
      </c>
      <c r="E3751" s="3" t="str">
        <f>IFERROR(__xludf.DUMMYFUNCTION("GOOGLETRANSLATE(B3751, ""nl"", ""en"")"),"A planet with unusual rings")</f>
        <v>A planet with unusual rings</v>
      </c>
    </row>
    <row r="3752" ht="15.75" customHeight="1">
      <c r="A3752" s="3" t="s">
        <v>9</v>
      </c>
      <c r="B3752" s="3" t="s">
        <v>14</v>
      </c>
      <c r="D3752" s="3" t="str">
        <f>IFERROR(__xludf.DUMMYFUNCTION("GOOGLETRANSLATE(A3752, ""nl"", ""en"")"),"Psychological and Emotional Interpretations")</f>
        <v>Psychological and Emotional Interpretations</v>
      </c>
      <c r="E3752" s="3" t="str">
        <f>IFERROR(__xludf.DUMMYFUNCTION("GOOGLETRANSLATE(B3752, ""nl"", ""en"")"),"An unclear hug")</f>
        <v>An unclear hug</v>
      </c>
    </row>
    <row r="3753" ht="15.75" customHeight="1">
      <c r="A3753" s="3" t="s">
        <v>24</v>
      </c>
      <c r="B3753" s="3" t="s">
        <v>27</v>
      </c>
      <c r="D3753" s="3" t="str">
        <f>IFERROR(__xludf.DUMMYFUNCTION("GOOGLETRANSLATE(A3753, ""nl"", ""en"")"),"Cosmic and Abstract Patterns")</f>
        <v>Cosmic and Abstract Patterns</v>
      </c>
      <c r="E3753" s="3" t="str">
        <f>IFERROR(__xludf.DUMMYFUNCTION("GOOGLETRANSLATE(B3753, ""nl"", ""en"")"),"A pair of black holes in dance")</f>
        <v>A pair of black holes in dance</v>
      </c>
    </row>
    <row r="3754" ht="15.75" customHeight="1">
      <c r="A3754" s="3" t="s">
        <v>15</v>
      </c>
      <c r="B3754" s="3" t="s">
        <v>50</v>
      </c>
      <c r="D3754" s="3" t="str">
        <f>IFERROR(__xludf.DUMMYFUNCTION("GOOGLETRANSLATE(A3754, ""nl"", ""en"")"),"Animals and Organic Forms")</f>
        <v>Animals and Organic Forms</v>
      </c>
      <c r="E3754" s="3" t="str">
        <f>IFERROR(__xludf.DUMMYFUNCTION("GOOGLETRANSLATE(B3754, ""nl"", ""en"")"),"A squid with extended tentacles")</f>
        <v>A squid with extended tentacles</v>
      </c>
    </row>
    <row r="3755" ht="15.75" customHeight="1">
      <c r="A3755" s="3" t="s">
        <v>15</v>
      </c>
      <c r="B3755" s="3" t="s">
        <v>52</v>
      </c>
      <c r="D3755" s="3" t="str">
        <f>IFERROR(__xludf.DUMMYFUNCTION("GOOGLETRANSLATE(A3755, ""nl"", ""en"")"),"Animals and Organic Forms")</f>
        <v>Animals and Organic Forms</v>
      </c>
      <c r="E3755" s="3" t="str">
        <f>IFERROR(__xludf.DUMMYFUNCTION("GOOGLETRANSLATE(B3755, ""nl"", ""en"")"),"A mask made of leaves")</f>
        <v>A mask made of leaves</v>
      </c>
    </row>
    <row r="3756" ht="15.75" customHeight="1">
      <c r="A3756" s="3" t="s">
        <v>12</v>
      </c>
      <c r="B3756" s="3" t="s">
        <v>19</v>
      </c>
      <c r="D3756" s="3" t="str">
        <f>IFERROR(__xludf.DUMMYFUNCTION("GOOGLETRANSLATE(A3756, ""nl"", ""en"")"),"Nature and Elements")</f>
        <v>Nature and Elements</v>
      </c>
      <c r="E3756" s="3" t="str">
        <f>IFERROR(__xludf.DUMMYFUNCTION("GOOGLETRANSLATE(B3756, ""nl"", ""en"")"),"A mountain range that seems to breathe")</f>
        <v>A mountain range that seems to breathe</v>
      </c>
    </row>
    <row r="3757" ht="15.75" customHeight="1">
      <c r="A3757" s="3" t="s">
        <v>7</v>
      </c>
      <c r="B3757" s="3" t="s">
        <v>53</v>
      </c>
      <c r="D3757" s="3" t="str">
        <f>IFERROR(__xludf.DUMMYFUNCTION("GOOGLETRANSLATE(A3757, ""nl"", ""en"")"),"Human Figures and Physicality")</f>
        <v>Human Figures and Physicality</v>
      </c>
      <c r="E3757" s="3" t="str">
        <f>IFERROR(__xludf.DUMMYFUNCTION("GOOGLETRANSLATE(B3757, ""nl"", ""en"")"),"A face that both smiles and cries")</f>
        <v>A face that both smiles and cries</v>
      </c>
    </row>
    <row r="3758" ht="15.75" customHeight="1">
      <c r="A3758" s="3" t="s">
        <v>12</v>
      </c>
      <c r="B3758" s="3" t="s">
        <v>51</v>
      </c>
      <c r="D3758" s="3" t="str">
        <f>IFERROR(__xludf.DUMMYFUNCTION("GOOGLETRANSLATE(A3758, ""nl"", ""en"")"),"Nature and Elements")</f>
        <v>Nature and Elements</v>
      </c>
      <c r="E3758" s="3" t="str">
        <f>IFERROR(__xludf.DUMMYFUNCTION("GOOGLETRANSLATE(B3758, ""nl"", ""en"")"),"An evaporating puddle of water")</f>
        <v>An evaporating puddle of water</v>
      </c>
    </row>
    <row r="3759" ht="15.75" customHeight="1">
      <c r="A3759" s="3" t="s">
        <v>24</v>
      </c>
      <c r="B3759" s="3" t="s">
        <v>25</v>
      </c>
      <c r="D3759" s="3" t="str">
        <f>IFERROR(__xludf.DUMMYFUNCTION("GOOGLETRANSLATE(A3759, ""nl"", ""en"")"),"Cosmic and Abstract Patterns")</f>
        <v>Cosmic and Abstract Patterns</v>
      </c>
      <c r="E3759" s="3" t="str">
        <f>IFERROR(__xludf.DUMMYFUNCTION("GOOGLETRANSLATE(B3759, ""nl"", ""en"")"),"A meteor shower dissolving into each other")</f>
        <v>A meteor shower dissolving into each other</v>
      </c>
    </row>
    <row r="3760" ht="15.75" customHeight="1">
      <c r="A3760" s="3" t="s">
        <v>9</v>
      </c>
      <c r="B3760" s="3" t="s">
        <v>42</v>
      </c>
      <c r="D3760" s="3" t="str">
        <f>IFERROR(__xludf.DUMMYFUNCTION("GOOGLETRANSLATE(A3760, ""nl"", ""en"")"),"Psychological and Emotional Interpretations")</f>
        <v>Psychological and Emotional Interpretations</v>
      </c>
      <c r="E3760" s="3" t="str">
        <f>IFERROR(__xludf.DUMMYFUNCTION("GOOGLETRANSLATE(B3760, ""nl"", ""en"")"),"A mask that slowly disappears")</f>
        <v>A mask that slowly disappears</v>
      </c>
    </row>
    <row r="3761" ht="15.75" customHeight="1">
      <c r="A3761" s="3" t="s">
        <v>15</v>
      </c>
      <c r="B3761" s="3" t="s">
        <v>52</v>
      </c>
      <c r="D3761" s="3" t="str">
        <f>IFERROR(__xludf.DUMMYFUNCTION("GOOGLETRANSLATE(A3761, ""nl"", ""en"")"),"Animals and Organic Forms")</f>
        <v>Animals and Organic Forms</v>
      </c>
      <c r="E3761" s="3" t="str">
        <f>IFERROR(__xludf.DUMMYFUNCTION("GOOGLETRANSLATE(B3761, ""nl"", ""en"")"),"A mask made of leaves")</f>
        <v>A mask made of leaves</v>
      </c>
    </row>
    <row r="3762" ht="15.75" customHeight="1">
      <c r="A3762" s="3" t="s">
        <v>24</v>
      </c>
      <c r="B3762" s="3" t="s">
        <v>27</v>
      </c>
      <c r="D3762" s="3" t="str">
        <f>IFERROR(__xludf.DUMMYFUNCTION("GOOGLETRANSLATE(A3762, ""nl"", ""en"")"),"Cosmic and Abstract Patterns")</f>
        <v>Cosmic and Abstract Patterns</v>
      </c>
      <c r="E3762" s="3" t="str">
        <f>IFERROR(__xludf.DUMMYFUNCTION("GOOGLETRANSLATE(B3762, ""nl"", ""en"")"),"A pair of black holes in dance")</f>
        <v>A pair of black holes in dance</v>
      </c>
    </row>
    <row r="3763" ht="15.75" customHeight="1">
      <c r="A3763" s="3" t="s">
        <v>15</v>
      </c>
      <c r="B3763" s="3" t="s">
        <v>26</v>
      </c>
      <c r="D3763" s="3" t="str">
        <f>IFERROR(__xludf.DUMMYFUNCTION("GOOGLETRANSLATE(A3763, ""nl"", ""en"")"),"Animals and Organic Forms")</f>
        <v>Animals and Organic Forms</v>
      </c>
      <c r="E3763" s="3" t="str">
        <f>IFERROR(__xludf.DUMMYFUNCTION("GOOGLETRANSLATE(B3763, ""nl"", ""en"")"),"A frog preparing to jump")</f>
        <v>A frog preparing to jump</v>
      </c>
    </row>
    <row r="3764" ht="15.75" customHeight="1">
      <c r="A3764" s="3" t="s">
        <v>7</v>
      </c>
      <c r="B3764" s="3" t="s">
        <v>8</v>
      </c>
      <c r="D3764" s="3" t="str">
        <f>IFERROR(__xludf.DUMMYFUNCTION("GOOGLETRANSLATE(A3764, ""nl"", ""en"")"),"Human Figures and Physicality")</f>
        <v>Human Figures and Physicality</v>
      </c>
      <c r="E3764" s="3" t="str">
        <f>IFERROR(__xludf.DUMMYFUNCTION("GOOGLETRANSLATE(B3764, ""nl"", ""en"")"),"Two figures mirroring each other")</f>
        <v>Two figures mirroring each other</v>
      </c>
    </row>
    <row r="3765" ht="15.75" customHeight="1">
      <c r="A3765" s="3" t="s">
        <v>9</v>
      </c>
      <c r="B3765" s="3" t="s">
        <v>37</v>
      </c>
      <c r="D3765" s="3" t="str">
        <f>IFERROR(__xludf.DUMMYFUNCTION("GOOGLETRANSLATE(A3765, ""nl"", ""en"")"),"Psychological and Emotional Interpretations")</f>
        <v>Psychological and Emotional Interpretations</v>
      </c>
      <c r="E3765" s="3" t="str">
        <f>IFERROR(__xludf.DUMMYFUNCTION("GOOGLETRANSLATE(B3765, ""nl"", ""en"")"),"A figure looking through itself")</f>
        <v>A figure looking through itself</v>
      </c>
    </row>
    <row r="3766" ht="15.75" customHeight="1">
      <c r="A3766" s="3" t="s">
        <v>4</v>
      </c>
      <c r="B3766" s="3" t="s">
        <v>44</v>
      </c>
      <c r="D3766" s="3" t="str">
        <f>IFERROR(__xludf.DUMMYFUNCTION("GOOGLETRANSLATE(A3766, ""nl"", ""en"")"),"Architectural and Structural Associations")</f>
        <v>Architectural and Structural Associations</v>
      </c>
      <c r="E3766" s="3" t="str">
        <f>IFERROR(__xludf.DUMMYFUNCTION("GOOGLETRANSLATE(B3766, ""nl"", ""en"")"),"A structure that pulsates in waves")</f>
        <v>A structure that pulsates in waves</v>
      </c>
    </row>
    <row r="3767" ht="15.75" customHeight="1">
      <c r="A3767" s="3" t="s">
        <v>24</v>
      </c>
      <c r="B3767" s="3" t="s">
        <v>33</v>
      </c>
      <c r="D3767" s="3" t="str">
        <f>IFERROR(__xludf.DUMMYFUNCTION("GOOGLETRANSLATE(A3767, ""nl"", ""en"")"),"Cosmic and Abstract Patterns")</f>
        <v>Cosmic and Abstract Patterns</v>
      </c>
      <c r="E3767" s="3" t="str">
        <f>IFERROR(__xludf.DUMMYFUNCTION("GOOGLETRANSLATE(B3767, ""nl"", ""en"")"),"An eye that repeats itself in endless patterns")</f>
        <v>An eye that repeats itself in endless patterns</v>
      </c>
    </row>
    <row r="3768" ht="15.75" customHeight="1">
      <c r="A3768" s="3" t="s">
        <v>7</v>
      </c>
      <c r="B3768" s="3" t="s">
        <v>39</v>
      </c>
      <c r="D3768" s="3" t="str">
        <f>IFERROR(__xludf.DUMMYFUNCTION("GOOGLETRANSLATE(A3768, ""nl"", ""en"")"),"Human Figures and Physicality")</f>
        <v>Human Figures and Physicality</v>
      </c>
      <c r="E3768" s="3" t="str">
        <f>IFERROR(__xludf.DUMMYFUNCTION("GOOGLETRANSLATE(B3768, ""nl"", ""en"")"),"A torso without a head")</f>
        <v>A torso without a head</v>
      </c>
    </row>
    <row r="3769" ht="15.75" customHeight="1">
      <c r="A3769" s="3" t="s">
        <v>24</v>
      </c>
      <c r="B3769" s="3" t="s">
        <v>29</v>
      </c>
      <c r="D3769" s="3" t="str">
        <f>IFERROR(__xludf.DUMMYFUNCTION("GOOGLETRANSLATE(A3769, ""nl"", ""en"")"),"Cosmic and Abstract Patterns")</f>
        <v>Cosmic and Abstract Patterns</v>
      </c>
      <c r="E3769" s="3" t="str">
        <f>IFERROR(__xludf.DUMMYFUNCTION("GOOGLETRANSLATE(B3769, ""nl"", ""en"")"),"A galaxy unfolding")</f>
        <v>A galaxy unfolding</v>
      </c>
    </row>
    <row r="3770" ht="15.75" customHeight="1">
      <c r="A3770" s="3" t="s">
        <v>15</v>
      </c>
      <c r="B3770" s="3" t="s">
        <v>26</v>
      </c>
      <c r="D3770" s="3" t="str">
        <f>IFERROR(__xludf.DUMMYFUNCTION("GOOGLETRANSLATE(A3770, ""nl"", ""en"")"),"Animals and Organic Forms")</f>
        <v>Animals and Organic Forms</v>
      </c>
      <c r="E3770" s="3" t="str">
        <f>IFERROR(__xludf.DUMMYFUNCTION("GOOGLETRANSLATE(B3770, ""nl"", ""en"")"),"A frog preparing to jump")</f>
        <v>A frog preparing to jump</v>
      </c>
    </row>
    <row r="3771" ht="15.75" customHeight="1">
      <c r="A3771" s="3" t="s">
        <v>7</v>
      </c>
      <c r="B3771" s="3" t="s">
        <v>40</v>
      </c>
      <c r="D3771" s="3" t="str">
        <f>IFERROR(__xludf.DUMMYFUNCTION("GOOGLETRANSLATE(A3771, ""nl"", ""en"")"),"Human Figures and Physicality")</f>
        <v>Human Figures and Physicality</v>
      </c>
      <c r="E3771" s="3" t="str">
        <f>IFERROR(__xludf.DUMMYFUNCTION("GOOGLETRANSLATE(B3771, ""nl"", ""en"")"),"A figure who is withdrawn into himself")</f>
        <v>A figure who is withdrawn into himself</v>
      </c>
    </row>
    <row r="3772" ht="15.75" customHeight="1">
      <c r="A3772" s="3" t="s">
        <v>9</v>
      </c>
      <c r="B3772" s="3" t="s">
        <v>37</v>
      </c>
      <c r="D3772" s="3" t="str">
        <f>IFERROR(__xludf.DUMMYFUNCTION("GOOGLETRANSLATE(A3772, ""nl"", ""en"")"),"Psychological and Emotional Interpretations")</f>
        <v>Psychological and Emotional Interpretations</v>
      </c>
      <c r="E3772" s="3" t="str">
        <f>IFERROR(__xludf.DUMMYFUNCTION("GOOGLETRANSLATE(B3772, ""nl"", ""en"")"),"A figure looking through itself")</f>
        <v>A figure looking through itself</v>
      </c>
    </row>
    <row r="3773" ht="15.75" customHeight="1">
      <c r="A3773" s="3" t="s">
        <v>12</v>
      </c>
      <c r="B3773" s="3" t="s">
        <v>23</v>
      </c>
      <c r="D3773" s="3" t="str">
        <f>IFERROR(__xludf.DUMMYFUNCTION("GOOGLETRANSLATE(A3773, ""nl"", ""en"")"),"Nature and Elements")</f>
        <v>Nature and Elements</v>
      </c>
      <c r="E3773" s="3" t="str">
        <f>IFERROR(__xludf.DUMMYFUNCTION("GOOGLETRANSLATE(B3773, ""nl"", ""en"")"),"A storm cloud splitting in two")</f>
        <v>A storm cloud splitting in two</v>
      </c>
    </row>
    <row r="3774" ht="15.75" customHeight="1">
      <c r="A3774" s="3" t="s">
        <v>15</v>
      </c>
      <c r="B3774" s="3" t="s">
        <v>38</v>
      </c>
      <c r="D3774" s="3" t="str">
        <f>IFERROR(__xludf.DUMMYFUNCTION("GOOGLETRANSLATE(A3774, ""nl"", ""en"")"),"Animals and Organic Forms")</f>
        <v>Animals and Organic Forms</v>
      </c>
      <c r="E3774" s="3" t="str">
        <f>IFERROR(__xludf.DUMMYFUNCTION("GOOGLETRANSLATE(B3774, ""nl"", ""en"")"),"A lion with an open mouth")</f>
        <v>A lion with an open mouth</v>
      </c>
    </row>
    <row r="3775" ht="15.75" customHeight="1">
      <c r="A3775" s="3" t="s">
        <v>4</v>
      </c>
      <c r="B3775" s="3" t="s">
        <v>44</v>
      </c>
      <c r="D3775" s="3" t="str">
        <f>IFERROR(__xludf.DUMMYFUNCTION("GOOGLETRANSLATE(A3775, ""nl"", ""en"")"),"Architectural and Structural Associations")</f>
        <v>Architectural and Structural Associations</v>
      </c>
      <c r="E3775" s="3" t="str">
        <f>IFERROR(__xludf.DUMMYFUNCTION("GOOGLETRANSLATE(B3775, ""nl"", ""en"")"),"A structure that pulsates in waves")</f>
        <v>A structure that pulsates in waves</v>
      </c>
    </row>
    <row r="3776" ht="15.75" customHeight="1">
      <c r="A3776" s="3" t="s">
        <v>24</v>
      </c>
      <c r="B3776" s="3" t="s">
        <v>32</v>
      </c>
      <c r="D3776" s="3" t="str">
        <f>IFERROR(__xludf.DUMMYFUNCTION("GOOGLETRANSLATE(A3776, ""nl"", ""en"")"),"Cosmic and Abstract Patterns")</f>
        <v>Cosmic and Abstract Patterns</v>
      </c>
      <c r="E3776" s="3" t="str">
        <f>IFERROR(__xludf.DUMMYFUNCTION("GOOGLETRANSLATE(B3776, ""nl"", ""en"")"),"A time loop captured in image")</f>
        <v>A time loop captured in image</v>
      </c>
    </row>
    <row r="3777" ht="15.75" customHeight="1">
      <c r="A3777" s="3" t="s">
        <v>7</v>
      </c>
      <c r="B3777" s="3" t="s">
        <v>28</v>
      </c>
      <c r="D3777" s="3" t="str">
        <f>IFERROR(__xludf.DUMMYFUNCTION("GOOGLETRANSLATE(A3777, ""nl"", ""en"")"),"Human Figures and Physicality")</f>
        <v>Human Figures and Physicality</v>
      </c>
      <c r="E3777" s="3" t="str">
        <f>IFERROR(__xludf.DUMMYFUNCTION("GOOGLETRANSLATE(B3777, ""nl"", ""en"")"),"A dancing silhouette")</f>
        <v>A dancing silhouette</v>
      </c>
    </row>
    <row r="3778" ht="15.75" customHeight="1">
      <c r="A3778" s="3" t="s">
        <v>9</v>
      </c>
      <c r="B3778" s="3" t="s">
        <v>14</v>
      </c>
      <c r="D3778" s="3" t="str">
        <f>IFERROR(__xludf.DUMMYFUNCTION("GOOGLETRANSLATE(A3778, ""nl"", ""en"")"),"Psychological and Emotional Interpretations")</f>
        <v>Psychological and Emotional Interpretations</v>
      </c>
      <c r="E3778" s="3" t="str">
        <f>IFERROR(__xludf.DUMMYFUNCTION("GOOGLETRANSLATE(B3778, ""nl"", ""en"")"),"An unclear hug")</f>
        <v>An unclear hug</v>
      </c>
    </row>
    <row r="3779" ht="15.75" customHeight="1">
      <c r="A3779" s="3" t="s">
        <v>4</v>
      </c>
      <c r="B3779" s="3" t="s">
        <v>35</v>
      </c>
      <c r="D3779" s="3" t="str">
        <f>IFERROR(__xludf.DUMMYFUNCTION("GOOGLETRANSLATE(A3779, ""nl"", ""en"")"),"Architectural and Structural Associations")</f>
        <v>Architectural and Structural Associations</v>
      </c>
      <c r="E3779" s="3" t="str">
        <f>IFERROR(__xludf.DUMMYFUNCTION("GOOGLETRANSLATE(B3779, ""nl"", ""en"")"),"A floating building without a base")</f>
        <v>A floating building without a base</v>
      </c>
    </row>
    <row r="3780" ht="15.75" customHeight="1">
      <c r="A3780" s="3" t="s">
        <v>15</v>
      </c>
      <c r="B3780" s="3" t="s">
        <v>52</v>
      </c>
      <c r="D3780" s="3" t="str">
        <f>IFERROR(__xludf.DUMMYFUNCTION("GOOGLETRANSLATE(A3780, ""nl"", ""en"")"),"Animals and Organic Forms")</f>
        <v>Animals and Organic Forms</v>
      </c>
      <c r="E3780" s="3" t="str">
        <f>IFERROR(__xludf.DUMMYFUNCTION("GOOGLETRANSLATE(B3780, ""nl"", ""en"")"),"A mask made of leaves")</f>
        <v>A mask made of leaves</v>
      </c>
    </row>
    <row r="3781" ht="15.75" customHeight="1">
      <c r="A3781" s="3" t="s">
        <v>24</v>
      </c>
      <c r="B3781" s="3" t="s">
        <v>54</v>
      </c>
      <c r="D3781" s="3" t="str">
        <f>IFERROR(__xludf.DUMMYFUNCTION("GOOGLETRANSLATE(A3781, ""nl"", ""en"")"),"Cosmic and Abstract Patterns")</f>
        <v>Cosmic and Abstract Patterns</v>
      </c>
      <c r="E3781" s="3" t="str">
        <f>IFERROR(__xludf.DUMMYFUNCTION("GOOGLETRANSLATE(B3781, ""nl"", ""en"")"),"A quantum particle in superposition")</f>
        <v>A quantum particle in superposition</v>
      </c>
    </row>
    <row r="3782" ht="15.75" customHeight="1">
      <c r="A3782" s="3" t="s">
        <v>15</v>
      </c>
      <c r="B3782" s="3" t="s">
        <v>26</v>
      </c>
      <c r="D3782" s="3" t="str">
        <f>IFERROR(__xludf.DUMMYFUNCTION("GOOGLETRANSLATE(A3782, ""nl"", ""en"")"),"Animals and Organic Forms")</f>
        <v>Animals and Organic Forms</v>
      </c>
      <c r="E3782" s="3" t="str">
        <f>IFERROR(__xludf.DUMMYFUNCTION("GOOGLETRANSLATE(B3782, ""nl"", ""en"")"),"A frog preparing to jump")</f>
        <v>A frog preparing to jump</v>
      </c>
    </row>
    <row r="3783" ht="15.75" customHeight="1">
      <c r="A3783" s="3" t="s">
        <v>12</v>
      </c>
      <c r="B3783" s="3" t="s">
        <v>23</v>
      </c>
      <c r="D3783" s="3" t="str">
        <f>IFERROR(__xludf.DUMMYFUNCTION("GOOGLETRANSLATE(A3783, ""nl"", ""en"")"),"Nature and Elements")</f>
        <v>Nature and Elements</v>
      </c>
      <c r="E3783" s="3" t="str">
        <f>IFERROR(__xludf.DUMMYFUNCTION("GOOGLETRANSLATE(B3783, ""nl"", ""en"")"),"A storm cloud splitting in two")</f>
        <v>A storm cloud splitting in two</v>
      </c>
    </row>
    <row r="3784" ht="15.75" customHeight="1">
      <c r="A3784" s="3" t="s">
        <v>4</v>
      </c>
      <c r="B3784" s="3" t="s">
        <v>35</v>
      </c>
      <c r="D3784" s="3" t="str">
        <f>IFERROR(__xludf.DUMMYFUNCTION("GOOGLETRANSLATE(A3784, ""nl"", ""en"")"),"Architectural and Structural Associations")</f>
        <v>Architectural and Structural Associations</v>
      </c>
      <c r="E3784" s="3" t="str">
        <f>IFERROR(__xludf.DUMMYFUNCTION("GOOGLETRANSLATE(B3784, ""nl"", ""en"")"),"A floating building without a base")</f>
        <v>A floating building without a base</v>
      </c>
    </row>
    <row r="3785" ht="15.75" customHeight="1">
      <c r="A3785" s="3" t="s">
        <v>12</v>
      </c>
      <c r="B3785" s="3" t="s">
        <v>36</v>
      </c>
      <c r="D3785" s="3" t="str">
        <f>IFERROR(__xludf.DUMMYFUNCTION("GOOGLETRANSLATE(A3785, ""nl"", ""en"")"),"Nature and Elements")</f>
        <v>Nature and Elements</v>
      </c>
      <c r="E3785" s="3" t="str">
        <f>IFERROR(__xludf.DUMMYFUNCTION("GOOGLETRANSLATE(B3785, ""nl"", ""en"")"),"A river delta from a bird's-eye view")</f>
        <v>A river delta from a bird's-eye view</v>
      </c>
    </row>
    <row r="3786" ht="15.75" customHeight="1">
      <c r="A3786" s="3" t="s">
        <v>12</v>
      </c>
      <c r="B3786" s="3" t="s">
        <v>23</v>
      </c>
      <c r="D3786" s="3" t="str">
        <f>IFERROR(__xludf.DUMMYFUNCTION("GOOGLETRANSLATE(A3786, ""nl"", ""en"")"),"Nature and Elements")</f>
        <v>Nature and Elements</v>
      </c>
      <c r="E3786" s="3" t="str">
        <f>IFERROR(__xludf.DUMMYFUNCTION("GOOGLETRANSLATE(B3786, ""nl"", ""en"")"),"A storm cloud splitting in two")</f>
        <v>A storm cloud splitting in two</v>
      </c>
    </row>
    <row r="3787" ht="15.75" customHeight="1">
      <c r="A3787" s="3" t="s">
        <v>24</v>
      </c>
      <c r="B3787" s="3" t="s">
        <v>33</v>
      </c>
      <c r="D3787" s="3" t="str">
        <f>IFERROR(__xludf.DUMMYFUNCTION("GOOGLETRANSLATE(A3787, ""nl"", ""en"")"),"Cosmic and Abstract Patterns")</f>
        <v>Cosmic and Abstract Patterns</v>
      </c>
      <c r="E3787" s="3" t="str">
        <f>IFERROR(__xludf.DUMMYFUNCTION("GOOGLETRANSLATE(B3787, ""nl"", ""en"")"),"An eye that repeats itself in endless patterns")</f>
        <v>An eye that repeats itself in endless patterns</v>
      </c>
    </row>
    <row r="3788" ht="15.75" customHeight="1">
      <c r="A3788" s="3" t="s">
        <v>9</v>
      </c>
      <c r="B3788" s="3" t="s">
        <v>42</v>
      </c>
      <c r="D3788" s="3" t="str">
        <f>IFERROR(__xludf.DUMMYFUNCTION("GOOGLETRANSLATE(A3788, ""nl"", ""en"")"),"Psychological and Emotional Interpretations")</f>
        <v>Psychological and Emotional Interpretations</v>
      </c>
      <c r="E3788" s="3" t="str">
        <f>IFERROR(__xludf.DUMMYFUNCTION("GOOGLETRANSLATE(B3788, ""nl"", ""en"")"),"A mask that slowly disappears")</f>
        <v>A mask that slowly disappears</v>
      </c>
    </row>
    <row r="3789" ht="15.75" customHeight="1">
      <c r="A3789" s="3" t="s">
        <v>12</v>
      </c>
      <c r="B3789" s="3" t="s">
        <v>13</v>
      </c>
      <c r="D3789" s="3" t="str">
        <f>IFERROR(__xludf.DUMMYFUNCTION("GOOGLETRANSLATE(A3789, ""nl"", ""en"")"),"Nature and Elements")</f>
        <v>Nature and Elements</v>
      </c>
      <c r="E3789" s="3" t="str">
        <f>IFERROR(__xludf.DUMMYFUNCTION("GOOGLETRANSLATE(B3789, ""nl"", ""en"")"),"A lightning strike in slow motion")</f>
        <v>A lightning strike in slow motion</v>
      </c>
    </row>
    <row r="3790" ht="15.75" customHeight="1">
      <c r="A3790" s="3" t="s">
        <v>9</v>
      </c>
      <c r="B3790" s="3" t="s">
        <v>17</v>
      </c>
      <c r="D3790" s="3" t="str">
        <f>IFERROR(__xludf.DUMMYFUNCTION("GOOGLETRANSLATE(A3790, ""nl"", ""en"")"),"Psychological and Emotional Interpretations")</f>
        <v>Psychological and Emotional Interpretations</v>
      </c>
      <c r="E3790" s="3" t="str">
        <f>IFERROR(__xludf.DUMMYFUNCTION("GOOGLETRANSLATE(B3790, ""nl"", ""en"")"),"A figure that seems to melt")</f>
        <v>A figure that seems to melt</v>
      </c>
    </row>
    <row r="3791" ht="15.75" customHeight="1">
      <c r="A3791" s="3" t="s">
        <v>9</v>
      </c>
      <c r="B3791" s="3" t="s">
        <v>17</v>
      </c>
      <c r="D3791" s="3" t="str">
        <f>IFERROR(__xludf.DUMMYFUNCTION("GOOGLETRANSLATE(A3791, ""nl"", ""en"")"),"Psychological and Emotional Interpretations")</f>
        <v>Psychological and Emotional Interpretations</v>
      </c>
      <c r="E3791" s="3" t="str">
        <f>IFERROR(__xludf.DUMMYFUNCTION("GOOGLETRANSLATE(B3791, ""nl"", ""en"")"),"A figure that seems to melt")</f>
        <v>A figure that seems to melt</v>
      </c>
    </row>
    <row r="3792" ht="15.75" customHeight="1">
      <c r="A3792" s="3" t="s">
        <v>9</v>
      </c>
      <c r="B3792" s="3" t="s">
        <v>42</v>
      </c>
      <c r="D3792" s="3" t="str">
        <f>IFERROR(__xludf.DUMMYFUNCTION("GOOGLETRANSLATE(A3792, ""nl"", ""en"")"),"Psychological and Emotional Interpretations")</f>
        <v>Psychological and Emotional Interpretations</v>
      </c>
      <c r="E3792" s="3" t="str">
        <f>IFERROR(__xludf.DUMMYFUNCTION("GOOGLETRANSLATE(B3792, ""nl"", ""en"")"),"A mask that slowly disappears")</f>
        <v>A mask that slowly disappears</v>
      </c>
    </row>
    <row r="3793" ht="15.75" customHeight="1">
      <c r="A3793" s="3" t="s">
        <v>9</v>
      </c>
      <c r="B3793" s="3" t="s">
        <v>14</v>
      </c>
      <c r="D3793" s="3" t="str">
        <f>IFERROR(__xludf.DUMMYFUNCTION("GOOGLETRANSLATE(A3793, ""nl"", ""en"")"),"Psychological and Emotional Interpretations")</f>
        <v>Psychological and Emotional Interpretations</v>
      </c>
      <c r="E3793" s="3" t="str">
        <f>IFERROR(__xludf.DUMMYFUNCTION("GOOGLETRANSLATE(B3793, ""nl"", ""en"")"),"An unclear hug")</f>
        <v>An unclear hug</v>
      </c>
    </row>
    <row r="3794" ht="15.75" customHeight="1">
      <c r="A3794" s="3" t="s">
        <v>4</v>
      </c>
      <c r="B3794" s="3" t="s">
        <v>55</v>
      </c>
      <c r="D3794" s="3" t="str">
        <f>IFERROR(__xludf.DUMMYFUNCTION("GOOGLETRANSLATE(A3794, ""nl"", ""en"")"),"Architectural and Structural Associations")</f>
        <v>Architectural and Structural Associations</v>
      </c>
      <c r="E3794" s="3" t="str">
        <f>IFERROR(__xludf.DUMMYFUNCTION("GOOGLETRANSLATE(B3794, ""nl"", ""en"")"),"A prism that splits light into colors")</f>
        <v>A prism that splits light into colors</v>
      </c>
    </row>
    <row r="3795" ht="15.75" customHeight="1">
      <c r="A3795" s="3" t="s">
        <v>12</v>
      </c>
      <c r="B3795" s="3" t="s">
        <v>13</v>
      </c>
      <c r="D3795" s="3" t="str">
        <f>IFERROR(__xludf.DUMMYFUNCTION("GOOGLETRANSLATE(A3795, ""nl"", ""en"")"),"Nature and Elements")</f>
        <v>Nature and Elements</v>
      </c>
      <c r="E3795" s="3" t="str">
        <f>IFERROR(__xludf.DUMMYFUNCTION("GOOGLETRANSLATE(B3795, ""nl"", ""en"")"),"A lightning strike in slow motion")</f>
        <v>A lightning strike in slow motion</v>
      </c>
    </row>
    <row r="3796" ht="15.75" customHeight="1">
      <c r="A3796" s="3" t="s">
        <v>24</v>
      </c>
      <c r="B3796" s="3" t="s">
        <v>48</v>
      </c>
      <c r="D3796" s="3" t="str">
        <f>IFERROR(__xludf.DUMMYFUNCTION("GOOGLETRANSLATE(A3796, ""nl"", ""en"")"),"Cosmic and Abstract Patterns")</f>
        <v>Cosmic and Abstract Patterns</v>
      </c>
      <c r="E3796" s="3" t="str">
        <f>IFERROR(__xludf.DUMMYFUNCTION("GOOGLETRANSLATE(B3796, ""nl"", ""en"")"),"A fractal that repeats itself")</f>
        <v>A fractal that repeats itself</v>
      </c>
    </row>
    <row r="3797" ht="15.75" customHeight="1">
      <c r="A3797" s="3" t="s">
        <v>15</v>
      </c>
      <c r="B3797" s="3" t="s">
        <v>22</v>
      </c>
      <c r="D3797" s="3" t="str">
        <f>IFERROR(__xludf.DUMMYFUNCTION("GOOGLETRANSLATE(A3797, ""nl"", ""en"")"),"Animals and Organic Forms")</f>
        <v>Animals and Organic Forms</v>
      </c>
      <c r="E3797" s="3" t="str">
        <f>IFERROR(__xludf.DUMMYFUNCTION("GOOGLETRANSLATE(B3797, ""nl"", ""en"")"),"A bird taking off")</f>
        <v>A bird taking off</v>
      </c>
    </row>
    <row r="3798" ht="15.75" customHeight="1">
      <c r="A3798" s="3" t="s">
        <v>4</v>
      </c>
      <c r="B3798" s="3" t="s">
        <v>35</v>
      </c>
      <c r="D3798" s="3" t="str">
        <f>IFERROR(__xludf.DUMMYFUNCTION("GOOGLETRANSLATE(A3798, ""nl"", ""en"")"),"Architectural and Structural Associations")</f>
        <v>Architectural and Structural Associations</v>
      </c>
      <c r="E3798" s="3" t="str">
        <f>IFERROR(__xludf.DUMMYFUNCTION("GOOGLETRANSLATE(B3798, ""nl"", ""en"")"),"A floating building without a base")</f>
        <v>A floating building without a base</v>
      </c>
    </row>
    <row r="3799" ht="15.75" customHeight="1">
      <c r="A3799" s="3" t="s">
        <v>4</v>
      </c>
      <c r="B3799" s="3" t="s">
        <v>44</v>
      </c>
      <c r="D3799" s="3" t="str">
        <f>IFERROR(__xludf.DUMMYFUNCTION("GOOGLETRANSLATE(A3799, ""nl"", ""en"")"),"Architectural and Structural Associations")</f>
        <v>Architectural and Structural Associations</v>
      </c>
      <c r="E3799" s="3" t="str">
        <f>IFERROR(__xludf.DUMMYFUNCTION("GOOGLETRANSLATE(B3799, ""nl"", ""en"")"),"A structure that pulsates in waves")</f>
        <v>A structure that pulsates in waves</v>
      </c>
    </row>
    <row r="3800" ht="15.75" customHeight="1">
      <c r="A3800" s="3" t="s">
        <v>4</v>
      </c>
      <c r="B3800" s="3" t="s">
        <v>6</v>
      </c>
      <c r="D3800" s="3" t="str">
        <f>IFERROR(__xludf.DUMMYFUNCTION("GOOGLETRANSLATE(A3800, ""nl"", ""en"")"),"Architectural and Structural Associations")</f>
        <v>Architectural and Structural Associations</v>
      </c>
      <c r="E3800" s="3" t="str">
        <f>IFERROR(__xludf.DUMMYFUNCTION("GOOGLETRANSLATE(B3800, ""nl"", ""en"")"),"An endless labyrinth")</f>
        <v>An endless labyrinth</v>
      </c>
    </row>
    <row r="3801" ht="15.75" customHeight="1">
      <c r="A3801" s="3" t="s">
        <v>24</v>
      </c>
      <c r="B3801" s="3" t="s">
        <v>29</v>
      </c>
      <c r="D3801" s="3" t="str">
        <f>IFERROR(__xludf.DUMMYFUNCTION("GOOGLETRANSLATE(A3801, ""nl"", ""en"")"),"Cosmic and Abstract Patterns")</f>
        <v>Cosmic and Abstract Patterns</v>
      </c>
      <c r="E3801" s="3" t="str">
        <f>IFERROR(__xludf.DUMMYFUNCTION("GOOGLETRANSLATE(B3801, ""nl"", ""en"")"),"A galaxy unfolding")</f>
        <v>A galaxy unfolding</v>
      </c>
    </row>
    <row r="3802" ht="15.75" customHeight="1">
      <c r="A3802" s="3" t="s">
        <v>7</v>
      </c>
      <c r="B3802" s="3" t="s">
        <v>41</v>
      </c>
      <c r="D3802" s="3" t="str">
        <f>IFERROR(__xludf.DUMMYFUNCTION("GOOGLETRANSLATE(A3802, ""nl"", ""en"")"),"Human Figures and Physicality")</f>
        <v>Human Figures and Physicality</v>
      </c>
      <c r="E3802" s="3" t="str">
        <f>IFERROR(__xludf.DUMMYFUNCTION("GOOGLETRANSLATE(B3802, ""nl"", ""en"")"),"A face that fades into abstraction")</f>
        <v>A face that fades into abstraction</v>
      </c>
    </row>
    <row r="3803" ht="15.75" customHeight="1">
      <c r="A3803" s="3" t="s">
        <v>4</v>
      </c>
      <c r="B3803" s="3" t="s">
        <v>43</v>
      </c>
      <c r="D3803" s="3" t="str">
        <f>IFERROR(__xludf.DUMMYFUNCTION("GOOGLETRANSLATE(A3803, ""nl"", ""en"")"),"Architectural and Structural Associations")</f>
        <v>Architectural and Structural Associations</v>
      </c>
      <c r="E3803" s="3" t="str">
        <f>IFERROR(__xludf.DUMMYFUNCTION("GOOGLETRANSLATE(B3803, ""nl"", ""en"")"),"A network of tunnels and passages")</f>
        <v>A network of tunnels and passages</v>
      </c>
    </row>
    <row r="3804" ht="15.75" customHeight="1">
      <c r="A3804" s="3" t="s">
        <v>9</v>
      </c>
      <c r="B3804" s="3" t="s">
        <v>17</v>
      </c>
      <c r="D3804" s="3" t="str">
        <f>IFERROR(__xludf.DUMMYFUNCTION("GOOGLETRANSLATE(A3804, ""nl"", ""en"")"),"Psychological and Emotional Interpretations")</f>
        <v>Psychological and Emotional Interpretations</v>
      </c>
      <c r="E3804" s="3" t="str">
        <f>IFERROR(__xludf.DUMMYFUNCTION("GOOGLETRANSLATE(B3804, ""nl"", ""en"")"),"A figure that seems to melt")</f>
        <v>A figure that seems to melt</v>
      </c>
    </row>
    <row r="3805" ht="15.75" customHeight="1">
      <c r="A3805" s="3" t="s">
        <v>15</v>
      </c>
      <c r="B3805" s="3" t="s">
        <v>45</v>
      </c>
      <c r="D3805" s="3" t="str">
        <f>IFERROR(__xludf.DUMMYFUNCTION("GOOGLETRANSLATE(A3805, ""nl"", ""en"")"),"Animals and Organic Forms")</f>
        <v>Animals and Organic Forms</v>
      </c>
      <c r="E3805" s="3" t="str">
        <f>IFERROR(__xludf.DUMMYFUNCTION("GOOGLETRANSLATE(B3805, ""nl"", ""en"")"),"A snake biting its own tail")</f>
        <v>A snake biting its own tail</v>
      </c>
    </row>
    <row r="3806" ht="15.75" customHeight="1">
      <c r="A3806" s="3" t="s">
        <v>9</v>
      </c>
      <c r="B3806" s="3" t="s">
        <v>37</v>
      </c>
      <c r="D3806" s="3" t="str">
        <f>IFERROR(__xludf.DUMMYFUNCTION("GOOGLETRANSLATE(A3806, ""nl"", ""en"")"),"Psychological and Emotional Interpretations")</f>
        <v>Psychological and Emotional Interpretations</v>
      </c>
      <c r="E3806" s="3" t="str">
        <f>IFERROR(__xludf.DUMMYFUNCTION("GOOGLETRANSLATE(B3806, ""nl"", ""en"")"),"A figure looking through itself")</f>
        <v>A figure looking through itself</v>
      </c>
    </row>
    <row r="3807" ht="15.75" customHeight="1">
      <c r="A3807" s="3" t="s">
        <v>9</v>
      </c>
      <c r="B3807" s="3" t="s">
        <v>42</v>
      </c>
      <c r="D3807" s="3" t="str">
        <f>IFERROR(__xludf.DUMMYFUNCTION("GOOGLETRANSLATE(A3807, ""nl"", ""en"")"),"Psychological and Emotional Interpretations")</f>
        <v>Psychological and Emotional Interpretations</v>
      </c>
      <c r="E3807" s="3" t="str">
        <f>IFERROR(__xludf.DUMMYFUNCTION("GOOGLETRANSLATE(B3807, ""nl"", ""en"")"),"A mask that slowly disappears")</f>
        <v>A mask that slowly disappears</v>
      </c>
    </row>
    <row r="3808" ht="15.75" customHeight="1">
      <c r="A3808" s="3" t="s">
        <v>12</v>
      </c>
      <c r="B3808" s="3" t="s">
        <v>47</v>
      </c>
      <c r="D3808" s="3" t="str">
        <f>IFERROR(__xludf.DUMMYFUNCTION("GOOGLETRANSLATE(A3808, ""nl"", ""en"")"),"Nature and Elements")</f>
        <v>Nature and Elements</v>
      </c>
      <c r="E3808" s="3" t="str">
        <f>IFERROR(__xludf.DUMMYFUNCTION("GOOGLETRANSLATE(B3808, ""nl"", ""en"")"),"A desert landscape that slowly changes")</f>
        <v>A desert landscape that slowly changes</v>
      </c>
    </row>
    <row r="3809" ht="15.75" customHeight="1">
      <c r="A3809" s="3" t="s">
        <v>12</v>
      </c>
      <c r="B3809" s="3" t="s">
        <v>30</v>
      </c>
      <c r="D3809" s="3" t="str">
        <f>IFERROR(__xludf.DUMMYFUNCTION("GOOGLETRANSLATE(A3809, ""nl"", ""en"")"),"Nature and Elements")</f>
        <v>Nature and Elements</v>
      </c>
      <c r="E3809" s="3" t="str">
        <f>IFERROR(__xludf.DUMMYFUNCTION("GOOGLETRANSLATE(B3809, ""nl"", ""en"")"),"Waves breaking in fractal patterns")</f>
        <v>Waves breaking in fractal patterns</v>
      </c>
    </row>
    <row r="3810" ht="15.75" customHeight="1">
      <c r="A3810" s="3" t="s">
        <v>7</v>
      </c>
      <c r="B3810" s="3" t="s">
        <v>53</v>
      </c>
      <c r="D3810" s="3" t="str">
        <f>IFERROR(__xludf.DUMMYFUNCTION("GOOGLETRANSLATE(A3810, ""nl"", ""en"")"),"Human Figures and Physicality")</f>
        <v>Human Figures and Physicality</v>
      </c>
      <c r="E3810" s="3" t="str">
        <f>IFERROR(__xludf.DUMMYFUNCTION("GOOGLETRANSLATE(B3810, ""nl"", ""en"")"),"A face that both smiles and cries")</f>
        <v>A face that both smiles and cries</v>
      </c>
    </row>
    <row r="3811" ht="15.75" customHeight="1">
      <c r="A3811" s="3" t="s">
        <v>12</v>
      </c>
      <c r="B3811" s="3" t="s">
        <v>51</v>
      </c>
      <c r="D3811" s="3" t="str">
        <f>IFERROR(__xludf.DUMMYFUNCTION("GOOGLETRANSLATE(A3811, ""nl"", ""en"")"),"Nature and Elements")</f>
        <v>Nature and Elements</v>
      </c>
      <c r="E3811" s="3" t="str">
        <f>IFERROR(__xludf.DUMMYFUNCTION("GOOGLETRANSLATE(B3811, ""nl"", ""en"")"),"An evaporating puddle of water")</f>
        <v>An evaporating puddle of water</v>
      </c>
    </row>
    <row r="3812" ht="15.75" customHeight="1">
      <c r="A3812" s="3" t="s">
        <v>12</v>
      </c>
      <c r="B3812" s="3" t="s">
        <v>23</v>
      </c>
      <c r="D3812" s="3" t="str">
        <f>IFERROR(__xludf.DUMMYFUNCTION("GOOGLETRANSLATE(A3812, ""nl"", ""en"")"),"Nature and Elements")</f>
        <v>Nature and Elements</v>
      </c>
      <c r="E3812" s="3" t="str">
        <f>IFERROR(__xludf.DUMMYFUNCTION("GOOGLETRANSLATE(B3812, ""nl"", ""en"")"),"A storm cloud splitting in two")</f>
        <v>A storm cloud splitting in two</v>
      </c>
    </row>
    <row r="3813" ht="15.75" customHeight="1">
      <c r="A3813" s="3" t="s">
        <v>24</v>
      </c>
      <c r="B3813" s="3" t="s">
        <v>27</v>
      </c>
      <c r="D3813" s="3" t="str">
        <f>IFERROR(__xludf.DUMMYFUNCTION("GOOGLETRANSLATE(A3813, ""nl"", ""en"")"),"Cosmic and Abstract Patterns")</f>
        <v>Cosmic and Abstract Patterns</v>
      </c>
      <c r="E3813" s="3" t="str">
        <f>IFERROR(__xludf.DUMMYFUNCTION("GOOGLETRANSLATE(B3813, ""nl"", ""en"")"),"A pair of black holes in dance")</f>
        <v>A pair of black holes in dance</v>
      </c>
    </row>
    <row r="3814" ht="15.75" customHeight="1">
      <c r="A3814" s="3" t="s">
        <v>24</v>
      </c>
      <c r="B3814" s="3" t="s">
        <v>48</v>
      </c>
      <c r="D3814" s="3" t="str">
        <f>IFERROR(__xludf.DUMMYFUNCTION("GOOGLETRANSLATE(A3814, ""nl"", ""en"")"),"Cosmic and Abstract Patterns")</f>
        <v>Cosmic and Abstract Patterns</v>
      </c>
      <c r="E3814" s="3" t="str">
        <f>IFERROR(__xludf.DUMMYFUNCTION("GOOGLETRANSLATE(B3814, ""nl"", ""en"")"),"A fractal that repeats itself")</f>
        <v>A fractal that repeats itself</v>
      </c>
    </row>
    <row r="3815" ht="15.75" customHeight="1">
      <c r="A3815" s="3" t="s">
        <v>9</v>
      </c>
      <c r="B3815" s="3" t="s">
        <v>11</v>
      </c>
      <c r="D3815" s="3" t="str">
        <f>IFERROR(__xludf.DUMMYFUNCTION("GOOGLETRANSLATE(A3815, ""nl"", ""en"")"),"Psychological and Emotional Interpretations")</f>
        <v>Psychological and Emotional Interpretations</v>
      </c>
      <c r="E3815" s="3" t="str">
        <f>IFERROR(__xludf.DUMMYFUNCTION("GOOGLETRANSLATE(B3815, ""nl"", ""en"")"),"An emotion captured in abstraction")</f>
        <v>An emotion captured in abstraction</v>
      </c>
    </row>
    <row r="3816" ht="15.75" customHeight="1">
      <c r="A3816" s="3" t="s">
        <v>24</v>
      </c>
      <c r="B3816" s="3" t="s">
        <v>32</v>
      </c>
      <c r="D3816" s="3" t="str">
        <f>IFERROR(__xludf.DUMMYFUNCTION("GOOGLETRANSLATE(A3816, ""nl"", ""en"")"),"Cosmic and Abstract Patterns")</f>
        <v>Cosmic and Abstract Patterns</v>
      </c>
      <c r="E3816" s="3" t="str">
        <f>IFERROR(__xludf.DUMMYFUNCTION("GOOGLETRANSLATE(B3816, ""nl"", ""en"")"),"A time loop captured in image")</f>
        <v>A time loop captured in image</v>
      </c>
    </row>
    <row r="3817" ht="15.75" customHeight="1">
      <c r="A3817" s="3" t="s">
        <v>9</v>
      </c>
      <c r="B3817" s="3" t="s">
        <v>17</v>
      </c>
      <c r="D3817" s="3" t="str">
        <f>IFERROR(__xludf.DUMMYFUNCTION("GOOGLETRANSLATE(A3817, ""nl"", ""en"")"),"Psychological and Emotional Interpretations")</f>
        <v>Psychological and Emotional Interpretations</v>
      </c>
      <c r="E3817" s="3" t="str">
        <f>IFERROR(__xludf.DUMMYFUNCTION("GOOGLETRANSLATE(B3817, ""nl"", ""en"")"),"A figure that seems to melt")</f>
        <v>A figure that seems to melt</v>
      </c>
    </row>
    <row r="3818" ht="15.75" customHeight="1">
      <c r="A3818" s="3" t="s">
        <v>7</v>
      </c>
      <c r="B3818" s="3" t="s">
        <v>56</v>
      </c>
      <c r="D3818" s="3" t="str">
        <f>IFERROR(__xludf.DUMMYFUNCTION("GOOGLETRANSLATE(A3818, ""nl"", ""en"")"),"Human Figures and Physicality")</f>
        <v>Human Figures and Physicality</v>
      </c>
      <c r="E3818" s="3" t="str">
        <f>IFERROR(__xludf.DUMMYFUNCTION("GOOGLETRANSLATE(B3818, ""nl"", ""en"")"),"A shadow that seems to move")</f>
        <v>A shadow that seems to move</v>
      </c>
    </row>
    <row r="3819" ht="15.75" customHeight="1">
      <c r="A3819" s="3" t="s">
        <v>7</v>
      </c>
      <c r="B3819" s="3" t="s">
        <v>39</v>
      </c>
      <c r="D3819" s="3" t="str">
        <f>IFERROR(__xludf.DUMMYFUNCTION("GOOGLETRANSLATE(A3819, ""nl"", ""en"")"),"Human Figures and Physicality")</f>
        <v>Human Figures and Physicality</v>
      </c>
      <c r="E3819" s="3" t="str">
        <f>IFERROR(__xludf.DUMMYFUNCTION("GOOGLETRANSLATE(B3819, ""nl"", ""en"")"),"A torso without a head")</f>
        <v>A torso without a head</v>
      </c>
    </row>
    <row r="3820" ht="15.75" customHeight="1">
      <c r="A3820" s="3" t="s">
        <v>4</v>
      </c>
      <c r="B3820" s="3" t="s">
        <v>55</v>
      </c>
      <c r="D3820" s="3" t="str">
        <f>IFERROR(__xludf.DUMMYFUNCTION("GOOGLETRANSLATE(A3820, ""nl"", ""en"")"),"Architectural and Structural Associations")</f>
        <v>Architectural and Structural Associations</v>
      </c>
      <c r="E3820" s="3" t="str">
        <f>IFERROR(__xludf.DUMMYFUNCTION("GOOGLETRANSLATE(B3820, ""nl"", ""en"")"),"A prism that splits light into colors")</f>
        <v>A prism that splits light into colors</v>
      </c>
    </row>
    <row r="3821" ht="15.75" customHeight="1">
      <c r="A3821" s="3" t="s">
        <v>24</v>
      </c>
      <c r="B3821" s="3" t="s">
        <v>27</v>
      </c>
      <c r="D3821" s="3" t="str">
        <f>IFERROR(__xludf.DUMMYFUNCTION("GOOGLETRANSLATE(A3821, ""nl"", ""en"")"),"Cosmic and Abstract Patterns")</f>
        <v>Cosmic and Abstract Patterns</v>
      </c>
      <c r="E3821" s="3" t="str">
        <f>IFERROR(__xludf.DUMMYFUNCTION("GOOGLETRANSLATE(B3821, ""nl"", ""en"")"),"A pair of black holes in dance")</f>
        <v>A pair of black holes in dance</v>
      </c>
    </row>
    <row r="3822" ht="15.75" customHeight="1">
      <c r="A3822" s="3" t="s">
        <v>7</v>
      </c>
      <c r="B3822" s="3" t="s">
        <v>8</v>
      </c>
      <c r="D3822" s="3" t="str">
        <f>IFERROR(__xludf.DUMMYFUNCTION("GOOGLETRANSLATE(A3822, ""nl"", ""en"")"),"Human Figures and Physicality")</f>
        <v>Human Figures and Physicality</v>
      </c>
      <c r="E3822" s="3" t="str">
        <f>IFERROR(__xludf.DUMMYFUNCTION("GOOGLETRANSLATE(B3822, ""nl"", ""en"")"),"Two figures mirroring each other")</f>
        <v>Two figures mirroring each other</v>
      </c>
    </row>
    <row r="3823" ht="15.75" customHeight="1">
      <c r="A3823" s="3" t="s">
        <v>9</v>
      </c>
      <c r="B3823" s="3" t="s">
        <v>17</v>
      </c>
      <c r="D3823" s="3" t="str">
        <f>IFERROR(__xludf.DUMMYFUNCTION("GOOGLETRANSLATE(A3823, ""nl"", ""en"")"),"Psychological and Emotional Interpretations")</f>
        <v>Psychological and Emotional Interpretations</v>
      </c>
      <c r="E3823" s="3" t="str">
        <f>IFERROR(__xludf.DUMMYFUNCTION("GOOGLETRANSLATE(B3823, ""nl"", ""en"")"),"A figure that seems to melt")</f>
        <v>A figure that seems to melt</v>
      </c>
    </row>
    <row r="3824" ht="15.75" customHeight="1">
      <c r="A3824" s="3" t="s">
        <v>12</v>
      </c>
      <c r="B3824" s="3" t="s">
        <v>19</v>
      </c>
      <c r="D3824" s="3" t="str">
        <f>IFERROR(__xludf.DUMMYFUNCTION("GOOGLETRANSLATE(A3824, ""nl"", ""en"")"),"Nature and Elements")</f>
        <v>Nature and Elements</v>
      </c>
      <c r="E3824" s="3" t="str">
        <f>IFERROR(__xludf.DUMMYFUNCTION("GOOGLETRANSLATE(B3824, ""nl"", ""en"")"),"A mountain range that seems to breathe")</f>
        <v>A mountain range that seems to breathe</v>
      </c>
    </row>
    <row r="3825" ht="15.75" customHeight="1">
      <c r="A3825" s="3" t="s">
        <v>7</v>
      </c>
      <c r="B3825" s="3" t="s">
        <v>56</v>
      </c>
      <c r="D3825" s="3" t="str">
        <f>IFERROR(__xludf.DUMMYFUNCTION("GOOGLETRANSLATE(A3825, ""nl"", ""en"")"),"Human Figures and Physicality")</f>
        <v>Human Figures and Physicality</v>
      </c>
      <c r="E3825" s="3" t="str">
        <f>IFERROR(__xludf.DUMMYFUNCTION("GOOGLETRANSLATE(B3825, ""nl"", ""en"")"),"A shadow that seems to move")</f>
        <v>A shadow that seems to move</v>
      </c>
    </row>
    <row r="3826" ht="15.75" customHeight="1">
      <c r="A3826" s="3" t="s">
        <v>7</v>
      </c>
      <c r="B3826" s="3" t="s">
        <v>56</v>
      </c>
      <c r="D3826" s="3" t="str">
        <f>IFERROR(__xludf.DUMMYFUNCTION("GOOGLETRANSLATE(A3826, ""nl"", ""en"")"),"Human Figures and Physicality")</f>
        <v>Human Figures and Physicality</v>
      </c>
      <c r="E3826" s="3" t="str">
        <f>IFERROR(__xludf.DUMMYFUNCTION("GOOGLETRANSLATE(B3826, ""nl"", ""en"")"),"A shadow that seems to move")</f>
        <v>A shadow that seems to move</v>
      </c>
    </row>
    <row r="3827" ht="15.75" customHeight="1">
      <c r="A3827" s="3" t="s">
        <v>9</v>
      </c>
      <c r="B3827" s="3" t="s">
        <v>10</v>
      </c>
      <c r="D3827" s="3" t="str">
        <f>IFERROR(__xludf.DUMMYFUNCTION("GOOGLETRANSLATE(A3827, ""nl"", ""en"")"),"Psychological and Emotional Interpretations")</f>
        <v>Psychological and Emotional Interpretations</v>
      </c>
      <c r="E3827" s="3" t="str">
        <f>IFERROR(__xludf.DUMMYFUNCTION("GOOGLETRANSLATE(B3827, ""nl"", ""en"")"),"A face transforming in light")</f>
        <v>A face transforming in light</v>
      </c>
    </row>
    <row r="3828" ht="15.75" customHeight="1">
      <c r="A3828" s="3" t="s">
        <v>7</v>
      </c>
      <c r="B3828" s="3" t="s">
        <v>40</v>
      </c>
      <c r="D3828" s="3" t="str">
        <f>IFERROR(__xludf.DUMMYFUNCTION("GOOGLETRANSLATE(A3828, ""nl"", ""en"")"),"Human Figures and Physicality")</f>
        <v>Human Figures and Physicality</v>
      </c>
      <c r="E3828" s="3" t="str">
        <f>IFERROR(__xludf.DUMMYFUNCTION("GOOGLETRANSLATE(B3828, ""nl"", ""en"")"),"A figure who is withdrawn into himself")</f>
        <v>A figure who is withdrawn into himself</v>
      </c>
    </row>
    <row r="3829" ht="15.75" customHeight="1">
      <c r="A3829" s="3" t="s">
        <v>24</v>
      </c>
      <c r="B3829" s="3" t="s">
        <v>32</v>
      </c>
      <c r="D3829" s="3" t="str">
        <f>IFERROR(__xludf.DUMMYFUNCTION("GOOGLETRANSLATE(A3829, ""nl"", ""en"")"),"Cosmic and Abstract Patterns")</f>
        <v>Cosmic and Abstract Patterns</v>
      </c>
      <c r="E3829" s="3" t="str">
        <f>IFERROR(__xludf.DUMMYFUNCTION("GOOGLETRANSLATE(B3829, ""nl"", ""en"")"),"A time loop captured in image")</f>
        <v>A time loop captured in image</v>
      </c>
    </row>
    <row r="3830" ht="15.75" customHeight="1">
      <c r="A3830" s="3" t="s">
        <v>4</v>
      </c>
      <c r="B3830" s="3" t="s">
        <v>44</v>
      </c>
      <c r="D3830" s="3" t="str">
        <f>IFERROR(__xludf.DUMMYFUNCTION("GOOGLETRANSLATE(A3830, ""nl"", ""en"")"),"Architectural and Structural Associations")</f>
        <v>Architectural and Structural Associations</v>
      </c>
      <c r="E3830" s="3" t="str">
        <f>IFERROR(__xludf.DUMMYFUNCTION("GOOGLETRANSLATE(B3830, ""nl"", ""en"")"),"A structure that pulsates in waves")</f>
        <v>A structure that pulsates in waves</v>
      </c>
    </row>
    <row r="3831" ht="15.75" customHeight="1">
      <c r="A3831" s="3" t="s">
        <v>15</v>
      </c>
      <c r="B3831" s="3" t="s">
        <v>52</v>
      </c>
      <c r="D3831" s="3" t="str">
        <f>IFERROR(__xludf.DUMMYFUNCTION("GOOGLETRANSLATE(A3831, ""nl"", ""en"")"),"Animals and Organic Forms")</f>
        <v>Animals and Organic Forms</v>
      </c>
      <c r="E3831" s="3" t="str">
        <f>IFERROR(__xludf.DUMMYFUNCTION("GOOGLETRANSLATE(B3831, ""nl"", ""en"")"),"A mask made of leaves")</f>
        <v>A mask made of leaves</v>
      </c>
    </row>
    <row r="3832" ht="15.75" customHeight="1">
      <c r="A3832" s="3" t="s">
        <v>15</v>
      </c>
      <c r="B3832" s="3" t="s">
        <v>45</v>
      </c>
      <c r="D3832" s="3" t="str">
        <f>IFERROR(__xludf.DUMMYFUNCTION("GOOGLETRANSLATE(A3832, ""nl"", ""en"")"),"Animals and Organic Forms")</f>
        <v>Animals and Organic Forms</v>
      </c>
      <c r="E3832" s="3" t="str">
        <f>IFERROR(__xludf.DUMMYFUNCTION("GOOGLETRANSLATE(B3832, ""nl"", ""en"")"),"A snake biting its own tail")</f>
        <v>A snake biting its own tail</v>
      </c>
    </row>
    <row r="3833" ht="15.75" customHeight="1">
      <c r="A3833" s="3" t="s">
        <v>12</v>
      </c>
      <c r="B3833" s="3" t="s">
        <v>36</v>
      </c>
      <c r="D3833" s="3" t="str">
        <f>IFERROR(__xludf.DUMMYFUNCTION("GOOGLETRANSLATE(A3833, ""nl"", ""en"")"),"Nature and Elements")</f>
        <v>Nature and Elements</v>
      </c>
      <c r="E3833" s="3" t="str">
        <f>IFERROR(__xludf.DUMMYFUNCTION("GOOGLETRANSLATE(B3833, ""nl"", ""en"")"),"A river delta from a bird's-eye view")</f>
        <v>A river delta from a bird's-eye view</v>
      </c>
    </row>
    <row r="3834" ht="15.75" customHeight="1">
      <c r="A3834" s="3" t="s">
        <v>7</v>
      </c>
      <c r="B3834" s="3" t="s">
        <v>53</v>
      </c>
      <c r="D3834" s="3" t="str">
        <f>IFERROR(__xludf.DUMMYFUNCTION("GOOGLETRANSLATE(A3834, ""nl"", ""en"")"),"Human Figures and Physicality")</f>
        <v>Human Figures and Physicality</v>
      </c>
      <c r="E3834" s="3" t="str">
        <f>IFERROR(__xludf.DUMMYFUNCTION("GOOGLETRANSLATE(B3834, ""nl"", ""en"")"),"A face that both smiles and cries")</f>
        <v>A face that both smiles and cries</v>
      </c>
    </row>
    <row r="3835" ht="15.75" customHeight="1">
      <c r="A3835" s="3" t="s">
        <v>12</v>
      </c>
      <c r="B3835" s="3" t="s">
        <v>36</v>
      </c>
      <c r="D3835" s="3" t="str">
        <f>IFERROR(__xludf.DUMMYFUNCTION("GOOGLETRANSLATE(A3835, ""nl"", ""en"")"),"Nature and Elements")</f>
        <v>Nature and Elements</v>
      </c>
      <c r="E3835" s="3" t="str">
        <f>IFERROR(__xludf.DUMMYFUNCTION("GOOGLETRANSLATE(B3835, ""nl"", ""en"")"),"A river delta from a bird's-eye view")</f>
        <v>A river delta from a bird's-eye view</v>
      </c>
    </row>
    <row r="3836" ht="15.75" customHeight="1">
      <c r="A3836" s="3" t="s">
        <v>24</v>
      </c>
      <c r="B3836" s="3" t="s">
        <v>27</v>
      </c>
      <c r="D3836" s="3" t="str">
        <f>IFERROR(__xludf.DUMMYFUNCTION("GOOGLETRANSLATE(A3836, ""nl"", ""en"")"),"Cosmic and Abstract Patterns")</f>
        <v>Cosmic and Abstract Patterns</v>
      </c>
      <c r="E3836" s="3" t="str">
        <f>IFERROR(__xludf.DUMMYFUNCTION("GOOGLETRANSLATE(B3836, ""nl"", ""en"")"),"A pair of black holes in dance")</f>
        <v>A pair of black holes in dance</v>
      </c>
    </row>
    <row r="3837" ht="15.75" customHeight="1">
      <c r="A3837" s="3" t="s">
        <v>4</v>
      </c>
      <c r="B3837" s="3" t="s">
        <v>20</v>
      </c>
      <c r="D3837" s="3" t="str">
        <f>IFERROR(__xludf.DUMMYFUNCTION("GOOGLETRANSLATE(A3837, ""nl"", ""en"")"),"Architectural and Structural Associations")</f>
        <v>Architectural and Structural Associations</v>
      </c>
      <c r="E3837" s="3" t="str">
        <f>IFERROR(__xludf.DUMMYFUNCTION("GOOGLETRANSLATE(B3837, ""nl"", ""en"")"),"A tower that grows by itself")</f>
        <v>A tower that grows by itself</v>
      </c>
    </row>
    <row r="3838" ht="15.75" customHeight="1">
      <c r="A3838" s="3" t="s">
        <v>24</v>
      </c>
      <c r="B3838" s="3" t="s">
        <v>27</v>
      </c>
      <c r="D3838" s="3" t="str">
        <f>IFERROR(__xludf.DUMMYFUNCTION("GOOGLETRANSLATE(A3838, ""nl"", ""en"")"),"Cosmic and Abstract Patterns")</f>
        <v>Cosmic and Abstract Patterns</v>
      </c>
      <c r="E3838" s="3" t="str">
        <f>IFERROR(__xludf.DUMMYFUNCTION("GOOGLETRANSLATE(B3838, ""nl"", ""en"")"),"A pair of black holes in dance")</f>
        <v>A pair of black holes in dance</v>
      </c>
    </row>
    <row r="3839" ht="15.75" customHeight="1">
      <c r="A3839" s="3" t="s">
        <v>24</v>
      </c>
      <c r="B3839" s="3" t="s">
        <v>32</v>
      </c>
      <c r="D3839" s="3" t="str">
        <f>IFERROR(__xludf.DUMMYFUNCTION("GOOGLETRANSLATE(A3839, ""nl"", ""en"")"),"Cosmic and Abstract Patterns")</f>
        <v>Cosmic and Abstract Patterns</v>
      </c>
      <c r="E3839" s="3" t="str">
        <f>IFERROR(__xludf.DUMMYFUNCTION("GOOGLETRANSLATE(B3839, ""nl"", ""en"")"),"A time loop captured in image")</f>
        <v>A time loop captured in image</v>
      </c>
    </row>
    <row r="3840" ht="15.75" customHeight="1">
      <c r="A3840" s="3" t="s">
        <v>24</v>
      </c>
      <c r="B3840" s="3" t="s">
        <v>25</v>
      </c>
      <c r="D3840" s="3" t="str">
        <f>IFERROR(__xludf.DUMMYFUNCTION("GOOGLETRANSLATE(A3840, ""nl"", ""en"")"),"Cosmic and Abstract Patterns")</f>
        <v>Cosmic and Abstract Patterns</v>
      </c>
      <c r="E3840" s="3" t="str">
        <f>IFERROR(__xludf.DUMMYFUNCTION("GOOGLETRANSLATE(B3840, ""nl"", ""en"")"),"A meteor shower dissolving into each other")</f>
        <v>A meteor shower dissolving into each other</v>
      </c>
    </row>
    <row r="3841" ht="15.75" customHeight="1">
      <c r="A3841" s="3" t="s">
        <v>7</v>
      </c>
      <c r="B3841" s="3" t="s">
        <v>28</v>
      </c>
      <c r="D3841" s="3" t="str">
        <f>IFERROR(__xludf.DUMMYFUNCTION("GOOGLETRANSLATE(A3841, ""nl"", ""en"")"),"Human Figures and Physicality")</f>
        <v>Human Figures and Physicality</v>
      </c>
      <c r="E3841" s="3" t="str">
        <f>IFERROR(__xludf.DUMMYFUNCTION("GOOGLETRANSLATE(B3841, ""nl"", ""en"")"),"A dancing silhouette")</f>
        <v>A dancing silhouette</v>
      </c>
    </row>
    <row r="3842" ht="15.75" customHeight="1">
      <c r="A3842" s="3" t="s">
        <v>15</v>
      </c>
      <c r="B3842" s="3" t="s">
        <v>22</v>
      </c>
      <c r="D3842" s="3" t="str">
        <f>IFERROR(__xludf.DUMMYFUNCTION("GOOGLETRANSLATE(A3842, ""nl"", ""en"")"),"Animals and Organic Forms")</f>
        <v>Animals and Organic Forms</v>
      </c>
      <c r="E3842" s="3" t="str">
        <f>IFERROR(__xludf.DUMMYFUNCTION("GOOGLETRANSLATE(B3842, ""nl"", ""en"")"),"A bird taking off")</f>
        <v>A bird taking off</v>
      </c>
    </row>
    <row r="3843" ht="15.75" customHeight="1">
      <c r="A3843" s="3" t="s">
        <v>7</v>
      </c>
      <c r="B3843" s="3" t="s">
        <v>40</v>
      </c>
      <c r="D3843" s="3" t="str">
        <f>IFERROR(__xludf.DUMMYFUNCTION("GOOGLETRANSLATE(A3843, ""nl"", ""en"")"),"Human Figures and Physicality")</f>
        <v>Human Figures and Physicality</v>
      </c>
      <c r="E3843" s="3" t="str">
        <f>IFERROR(__xludf.DUMMYFUNCTION("GOOGLETRANSLATE(B3843, ""nl"", ""en"")"),"A figure who is withdrawn into himself")</f>
        <v>A figure who is withdrawn into himself</v>
      </c>
    </row>
    <row r="3844" ht="15.75" customHeight="1">
      <c r="A3844" s="3" t="s">
        <v>7</v>
      </c>
      <c r="B3844" s="3" t="s">
        <v>41</v>
      </c>
      <c r="D3844" s="3" t="str">
        <f>IFERROR(__xludf.DUMMYFUNCTION("GOOGLETRANSLATE(A3844, ""nl"", ""en"")"),"Human Figures and Physicality")</f>
        <v>Human Figures and Physicality</v>
      </c>
      <c r="E3844" s="3" t="str">
        <f>IFERROR(__xludf.DUMMYFUNCTION("GOOGLETRANSLATE(B3844, ""nl"", ""en"")"),"A face that fades into abstraction")</f>
        <v>A face that fades into abstraction</v>
      </c>
    </row>
    <row r="3845" ht="15.75" customHeight="1">
      <c r="A3845" s="3" t="s">
        <v>9</v>
      </c>
      <c r="B3845" s="3" t="s">
        <v>11</v>
      </c>
      <c r="D3845" s="3" t="str">
        <f>IFERROR(__xludf.DUMMYFUNCTION("GOOGLETRANSLATE(A3845, ""nl"", ""en"")"),"Psychological and Emotional Interpretations")</f>
        <v>Psychological and Emotional Interpretations</v>
      </c>
      <c r="E3845" s="3" t="str">
        <f>IFERROR(__xludf.DUMMYFUNCTION("GOOGLETRANSLATE(B3845, ""nl"", ""en"")"),"An emotion captured in abstraction")</f>
        <v>An emotion captured in abstraction</v>
      </c>
    </row>
    <row r="3846" ht="15.75" customHeight="1">
      <c r="A3846" s="3" t="s">
        <v>9</v>
      </c>
      <c r="B3846" s="3" t="s">
        <v>17</v>
      </c>
      <c r="D3846" s="3" t="str">
        <f>IFERROR(__xludf.DUMMYFUNCTION("GOOGLETRANSLATE(A3846, ""nl"", ""en"")"),"Psychological and Emotional Interpretations")</f>
        <v>Psychological and Emotional Interpretations</v>
      </c>
      <c r="E3846" s="3" t="str">
        <f>IFERROR(__xludf.DUMMYFUNCTION("GOOGLETRANSLATE(B3846, ""nl"", ""en"")"),"A figure that seems to melt")</f>
        <v>A figure that seems to melt</v>
      </c>
    </row>
    <row r="3847" ht="15.75" customHeight="1">
      <c r="A3847" s="3" t="s">
        <v>7</v>
      </c>
      <c r="B3847" s="3" t="s">
        <v>8</v>
      </c>
      <c r="D3847" s="3" t="str">
        <f>IFERROR(__xludf.DUMMYFUNCTION("GOOGLETRANSLATE(A3847, ""nl"", ""en"")"),"Human Figures and Physicality")</f>
        <v>Human Figures and Physicality</v>
      </c>
      <c r="E3847" s="3" t="str">
        <f>IFERROR(__xludf.DUMMYFUNCTION("GOOGLETRANSLATE(B3847, ""nl"", ""en"")"),"Two figures mirroring each other")</f>
        <v>Two figures mirroring each other</v>
      </c>
    </row>
    <row r="3848" ht="15.75" customHeight="1">
      <c r="A3848" s="3" t="s">
        <v>24</v>
      </c>
      <c r="B3848" s="3" t="s">
        <v>54</v>
      </c>
      <c r="D3848" s="3" t="str">
        <f>IFERROR(__xludf.DUMMYFUNCTION("GOOGLETRANSLATE(A3848, ""nl"", ""en"")"),"Cosmic and Abstract Patterns")</f>
        <v>Cosmic and Abstract Patterns</v>
      </c>
      <c r="E3848" s="3" t="str">
        <f>IFERROR(__xludf.DUMMYFUNCTION("GOOGLETRANSLATE(B3848, ""nl"", ""en"")"),"A quantum particle in superposition")</f>
        <v>A quantum particle in superposition</v>
      </c>
    </row>
    <row r="3849" ht="15.75" customHeight="1">
      <c r="A3849" s="3" t="s">
        <v>12</v>
      </c>
      <c r="B3849" s="3" t="s">
        <v>36</v>
      </c>
      <c r="D3849" s="3" t="str">
        <f>IFERROR(__xludf.DUMMYFUNCTION("GOOGLETRANSLATE(A3849, ""nl"", ""en"")"),"Nature and Elements")</f>
        <v>Nature and Elements</v>
      </c>
      <c r="E3849" s="3" t="str">
        <f>IFERROR(__xludf.DUMMYFUNCTION("GOOGLETRANSLATE(B3849, ""nl"", ""en"")"),"A river delta from a bird's-eye view")</f>
        <v>A river delta from a bird's-eye view</v>
      </c>
    </row>
    <row r="3850" ht="15.75" customHeight="1">
      <c r="A3850" s="3" t="s">
        <v>15</v>
      </c>
      <c r="B3850" s="3" t="s">
        <v>50</v>
      </c>
      <c r="D3850" s="3" t="str">
        <f>IFERROR(__xludf.DUMMYFUNCTION("GOOGLETRANSLATE(A3850, ""nl"", ""en"")"),"Animals and Organic Forms")</f>
        <v>Animals and Organic Forms</v>
      </c>
      <c r="E3850" s="3" t="str">
        <f>IFERROR(__xludf.DUMMYFUNCTION("GOOGLETRANSLATE(B3850, ""nl"", ""en"")"),"A squid with extended tentacles")</f>
        <v>A squid with extended tentacles</v>
      </c>
    </row>
    <row r="3851" ht="15.75" customHeight="1">
      <c r="A3851" s="3" t="s">
        <v>12</v>
      </c>
      <c r="B3851" s="3" t="s">
        <v>23</v>
      </c>
      <c r="D3851" s="3" t="str">
        <f>IFERROR(__xludf.DUMMYFUNCTION("GOOGLETRANSLATE(A3851, ""nl"", ""en"")"),"Nature and Elements")</f>
        <v>Nature and Elements</v>
      </c>
      <c r="E3851" s="3" t="str">
        <f>IFERROR(__xludf.DUMMYFUNCTION("GOOGLETRANSLATE(B3851, ""nl"", ""en"")"),"A storm cloud splitting in two")</f>
        <v>A storm cloud splitting in two</v>
      </c>
    </row>
    <row r="3852" ht="15.75" customHeight="1">
      <c r="A3852" s="3" t="s">
        <v>9</v>
      </c>
      <c r="B3852" s="3" t="s">
        <v>37</v>
      </c>
      <c r="D3852" s="3" t="str">
        <f>IFERROR(__xludf.DUMMYFUNCTION("GOOGLETRANSLATE(A3852, ""nl"", ""en"")"),"Psychological and Emotional Interpretations")</f>
        <v>Psychological and Emotional Interpretations</v>
      </c>
      <c r="E3852" s="3" t="str">
        <f>IFERROR(__xludf.DUMMYFUNCTION("GOOGLETRANSLATE(B3852, ""nl"", ""en"")"),"A figure looking through itself")</f>
        <v>A figure looking through itself</v>
      </c>
    </row>
    <row r="3853" ht="15.75" customHeight="1">
      <c r="A3853" s="3" t="s">
        <v>12</v>
      </c>
      <c r="B3853" s="3" t="s">
        <v>19</v>
      </c>
      <c r="D3853" s="3" t="str">
        <f>IFERROR(__xludf.DUMMYFUNCTION("GOOGLETRANSLATE(A3853, ""nl"", ""en"")"),"Nature and Elements")</f>
        <v>Nature and Elements</v>
      </c>
      <c r="E3853" s="3" t="str">
        <f>IFERROR(__xludf.DUMMYFUNCTION("GOOGLETRANSLATE(B3853, ""nl"", ""en"")"),"A mountain range that seems to breathe")</f>
        <v>A mountain range that seems to breathe</v>
      </c>
    </row>
    <row r="3854" ht="15.75" customHeight="1">
      <c r="A3854" s="3" t="s">
        <v>7</v>
      </c>
      <c r="B3854" s="3" t="s">
        <v>40</v>
      </c>
      <c r="D3854" s="3" t="str">
        <f>IFERROR(__xludf.DUMMYFUNCTION("GOOGLETRANSLATE(A3854, ""nl"", ""en"")"),"Human Figures and Physicality")</f>
        <v>Human Figures and Physicality</v>
      </c>
      <c r="E3854" s="3" t="str">
        <f>IFERROR(__xludf.DUMMYFUNCTION("GOOGLETRANSLATE(B3854, ""nl"", ""en"")"),"A figure who is withdrawn into himself")</f>
        <v>A figure who is withdrawn into himself</v>
      </c>
    </row>
    <row r="3855" ht="15.75" customHeight="1">
      <c r="A3855" s="3" t="s">
        <v>9</v>
      </c>
      <c r="B3855" s="3" t="s">
        <v>49</v>
      </c>
      <c r="D3855" s="3" t="str">
        <f>IFERROR(__xludf.DUMMYFUNCTION("GOOGLETRANSLATE(A3855, ""nl"", ""en"")"),"Psychological and Emotional Interpretations")</f>
        <v>Psychological and Emotional Interpretations</v>
      </c>
      <c r="E3855" s="3" t="str">
        <f>IFERROR(__xludf.DUMMYFUNCTION("GOOGLETRANSLATE(B3855, ""nl"", ""en"")"),"A spiral that turns inward")</f>
        <v>A spiral that turns inward</v>
      </c>
    </row>
    <row r="3856" ht="15.75" customHeight="1">
      <c r="A3856" s="3" t="s">
        <v>24</v>
      </c>
      <c r="B3856" s="3" t="s">
        <v>27</v>
      </c>
      <c r="D3856" s="3" t="str">
        <f>IFERROR(__xludf.DUMMYFUNCTION("GOOGLETRANSLATE(A3856, ""nl"", ""en"")"),"Cosmic and Abstract Patterns")</f>
        <v>Cosmic and Abstract Patterns</v>
      </c>
      <c r="E3856" s="3" t="str">
        <f>IFERROR(__xludf.DUMMYFUNCTION("GOOGLETRANSLATE(B3856, ""nl"", ""en"")"),"A pair of black holes in dance")</f>
        <v>A pair of black holes in dance</v>
      </c>
    </row>
    <row r="3857" ht="15.75" customHeight="1">
      <c r="A3857" s="3" t="s">
        <v>7</v>
      </c>
      <c r="B3857" s="3" t="s">
        <v>40</v>
      </c>
      <c r="D3857" s="3" t="str">
        <f>IFERROR(__xludf.DUMMYFUNCTION("GOOGLETRANSLATE(A3857, ""nl"", ""en"")"),"Human Figures and Physicality")</f>
        <v>Human Figures and Physicality</v>
      </c>
      <c r="E3857" s="3" t="str">
        <f>IFERROR(__xludf.DUMMYFUNCTION("GOOGLETRANSLATE(B3857, ""nl"", ""en"")"),"A figure who is withdrawn into himself")</f>
        <v>A figure who is withdrawn into himself</v>
      </c>
    </row>
    <row r="3858" ht="15.75" customHeight="1">
      <c r="A3858" s="3" t="s">
        <v>15</v>
      </c>
      <c r="B3858" s="3" t="s">
        <v>26</v>
      </c>
      <c r="D3858" s="3" t="str">
        <f>IFERROR(__xludf.DUMMYFUNCTION("GOOGLETRANSLATE(A3858, ""nl"", ""en"")"),"Animals and Organic Forms")</f>
        <v>Animals and Organic Forms</v>
      </c>
      <c r="E3858" s="3" t="str">
        <f>IFERROR(__xludf.DUMMYFUNCTION("GOOGLETRANSLATE(B3858, ""nl"", ""en"")"),"A frog preparing to jump")</f>
        <v>A frog preparing to jump</v>
      </c>
    </row>
    <row r="3859" ht="15.75" customHeight="1">
      <c r="A3859" s="3" t="s">
        <v>7</v>
      </c>
      <c r="B3859" s="3" t="s">
        <v>34</v>
      </c>
      <c r="D3859" s="3" t="str">
        <f>IFERROR(__xludf.DUMMYFUNCTION("GOOGLETRANSLATE(A3859, ""nl"", ""en"")"),"Human Figures and Physicality")</f>
        <v>Human Figures and Physicality</v>
      </c>
      <c r="E3859" s="3" t="str">
        <f>IFERROR(__xludf.DUMMYFUNCTION("GOOGLETRANSLATE(B3859, ""nl"", ""en"")"),"Hands almost touching")</f>
        <v>Hands almost touching</v>
      </c>
    </row>
    <row r="3860" ht="15.75" customHeight="1">
      <c r="A3860" s="3" t="s">
        <v>24</v>
      </c>
      <c r="B3860" s="3" t="s">
        <v>25</v>
      </c>
      <c r="D3860" s="3" t="str">
        <f>IFERROR(__xludf.DUMMYFUNCTION("GOOGLETRANSLATE(A3860, ""nl"", ""en"")"),"Cosmic and Abstract Patterns")</f>
        <v>Cosmic and Abstract Patterns</v>
      </c>
      <c r="E3860" s="3" t="str">
        <f>IFERROR(__xludf.DUMMYFUNCTION("GOOGLETRANSLATE(B3860, ""nl"", ""en"")"),"A meteor shower dissolving into each other")</f>
        <v>A meteor shower dissolving into each other</v>
      </c>
    </row>
    <row r="3861" ht="15.75" customHeight="1">
      <c r="A3861" s="3" t="s">
        <v>4</v>
      </c>
      <c r="B3861" s="3" t="s">
        <v>35</v>
      </c>
      <c r="D3861" s="3" t="str">
        <f>IFERROR(__xludf.DUMMYFUNCTION("GOOGLETRANSLATE(A3861, ""nl"", ""en"")"),"Architectural and Structural Associations")</f>
        <v>Architectural and Structural Associations</v>
      </c>
      <c r="E3861" s="3" t="str">
        <f>IFERROR(__xludf.DUMMYFUNCTION("GOOGLETRANSLATE(B3861, ""nl"", ""en"")"),"A floating building without a base")</f>
        <v>A floating building without a base</v>
      </c>
    </row>
    <row r="3862" ht="15.75" customHeight="1">
      <c r="A3862" s="3" t="s">
        <v>12</v>
      </c>
      <c r="B3862" s="3" t="s">
        <v>47</v>
      </c>
      <c r="D3862" s="3" t="str">
        <f>IFERROR(__xludf.DUMMYFUNCTION("GOOGLETRANSLATE(A3862, ""nl"", ""en"")"),"Nature and Elements")</f>
        <v>Nature and Elements</v>
      </c>
      <c r="E3862" s="3" t="str">
        <f>IFERROR(__xludf.DUMMYFUNCTION("GOOGLETRANSLATE(B3862, ""nl"", ""en"")"),"A desert landscape that slowly changes")</f>
        <v>A desert landscape that slowly changes</v>
      </c>
    </row>
    <row r="3863" ht="15.75" customHeight="1">
      <c r="A3863" s="3" t="s">
        <v>7</v>
      </c>
      <c r="B3863" s="3" t="s">
        <v>53</v>
      </c>
      <c r="D3863" s="3" t="str">
        <f>IFERROR(__xludf.DUMMYFUNCTION("GOOGLETRANSLATE(A3863, ""nl"", ""en"")"),"Human Figures and Physicality")</f>
        <v>Human Figures and Physicality</v>
      </c>
      <c r="E3863" s="3" t="str">
        <f>IFERROR(__xludf.DUMMYFUNCTION("GOOGLETRANSLATE(B3863, ""nl"", ""en"")"),"A face that both smiles and cries")</f>
        <v>A face that both smiles and cries</v>
      </c>
    </row>
    <row r="3864" ht="15.75" customHeight="1">
      <c r="A3864" s="3" t="s">
        <v>15</v>
      </c>
      <c r="B3864" s="3" t="s">
        <v>52</v>
      </c>
      <c r="D3864" s="3" t="str">
        <f>IFERROR(__xludf.DUMMYFUNCTION("GOOGLETRANSLATE(A3864, ""nl"", ""en"")"),"Animals and Organic Forms")</f>
        <v>Animals and Organic Forms</v>
      </c>
      <c r="E3864" s="3" t="str">
        <f>IFERROR(__xludf.DUMMYFUNCTION("GOOGLETRANSLATE(B3864, ""nl"", ""en"")"),"A mask made of leaves")</f>
        <v>A mask made of leaves</v>
      </c>
    </row>
    <row r="3865" ht="15.75" customHeight="1">
      <c r="A3865" s="3" t="s">
        <v>4</v>
      </c>
      <c r="B3865" s="3" t="s">
        <v>43</v>
      </c>
      <c r="D3865" s="3" t="str">
        <f>IFERROR(__xludf.DUMMYFUNCTION("GOOGLETRANSLATE(A3865, ""nl"", ""en"")"),"Architectural and Structural Associations")</f>
        <v>Architectural and Structural Associations</v>
      </c>
      <c r="E3865" s="3" t="str">
        <f>IFERROR(__xludf.DUMMYFUNCTION("GOOGLETRANSLATE(B3865, ""nl"", ""en"")"),"A network of tunnels and passages")</f>
        <v>A network of tunnels and passages</v>
      </c>
    </row>
    <row r="3866" ht="15.75" customHeight="1">
      <c r="A3866" s="3" t="s">
        <v>4</v>
      </c>
      <c r="B3866" s="3" t="s">
        <v>5</v>
      </c>
      <c r="D3866" s="3" t="str">
        <f>IFERROR(__xludf.DUMMYFUNCTION("GOOGLETRANSLATE(A3866, ""nl"", ""en"")"),"Architectural and Structural Associations")</f>
        <v>Architectural and Structural Associations</v>
      </c>
      <c r="E3866" s="3" t="str">
        <f>IFERROR(__xludf.DUMMYFUNCTION("GOOGLETRANSLATE(B3866, ""nl"", ""en"")"),"A cathedral shaped from mist")</f>
        <v>A cathedral shaped from mist</v>
      </c>
    </row>
    <row r="3867" ht="15.75" customHeight="1">
      <c r="A3867" s="3" t="s">
        <v>15</v>
      </c>
      <c r="B3867" s="3" t="s">
        <v>50</v>
      </c>
      <c r="D3867" s="3" t="str">
        <f>IFERROR(__xludf.DUMMYFUNCTION("GOOGLETRANSLATE(A3867, ""nl"", ""en"")"),"Animals and Organic Forms")</f>
        <v>Animals and Organic Forms</v>
      </c>
      <c r="E3867" s="3" t="str">
        <f>IFERROR(__xludf.DUMMYFUNCTION("GOOGLETRANSLATE(B3867, ""nl"", ""en"")"),"A squid with extended tentacles")</f>
        <v>A squid with extended tentacles</v>
      </c>
    </row>
    <row r="3868" ht="15.75" customHeight="1">
      <c r="A3868" s="3" t="s">
        <v>15</v>
      </c>
      <c r="B3868" s="3" t="s">
        <v>22</v>
      </c>
      <c r="D3868" s="3" t="str">
        <f>IFERROR(__xludf.DUMMYFUNCTION("GOOGLETRANSLATE(A3868, ""nl"", ""en"")"),"Animals and Organic Forms")</f>
        <v>Animals and Organic Forms</v>
      </c>
      <c r="E3868" s="3" t="str">
        <f>IFERROR(__xludf.DUMMYFUNCTION("GOOGLETRANSLATE(B3868, ""nl"", ""en"")"),"A bird taking off")</f>
        <v>A bird taking off</v>
      </c>
    </row>
    <row r="3869" ht="15.75" customHeight="1">
      <c r="A3869" s="3" t="s">
        <v>15</v>
      </c>
      <c r="B3869" s="3" t="s">
        <v>50</v>
      </c>
      <c r="D3869" s="3" t="str">
        <f>IFERROR(__xludf.DUMMYFUNCTION("GOOGLETRANSLATE(A3869, ""nl"", ""en"")"),"Animals and Organic Forms")</f>
        <v>Animals and Organic Forms</v>
      </c>
      <c r="E3869" s="3" t="str">
        <f>IFERROR(__xludf.DUMMYFUNCTION("GOOGLETRANSLATE(B3869, ""nl"", ""en"")"),"A squid with extended tentacles")</f>
        <v>A squid with extended tentacles</v>
      </c>
    </row>
    <row r="3870" ht="15.75" customHeight="1">
      <c r="A3870" s="3" t="s">
        <v>15</v>
      </c>
      <c r="B3870" s="3" t="s">
        <v>50</v>
      </c>
      <c r="D3870" s="3" t="str">
        <f>IFERROR(__xludf.DUMMYFUNCTION("GOOGLETRANSLATE(A3870, ""nl"", ""en"")"),"Animals and Organic Forms")</f>
        <v>Animals and Organic Forms</v>
      </c>
      <c r="E3870" s="3" t="str">
        <f>IFERROR(__xludf.DUMMYFUNCTION("GOOGLETRANSLATE(B3870, ""nl"", ""en"")"),"A squid with extended tentacles")</f>
        <v>A squid with extended tentacles</v>
      </c>
    </row>
    <row r="3871" ht="15.75" customHeight="1">
      <c r="A3871" s="3" t="s">
        <v>4</v>
      </c>
      <c r="B3871" s="3" t="s">
        <v>55</v>
      </c>
      <c r="D3871" s="3" t="str">
        <f>IFERROR(__xludf.DUMMYFUNCTION("GOOGLETRANSLATE(A3871, ""nl"", ""en"")"),"Architectural and Structural Associations")</f>
        <v>Architectural and Structural Associations</v>
      </c>
      <c r="E3871" s="3" t="str">
        <f>IFERROR(__xludf.DUMMYFUNCTION("GOOGLETRANSLATE(B3871, ""nl"", ""en"")"),"A prism that splits light into colors")</f>
        <v>A prism that splits light into colors</v>
      </c>
    </row>
    <row r="3872" ht="15.75" customHeight="1">
      <c r="A3872" s="3" t="s">
        <v>4</v>
      </c>
      <c r="B3872" s="3" t="s">
        <v>55</v>
      </c>
      <c r="D3872" s="3" t="str">
        <f>IFERROR(__xludf.DUMMYFUNCTION("GOOGLETRANSLATE(A3872, ""nl"", ""en"")"),"Architectural and Structural Associations")</f>
        <v>Architectural and Structural Associations</v>
      </c>
      <c r="E3872" s="3" t="str">
        <f>IFERROR(__xludf.DUMMYFUNCTION("GOOGLETRANSLATE(B3872, ""nl"", ""en"")"),"A prism that splits light into colors")</f>
        <v>A prism that splits light into colors</v>
      </c>
    </row>
    <row r="3873" ht="15.75" customHeight="1">
      <c r="A3873" s="3" t="s">
        <v>7</v>
      </c>
      <c r="B3873" s="3" t="s">
        <v>28</v>
      </c>
      <c r="D3873" s="3" t="str">
        <f>IFERROR(__xludf.DUMMYFUNCTION("GOOGLETRANSLATE(A3873, ""nl"", ""en"")"),"Human Figures and Physicality")</f>
        <v>Human Figures and Physicality</v>
      </c>
      <c r="E3873" s="3" t="str">
        <f>IFERROR(__xludf.DUMMYFUNCTION("GOOGLETRANSLATE(B3873, ""nl"", ""en"")"),"A dancing silhouette")</f>
        <v>A dancing silhouette</v>
      </c>
    </row>
    <row r="3874" ht="15.75" customHeight="1">
      <c r="A3874" s="3" t="s">
        <v>4</v>
      </c>
      <c r="B3874" s="3" t="s">
        <v>55</v>
      </c>
      <c r="D3874" s="3" t="str">
        <f>IFERROR(__xludf.DUMMYFUNCTION("GOOGLETRANSLATE(A3874, ""nl"", ""en"")"),"Architectural and Structural Associations")</f>
        <v>Architectural and Structural Associations</v>
      </c>
      <c r="E3874" s="3" t="str">
        <f>IFERROR(__xludf.DUMMYFUNCTION("GOOGLETRANSLATE(B3874, ""nl"", ""en"")"),"A prism that splits light into colors")</f>
        <v>A prism that splits light into colors</v>
      </c>
    </row>
    <row r="3875" ht="15.75" customHeight="1">
      <c r="A3875" s="3" t="s">
        <v>24</v>
      </c>
      <c r="B3875" s="3" t="s">
        <v>31</v>
      </c>
      <c r="D3875" s="3" t="str">
        <f>IFERROR(__xludf.DUMMYFUNCTION("GOOGLETRANSLATE(A3875, ""nl"", ""en"")"),"Cosmic and Abstract Patterns")</f>
        <v>Cosmic and Abstract Patterns</v>
      </c>
      <c r="E3875" s="3" t="str">
        <f>IFERROR(__xludf.DUMMYFUNCTION("GOOGLETRANSLATE(B3875, ""nl"", ""en"")"),"A planet with unusual rings")</f>
        <v>A planet with unusual rings</v>
      </c>
    </row>
    <row r="3876" ht="15.75" customHeight="1">
      <c r="A3876" s="3" t="s">
        <v>9</v>
      </c>
      <c r="B3876" s="3" t="s">
        <v>14</v>
      </c>
      <c r="D3876" s="3" t="str">
        <f>IFERROR(__xludf.DUMMYFUNCTION("GOOGLETRANSLATE(A3876, ""nl"", ""en"")"),"Psychological and Emotional Interpretations")</f>
        <v>Psychological and Emotional Interpretations</v>
      </c>
      <c r="E3876" s="3" t="str">
        <f>IFERROR(__xludf.DUMMYFUNCTION("GOOGLETRANSLATE(B3876, ""nl"", ""en"")"),"An unclear hug")</f>
        <v>An unclear hug</v>
      </c>
    </row>
    <row r="3877" ht="15.75" customHeight="1">
      <c r="A3877" s="3" t="s">
        <v>9</v>
      </c>
      <c r="B3877" s="3" t="s">
        <v>11</v>
      </c>
      <c r="D3877" s="3" t="str">
        <f>IFERROR(__xludf.DUMMYFUNCTION("GOOGLETRANSLATE(A3877, ""nl"", ""en"")"),"Psychological and Emotional Interpretations")</f>
        <v>Psychological and Emotional Interpretations</v>
      </c>
      <c r="E3877" s="3" t="str">
        <f>IFERROR(__xludf.DUMMYFUNCTION("GOOGLETRANSLATE(B3877, ""nl"", ""en"")"),"An emotion captured in abstraction")</f>
        <v>An emotion captured in abstraction</v>
      </c>
    </row>
    <row r="3878" ht="15.75" customHeight="1">
      <c r="A3878" s="3" t="s">
        <v>24</v>
      </c>
      <c r="B3878" s="3" t="s">
        <v>29</v>
      </c>
      <c r="D3878" s="3" t="str">
        <f>IFERROR(__xludf.DUMMYFUNCTION("GOOGLETRANSLATE(A3878, ""nl"", ""en"")"),"Cosmic and Abstract Patterns")</f>
        <v>Cosmic and Abstract Patterns</v>
      </c>
      <c r="E3878" s="3" t="str">
        <f>IFERROR(__xludf.DUMMYFUNCTION("GOOGLETRANSLATE(B3878, ""nl"", ""en"")"),"A galaxy unfolding")</f>
        <v>A galaxy unfolding</v>
      </c>
    </row>
    <row r="3879" ht="15.75" customHeight="1">
      <c r="A3879" s="3" t="s">
        <v>24</v>
      </c>
      <c r="B3879" s="3" t="s">
        <v>33</v>
      </c>
      <c r="D3879" s="3" t="str">
        <f>IFERROR(__xludf.DUMMYFUNCTION("GOOGLETRANSLATE(A3879, ""nl"", ""en"")"),"Cosmic and Abstract Patterns")</f>
        <v>Cosmic and Abstract Patterns</v>
      </c>
      <c r="E3879" s="3" t="str">
        <f>IFERROR(__xludf.DUMMYFUNCTION("GOOGLETRANSLATE(B3879, ""nl"", ""en"")"),"An eye that repeats itself in endless patterns")</f>
        <v>An eye that repeats itself in endless patterns</v>
      </c>
    </row>
    <row r="3880" ht="15.75" customHeight="1">
      <c r="A3880" s="3" t="s">
        <v>9</v>
      </c>
      <c r="B3880" s="3" t="s">
        <v>10</v>
      </c>
      <c r="D3880" s="3" t="str">
        <f>IFERROR(__xludf.DUMMYFUNCTION("GOOGLETRANSLATE(A3880, ""nl"", ""en"")"),"Psychological and Emotional Interpretations")</f>
        <v>Psychological and Emotional Interpretations</v>
      </c>
      <c r="E3880" s="3" t="str">
        <f>IFERROR(__xludf.DUMMYFUNCTION("GOOGLETRANSLATE(B3880, ""nl"", ""en"")"),"A face transforming in light")</f>
        <v>A face transforming in light</v>
      </c>
    </row>
    <row r="3881" ht="15.75" customHeight="1">
      <c r="A3881" s="3" t="s">
        <v>12</v>
      </c>
      <c r="B3881" s="3" t="s">
        <v>51</v>
      </c>
      <c r="D3881" s="3" t="str">
        <f>IFERROR(__xludf.DUMMYFUNCTION("GOOGLETRANSLATE(A3881, ""nl"", ""en"")"),"Nature and Elements")</f>
        <v>Nature and Elements</v>
      </c>
      <c r="E3881" s="3" t="str">
        <f>IFERROR(__xludf.DUMMYFUNCTION("GOOGLETRANSLATE(B3881, ""nl"", ""en"")"),"An evaporating puddle of water")</f>
        <v>An evaporating puddle of water</v>
      </c>
    </row>
    <row r="3882" ht="15.75" customHeight="1">
      <c r="A3882" s="3" t="s">
        <v>9</v>
      </c>
      <c r="B3882" s="3" t="s">
        <v>11</v>
      </c>
      <c r="D3882" s="3" t="str">
        <f>IFERROR(__xludf.DUMMYFUNCTION("GOOGLETRANSLATE(A3882, ""nl"", ""en"")"),"Psychological and Emotional Interpretations")</f>
        <v>Psychological and Emotional Interpretations</v>
      </c>
      <c r="E3882" s="3" t="str">
        <f>IFERROR(__xludf.DUMMYFUNCTION("GOOGLETRANSLATE(B3882, ""nl"", ""en"")"),"An emotion captured in abstraction")</f>
        <v>An emotion captured in abstraction</v>
      </c>
    </row>
    <row r="3883" ht="15.75" customHeight="1">
      <c r="A3883" s="3" t="s">
        <v>15</v>
      </c>
      <c r="B3883" s="3" t="s">
        <v>16</v>
      </c>
      <c r="D3883" s="3" t="str">
        <f>IFERROR(__xludf.DUMMYFUNCTION("GOOGLETRANSLATE(A3883, ""nl"", ""en"")"),"Animals and Organic Forms")</f>
        <v>Animals and Organic Forms</v>
      </c>
      <c r="E3883" s="3" t="str">
        <f>IFERROR(__xludf.DUMMYFUNCTION("GOOGLETRANSLATE(B3883, ""nl"", ""en"")"),"A butterfly in transformation")</f>
        <v>A butterfly in transformation</v>
      </c>
    </row>
    <row r="3884" ht="15.75" customHeight="1">
      <c r="A3884" s="3" t="s">
        <v>4</v>
      </c>
      <c r="B3884" s="3" t="s">
        <v>43</v>
      </c>
      <c r="D3884" s="3" t="str">
        <f>IFERROR(__xludf.DUMMYFUNCTION("GOOGLETRANSLATE(A3884, ""nl"", ""en"")"),"Architectural and Structural Associations")</f>
        <v>Architectural and Structural Associations</v>
      </c>
      <c r="E3884" s="3" t="str">
        <f>IFERROR(__xludf.DUMMYFUNCTION("GOOGLETRANSLATE(B3884, ""nl"", ""en"")"),"A network of tunnels and passages")</f>
        <v>A network of tunnels and passages</v>
      </c>
    </row>
    <row r="3885" ht="15.75" customHeight="1">
      <c r="A3885" s="3" t="s">
        <v>9</v>
      </c>
      <c r="B3885" s="3" t="s">
        <v>11</v>
      </c>
      <c r="D3885" s="3" t="str">
        <f>IFERROR(__xludf.DUMMYFUNCTION("GOOGLETRANSLATE(A3885, ""nl"", ""en"")"),"Psychological and Emotional Interpretations")</f>
        <v>Psychological and Emotional Interpretations</v>
      </c>
      <c r="E3885" s="3" t="str">
        <f>IFERROR(__xludf.DUMMYFUNCTION("GOOGLETRANSLATE(B3885, ""nl"", ""en"")"),"An emotion captured in abstraction")</f>
        <v>An emotion captured in abstraction</v>
      </c>
    </row>
    <row r="3886" ht="15.75" customHeight="1">
      <c r="A3886" s="3" t="s">
        <v>12</v>
      </c>
      <c r="B3886" s="3" t="s">
        <v>36</v>
      </c>
      <c r="D3886" s="3" t="str">
        <f>IFERROR(__xludf.DUMMYFUNCTION("GOOGLETRANSLATE(A3886, ""nl"", ""en"")"),"Nature and Elements")</f>
        <v>Nature and Elements</v>
      </c>
      <c r="E3886" s="3" t="str">
        <f>IFERROR(__xludf.DUMMYFUNCTION("GOOGLETRANSLATE(B3886, ""nl"", ""en"")"),"A river delta from a bird's-eye view")</f>
        <v>A river delta from a bird's-eye view</v>
      </c>
    </row>
    <row r="3887" ht="15.75" customHeight="1">
      <c r="A3887" s="3" t="s">
        <v>9</v>
      </c>
      <c r="B3887" s="3" t="s">
        <v>57</v>
      </c>
      <c r="D3887" s="3" t="str">
        <f>IFERROR(__xludf.DUMMYFUNCTION("GOOGLETRANSLATE(A3887, ""nl"", ""en"")"),"Psychological and Emotional Interpretations")</f>
        <v>Psychological and Emotional Interpretations</v>
      </c>
      <c r="E3887" s="3" t="str">
        <f>IFERROR(__xludf.DUMMYFUNCTION("GOOGLETRANSLATE(B3887, ""nl"", ""en"")"),"An explosion of colours and feelings")</f>
        <v>An explosion of colours and feelings</v>
      </c>
    </row>
    <row r="3888" ht="15.75" customHeight="1">
      <c r="A3888" s="3" t="s">
        <v>9</v>
      </c>
      <c r="B3888" s="3" t="s">
        <v>37</v>
      </c>
      <c r="D3888" s="3" t="str">
        <f>IFERROR(__xludf.DUMMYFUNCTION("GOOGLETRANSLATE(A3888, ""nl"", ""en"")"),"Psychological and Emotional Interpretations")</f>
        <v>Psychological and Emotional Interpretations</v>
      </c>
      <c r="E3888" s="3" t="str">
        <f>IFERROR(__xludf.DUMMYFUNCTION("GOOGLETRANSLATE(B3888, ""nl"", ""en"")"),"A figure looking through itself")</f>
        <v>A figure looking through itself</v>
      </c>
    </row>
    <row r="3889" ht="15.75" customHeight="1">
      <c r="A3889" s="3" t="s">
        <v>9</v>
      </c>
      <c r="B3889" s="3" t="s">
        <v>17</v>
      </c>
      <c r="D3889" s="3" t="str">
        <f>IFERROR(__xludf.DUMMYFUNCTION("GOOGLETRANSLATE(A3889, ""nl"", ""en"")"),"Psychological and Emotional Interpretations")</f>
        <v>Psychological and Emotional Interpretations</v>
      </c>
      <c r="E3889" s="3" t="str">
        <f>IFERROR(__xludf.DUMMYFUNCTION("GOOGLETRANSLATE(B3889, ""nl"", ""en"")"),"A figure that seems to melt")</f>
        <v>A figure that seems to melt</v>
      </c>
    </row>
    <row r="3890" ht="15.75" customHeight="1">
      <c r="A3890" s="3" t="s">
        <v>7</v>
      </c>
      <c r="B3890" s="3" t="s">
        <v>41</v>
      </c>
      <c r="D3890" s="3" t="str">
        <f>IFERROR(__xludf.DUMMYFUNCTION("GOOGLETRANSLATE(A3890, ""nl"", ""en"")"),"Human Figures and Physicality")</f>
        <v>Human Figures and Physicality</v>
      </c>
      <c r="E3890" s="3" t="str">
        <f>IFERROR(__xludf.DUMMYFUNCTION("GOOGLETRANSLATE(B3890, ""nl"", ""en"")"),"A face that fades into abstraction")</f>
        <v>A face that fades into abstraction</v>
      </c>
    </row>
    <row r="3891" ht="15.75" customHeight="1">
      <c r="A3891" s="3" t="s">
        <v>24</v>
      </c>
      <c r="B3891" s="3" t="s">
        <v>31</v>
      </c>
      <c r="D3891" s="3" t="str">
        <f>IFERROR(__xludf.DUMMYFUNCTION("GOOGLETRANSLATE(A3891, ""nl"", ""en"")"),"Cosmic and Abstract Patterns")</f>
        <v>Cosmic and Abstract Patterns</v>
      </c>
      <c r="E3891" s="3" t="str">
        <f>IFERROR(__xludf.DUMMYFUNCTION("GOOGLETRANSLATE(B3891, ""nl"", ""en"")"),"A planet with unusual rings")</f>
        <v>A planet with unusual rings</v>
      </c>
    </row>
    <row r="3892" ht="15.75" customHeight="1">
      <c r="A3892" s="3" t="s">
        <v>7</v>
      </c>
      <c r="B3892" s="3" t="s">
        <v>56</v>
      </c>
      <c r="D3892" s="3" t="str">
        <f>IFERROR(__xludf.DUMMYFUNCTION("GOOGLETRANSLATE(A3892, ""nl"", ""en"")"),"Human Figures and Physicality")</f>
        <v>Human Figures and Physicality</v>
      </c>
      <c r="E3892" s="3" t="str">
        <f>IFERROR(__xludf.DUMMYFUNCTION("GOOGLETRANSLATE(B3892, ""nl"", ""en"")"),"A shadow that seems to move")</f>
        <v>A shadow that seems to move</v>
      </c>
    </row>
    <row r="3893" ht="15.75" customHeight="1">
      <c r="A3893" s="3" t="s">
        <v>4</v>
      </c>
      <c r="B3893" s="3" t="s">
        <v>5</v>
      </c>
      <c r="D3893" s="3" t="str">
        <f>IFERROR(__xludf.DUMMYFUNCTION("GOOGLETRANSLATE(A3893, ""nl"", ""en"")"),"Architectural and Structural Associations")</f>
        <v>Architectural and Structural Associations</v>
      </c>
      <c r="E3893" s="3" t="str">
        <f>IFERROR(__xludf.DUMMYFUNCTION("GOOGLETRANSLATE(B3893, ""nl"", ""en"")"),"A cathedral shaped from mist")</f>
        <v>A cathedral shaped from mist</v>
      </c>
    </row>
    <row r="3894" ht="15.75" customHeight="1">
      <c r="A3894" s="3" t="s">
        <v>4</v>
      </c>
      <c r="B3894" s="3" t="s">
        <v>55</v>
      </c>
      <c r="D3894" s="3" t="str">
        <f>IFERROR(__xludf.DUMMYFUNCTION("GOOGLETRANSLATE(A3894, ""nl"", ""en"")"),"Architectural and Structural Associations")</f>
        <v>Architectural and Structural Associations</v>
      </c>
      <c r="E3894" s="3" t="str">
        <f>IFERROR(__xludf.DUMMYFUNCTION("GOOGLETRANSLATE(B3894, ""nl"", ""en"")"),"A prism that splits light into colors")</f>
        <v>A prism that splits light into colors</v>
      </c>
    </row>
    <row r="3895" ht="15.75" customHeight="1">
      <c r="A3895" s="3" t="s">
        <v>12</v>
      </c>
      <c r="B3895" s="3" t="s">
        <v>19</v>
      </c>
      <c r="D3895" s="3" t="str">
        <f>IFERROR(__xludf.DUMMYFUNCTION("GOOGLETRANSLATE(A3895, ""nl"", ""en"")"),"Nature and Elements")</f>
        <v>Nature and Elements</v>
      </c>
      <c r="E3895" s="3" t="str">
        <f>IFERROR(__xludf.DUMMYFUNCTION("GOOGLETRANSLATE(B3895, ""nl"", ""en"")"),"A mountain range that seems to breathe")</f>
        <v>A mountain range that seems to breathe</v>
      </c>
    </row>
    <row r="3896" ht="15.75" customHeight="1">
      <c r="A3896" s="3" t="s">
        <v>12</v>
      </c>
      <c r="B3896" s="3" t="s">
        <v>47</v>
      </c>
      <c r="D3896" s="3" t="str">
        <f>IFERROR(__xludf.DUMMYFUNCTION("GOOGLETRANSLATE(A3896, ""nl"", ""en"")"),"Nature and Elements")</f>
        <v>Nature and Elements</v>
      </c>
      <c r="E3896" s="3" t="str">
        <f>IFERROR(__xludf.DUMMYFUNCTION("GOOGLETRANSLATE(B3896, ""nl"", ""en"")"),"A desert landscape that slowly changes")</f>
        <v>A desert landscape that slowly changes</v>
      </c>
    </row>
    <row r="3897" ht="15.75" customHeight="1">
      <c r="A3897" s="3" t="s">
        <v>4</v>
      </c>
      <c r="B3897" s="3" t="s">
        <v>6</v>
      </c>
      <c r="D3897" s="3" t="str">
        <f>IFERROR(__xludf.DUMMYFUNCTION("GOOGLETRANSLATE(A3897, ""nl"", ""en"")"),"Architectural and Structural Associations")</f>
        <v>Architectural and Structural Associations</v>
      </c>
      <c r="E3897" s="3" t="str">
        <f>IFERROR(__xludf.DUMMYFUNCTION("GOOGLETRANSLATE(B3897, ""nl"", ""en"")"),"An endless labyrinth")</f>
        <v>An endless labyrinth</v>
      </c>
    </row>
    <row r="3898" ht="15.75" customHeight="1">
      <c r="A3898" s="3" t="s">
        <v>15</v>
      </c>
      <c r="B3898" s="3" t="s">
        <v>52</v>
      </c>
      <c r="D3898" s="3" t="str">
        <f>IFERROR(__xludf.DUMMYFUNCTION("GOOGLETRANSLATE(A3898, ""nl"", ""en"")"),"Animals and Organic Forms")</f>
        <v>Animals and Organic Forms</v>
      </c>
      <c r="E3898" s="3" t="str">
        <f>IFERROR(__xludf.DUMMYFUNCTION("GOOGLETRANSLATE(B3898, ""nl"", ""en"")"),"A mask made of leaves")</f>
        <v>A mask made of leaves</v>
      </c>
    </row>
    <row r="3899" ht="15.75" customHeight="1">
      <c r="A3899" s="3" t="s">
        <v>9</v>
      </c>
      <c r="B3899" s="3" t="s">
        <v>42</v>
      </c>
      <c r="D3899" s="3" t="str">
        <f>IFERROR(__xludf.DUMMYFUNCTION("GOOGLETRANSLATE(A3899, ""nl"", ""en"")"),"Psychological and Emotional Interpretations")</f>
        <v>Psychological and Emotional Interpretations</v>
      </c>
      <c r="E3899" s="3" t="str">
        <f>IFERROR(__xludf.DUMMYFUNCTION("GOOGLETRANSLATE(B3899, ""nl"", ""en"")"),"A mask that slowly disappears")</f>
        <v>A mask that slowly disappears</v>
      </c>
    </row>
    <row r="3900" ht="15.75" customHeight="1">
      <c r="A3900" s="3" t="s">
        <v>7</v>
      </c>
      <c r="B3900" s="3" t="s">
        <v>56</v>
      </c>
      <c r="D3900" s="3" t="str">
        <f>IFERROR(__xludf.DUMMYFUNCTION("GOOGLETRANSLATE(A3900, ""nl"", ""en"")"),"Human Figures and Physicality")</f>
        <v>Human Figures and Physicality</v>
      </c>
      <c r="E3900" s="3" t="str">
        <f>IFERROR(__xludf.DUMMYFUNCTION("GOOGLETRANSLATE(B3900, ""nl"", ""en"")"),"A shadow that seems to move")</f>
        <v>A shadow that seems to move</v>
      </c>
    </row>
    <row r="3901" ht="15.75" customHeight="1">
      <c r="A3901" s="3" t="s">
        <v>4</v>
      </c>
      <c r="B3901" s="3" t="s">
        <v>44</v>
      </c>
      <c r="D3901" s="3" t="str">
        <f>IFERROR(__xludf.DUMMYFUNCTION("GOOGLETRANSLATE(A3901, ""nl"", ""en"")"),"Architectural and Structural Associations")</f>
        <v>Architectural and Structural Associations</v>
      </c>
      <c r="E3901" s="3" t="str">
        <f>IFERROR(__xludf.DUMMYFUNCTION("GOOGLETRANSLATE(B3901, ""nl"", ""en"")"),"A structure that pulsates in waves")</f>
        <v>A structure that pulsates in waves</v>
      </c>
    </row>
    <row r="3902" ht="15.75" customHeight="1">
      <c r="A3902" s="3" t="s">
        <v>4</v>
      </c>
      <c r="B3902" s="3" t="s">
        <v>55</v>
      </c>
      <c r="D3902" s="3" t="str">
        <f>IFERROR(__xludf.DUMMYFUNCTION("GOOGLETRANSLATE(A3902, ""nl"", ""en"")"),"Architectural and Structural Associations")</f>
        <v>Architectural and Structural Associations</v>
      </c>
      <c r="E3902" s="3" t="str">
        <f>IFERROR(__xludf.DUMMYFUNCTION("GOOGLETRANSLATE(B3902, ""nl"", ""en"")"),"A prism that splits light into colors")</f>
        <v>A prism that splits light into colors</v>
      </c>
    </row>
    <row r="3903" ht="15.75" customHeight="1">
      <c r="A3903" s="3" t="s">
        <v>9</v>
      </c>
      <c r="B3903" s="3" t="s">
        <v>10</v>
      </c>
      <c r="D3903" s="3" t="str">
        <f>IFERROR(__xludf.DUMMYFUNCTION("GOOGLETRANSLATE(A3903, ""nl"", ""en"")"),"Psychological and Emotional Interpretations")</f>
        <v>Psychological and Emotional Interpretations</v>
      </c>
      <c r="E3903" s="3" t="str">
        <f>IFERROR(__xludf.DUMMYFUNCTION("GOOGLETRANSLATE(B3903, ""nl"", ""en"")"),"A face transforming in light")</f>
        <v>A face transforming in light</v>
      </c>
    </row>
    <row r="3904" ht="15.75" customHeight="1">
      <c r="A3904" s="3" t="s">
        <v>12</v>
      </c>
      <c r="B3904" s="3" t="s">
        <v>30</v>
      </c>
      <c r="D3904" s="3" t="str">
        <f>IFERROR(__xludf.DUMMYFUNCTION("GOOGLETRANSLATE(A3904, ""nl"", ""en"")"),"Nature and Elements")</f>
        <v>Nature and Elements</v>
      </c>
      <c r="E3904" s="3" t="str">
        <f>IFERROR(__xludf.DUMMYFUNCTION("GOOGLETRANSLATE(B3904, ""nl"", ""en"")"),"Waves breaking in fractal patterns")</f>
        <v>Waves breaking in fractal patterns</v>
      </c>
    </row>
    <row r="3905" ht="15.75" customHeight="1">
      <c r="A3905" s="3" t="s">
        <v>7</v>
      </c>
      <c r="B3905" s="3" t="s">
        <v>8</v>
      </c>
      <c r="D3905" s="3" t="str">
        <f>IFERROR(__xludf.DUMMYFUNCTION("GOOGLETRANSLATE(A3905, ""nl"", ""en"")"),"Human Figures and Physicality")</f>
        <v>Human Figures and Physicality</v>
      </c>
      <c r="E3905" s="3" t="str">
        <f>IFERROR(__xludf.DUMMYFUNCTION("GOOGLETRANSLATE(B3905, ""nl"", ""en"")"),"Two figures mirroring each other")</f>
        <v>Two figures mirroring each other</v>
      </c>
    </row>
    <row r="3906" ht="15.75" customHeight="1">
      <c r="A3906" s="3" t="s">
        <v>7</v>
      </c>
      <c r="B3906" s="3" t="s">
        <v>40</v>
      </c>
      <c r="D3906" s="3" t="str">
        <f>IFERROR(__xludf.DUMMYFUNCTION("GOOGLETRANSLATE(A3906, ""nl"", ""en"")"),"Human Figures and Physicality")</f>
        <v>Human Figures and Physicality</v>
      </c>
      <c r="E3906" s="3" t="str">
        <f>IFERROR(__xludf.DUMMYFUNCTION("GOOGLETRANSLATE(B3906, ""nl"", ""en"")"),"A figure who is withdrawn into himself")</f>
        <v>A figure who is withdrawn into himself</v>
      </c>
    </row>
    <row r="3907" ht="15.75" customHeight="1">
      <c r="A3907" s="3" t="s">
        <v>7</v>
      </c>
      <c r="B3907" s="3" t="s">
        <v>34</v>
      </c>
      <c r="D3907" s="3" t="str">
        <f>IFERROR(__xludf.DUMMYFUNCTION("GOOGLETRANSLATE(A3907, ""nl"", ""en"")"),"Human Figures and Physicality")</f>
        <v>Human Figures and Physicality</v>
      </c>
      <c r="E3907" s="3" t="str">
        <f>IFERROR(__xludf.DUMMYFUNCTION("GOOGLETRANSLATE(B3907, ""nl"", ""en"")"),"Hands almost touching")</f>
        <v>Hands almost touching</v>
      </c>
    </row>
    <row r="3908" ht="15.75" customHeight="1">
      <c r="A3908" s="3" t="s">
        <v>4</v>
      </c>
      <c r="B3908" s="3" t="s">
        <v>55</v>
      </c>
      <c r="D3908" s="3" t="str">
        <f>IFERROR(__xludf.DUMMYFUNCTION("GOOGLETRANSLATE(A3908, ""nl"", ""en"")"),"Architectural and Structural Associations")</f>
        <v>Architectural and Structural Associations</v>
      </c>
      <c r="E3908" s="3" t="str">
        <f>IFERROR(__xludf.DUMMYFUNCTION("GOOGLETRANSLATE(B3908, ""nl"", ""en"")"),"A prism that splits light into colors")</f>
        <v>A prism that splits light into colors</v>
      </c>
    </row>
    <row r="3909" ht="15.75" customHeight="1">
      <c r="A3909" s="3" t="s">
        <v>7</v>
      </c>
      <c r="B3909" s="3" t="s">
        <v>34</v>
      </c>
      <c r="D3909" s="3" t="str">
        <f>IFERROR(__xludf.DUMMYFUNCTION("GOOGLETRANSLATE(A3909, ""nl"", ""en"")"),"Human Figures and Physicality")</f>
        <v>Human Figures and Physicality</v>
      </c>
      <c r="E3909" s="3" t="str">
        <f>IFERROR(__xludf.DUMMYFUNCTION("GOOGLETRANSLATE(B3909, ""nl"", ""en"")"),"Hands almost touching")</f>
        <v>Hands almost touching</v>
      </c>
    </row>
    <row r="3910" ht="15.75" customHeight="1">
      <c r="A3910" s="3" t="s">
        <v>9</v>
      </c>
      <c r="B3910" s="3" t="s">
        <v>37</v>
      </c>
      <c r="D3910" s="3" t="str">
        <f>IFERROR(__xludf.DUMMYFUNCTION("GOOGLETRANSLATE(A3910, ""nl"", ""en"")"),"Psychological and Emotional Interpretations")</f>
        <v>Psychological and Emotional Interpretations</v>
      </c>
      <c r="E3910" s="3" t="str">
        <f>IFERROR(__xludf.DUMMYFUNCTION("GOOGLETRANSLATE(B3910, ""nl"", ""en"")"),"A figure looking through itself")</f>
        <v>A figure looking through itself</v>
      </c>
    </row>
    <row r="3911" ht="15.75" customHeight="1">
      <c r="A3911" s="3" t="s">
        <v>15</v>
      </c>
      <c r="B3911" s="3" t="s">
        <v>52</v>
      </c>
      <c r="D3911" s="3" t="str">
        <f>IFERROR(__xludf.DUMMYFUNCTION("GOOGLETRANSLATE(A3911, ""nl"", ""en"")"),"Animals and Organic Forms")</f>
        <v>Animals and Organic Forms</v>
      </c>
      <c r="E3911" s="3" t="str">
        <f>IFERROR(__xludf.DUMMYFUNCTION("GOOGLETRANSLATE(B3911, ""nl"", ""en"")"),"A mask made of leaves")</f>
        <v>A mask made of leaves</v>
      </c>
    </row>
    <row r="3912" ht="15.75" customHeight="1">
      <c r="A3912" s="3" t="s">
        <v>7</v>
      </c>
      <c r="B3912" s="3" t="s">
        <v>40</v>
      </c>
      <c r="D3912" s="3" t="str">
        <f>IFERROR(__xludf.DUMMYFUNCTION("GOOGLETRANSLATE(A3912, ""nl"", ""en"")"),"Human Figures and Physicality")</f>
        <v>Human Figures and Physicality</v>
      </c>
      <c r="E3912" s="3" t="str">
        <f>IFERROR(__xludf.DUMMYFUNCTION("GOOGLETRANSLATE(B3912, ""nl"", ""en"")"),"A figure who is withdrawn into himself")</f>
        <v>A figure who is withdrawn into himself</v>
      </c>
    </row>
    <row r="3913" ht="15.75" customHeight="1">
      <c r="A3913" s="3" t="s">
        <v>7</v>
      </c>
      <c r="B3913" s="3" t="s">
        <v>56</v>
      </c>
      <c r="D3913" s="3" t="str">
        <f>IFERROR(__xludf.DUMMYFUNCTION("GOOGLETRANSLATE(A3913, ""nl"", ""en"")"),"Human Figures and Physicality")</f>
        <v>Human Figures and Physicality</v>
      </c>
      <c r="E3913" s="3" t="str">
        <f>IFERROR(__xludf.DUMMYFUNCTION("GOOGLETRANSLATE(B3913, ""nl"", ""en"")"),"A shadow that seems to move")</f>
        <v>A shadow that seems to move</v>
      </c>
    </row>
    <row r="3914" ht="15.75" customHeight="1">
      <c r="A3914" s="3" t="s">
        <v>24</v>
      </c>
      <c r="B3914" s="3" t="s">
        <v>33</v>
      </c>
      <c r="D3914" s="3" t="str">
        <f>IFERROR(__xludf.DUMMYFUNCTION("GOOGLETRANSLATE(A3914, ""nl"", ""en"")"),"Cosmic and Abstract Patterns")</f>
        <v>Cosmic and Abstract Patterns</v>
      </c>
      <c r="E3914" s="3" t="str">
        <f>IFERROR(__xludf.DUMMYFUNCTION("GOOGLETRANSLATE(B3914, ""nl"", ""en"")"),"An eye that repeats itself in endless patterns")</f>
        <v>An eye that repeats itself in endless patterns</v>
      </c>
    </row>
    <row r="3915" ht="15.75" customHeight="1">
      <c r="A3915" s="3" t="s">
        <v>9</v>
      </c>
      <c r="B3915" s="3" t="s">
        <v>42</v>
      </c>
      <c r="D3915" s="3" t="str">
        <f>IFERROR(__xludf.DUMMYFUNCTION("GOOGLETRANSLATE(A3915, ""nl"", ""en"")"),"Psychological and Emotional Interpretations")</f>
        <v>Psychological and Emotional Interpretations</v>
      </c>
      <c r="E3915" s="3" t="str">
        <f>IFERROR(__xludf.DUMMYFUNCTION("GOOGLETRANSLATE(B3915, ""nl"", ""en"")"),"A mask that slowly disappears")</f>
        <v>A mask that slowly disappears</v>
      </c>
    </row>
    <row r="3916" ht="15.75" customHeight="1">
      <c r="A3916" s="3" t="s">
        <v>15</v>
      </c>
      <c r="B3916" s="3" t="s">
        <v>26</v>
      </c>
      <c r="D3916" s="3" t="str">
        <f>IFERROR(__xludf.DUMMYFUNCTION("GOOGLETRANSLATE(A3916, ""nl"", ""en"")"),"Animals and Organic Forms")</f>
        <v>Animals and Organic Forms</v>
      </c>
      <c r="E3916" s="3" t="str">
        <f>IFERROR(__xludf.DUMMYFUNCTION("GOOGLETRANSLATE(B3916, ""nl"", ""en"")"),"A frog preparing to jump")</f>
        <v>A frog preparing to jump</v>
      </c>
    </row>
    <row r="3917" ht="15.75" customHeight="1">
      <c r="A3917" s="3" t="s">
        <v>9</v>
      </c>
      <c r="B3917" s="3" t="s">
        <v>42</v>
      </c>
      <c r="D3917" s="3" t="str">
        <f>IFERROR(__xludf.DUMMYFUNCTION("GOOGLETRANSLATE(A3917, ""nl"", ""en"")"),"Psychological and Emotional Interpretations")</f>
        <v>Psychological and Emotional Interpretations</v>
      </c>
      <c r="E3917" s="3" t="str">
        <f>IFERROR(__xludf.DUMMYFUNCTION("GOOGLETRANSLATE(B3917, ""nl"", ""en"")"),"A mask that slowly disappears")</f>
        <v>A mask that slowly disappears</v>
      </c>
    </row>
    <row r="3918" ht="15.75" customHeight="1">
      <c r="A3918" s="3" t="s">
        <v>9</v>
      </c>
      <c r="B3918" s="3" t="s">
        <v>17</v>
      </c>
      <c r="D3918" s="3" t="str">
        <f>IFERROR(__xludf.DUMMYFUNCTION("GOOGLETRANSLATE(A3918, ""nl"", ""en"")"),"Psychological and Emotional Interpretations")</f>
        <v>Psychological and Emotional Interpretations</v>
      </c>
      <c r="E3918" s="3" t="str">
        <f>IFERROR(__xludf.DUMMYFUNCTION("GOOGLETRANSLATE(B3918, ""nl"", ""en"")"),"A figure that seems to melt")</f>
        <v>A figure that seems to melt</v>
      </c>
    </row>
    <row r="3919" ht="15.75" customHeight="1">
      <c r="A3919" s="3" t="s">
        <v>9</v>
      </c>
      <c r="B3919" s="3" t="s">
        <v>10</v>
      </c>
      <c r="D3919" s="3" t="str">
        <f>IFERROR(__xludf.DUMMYFUNCTION("GOOGLETRANSLATE(A3919, ""nl"", ""en"")"),"Psychological and Emotional Interpretations")</f>
        <v>Psychological and Emotional Interpretations</v>
      </c>
      <c r="E3919" s="3" t="str">
        <f>IFERROR(__xludf.DUMMYFUNCTION("GOOGLETRANSLATE(B3919, ""nl"", ""en"")"),"A face transforming in light")</f>
        <v>A face transforming in light</v>
      </c>
    </row>
    <row r="3920" ht="15.75" customHeight="1">
      <c r="A3920" s="3" t="s">
        <v>15</v>
      </c>
      <c r="B3920" s="3" t="s">
        <v>46</v>
      </c>
      <c r="D3920" s="3" t="str">
        <f>IFERROR(__xludf.DUMMYFUNCTION("GOOGLETRANSLATE(A3920, ""nl"", ""en"")"),"Animals and Organic Forms")</f>
        <v>Animals and Organic Forms</v>
      </c>
      <c r="E3920" s="3" t="str">
        <f>IFERROR(__xludf.DUMMYFUNCTION("GOOGLETRANSLATE(B3920, ""nl"", ""en"")"),"A flock of fish moving as one")</f>
        <v>A flock of fish moving as one</v>
      </c>
    </row>
    <row r="3921" ht="15.75" customHeight="1">
      <c r="A3921" s="3" t="s">
        <v>15</v>
      </c>
      <c r="B3921" s="3" t="s">
        <v>50</v>
      </c>
      <c r="D3921" s="3" t="str">
        <f>IFERROR(__xludf.DUMMYFUNCTION("GOOGLETRANSLATE(A3921, ""nl"", ""en"")"),"Animals and Organic Forms")</f>
        <v>Animals and Organic Forms</v>
      </c>
      <c r="E3921" s="3" t="str">
        <f>IFERROR(__xludf.DUMMYFUNCTION("GOOGLETRANSLATE(B3921, ""nl"", ""en"")"),"A squid with extended tentacles")</f>
        <v>A squid with extended tentacles</v>
      </c>
    </row>
    <row r="3922" ht="15.75" customHeight="1">
      <c r="A3922" s="3" t="s">
        <v>4</v>
      </c>
      <c r="B3922" s="3" t="s">
        <v>6</v>
      </c>
      <c r="D3922" s="3" t="str">
        <f>IFERROR(__xludf.DUMMYFUNCTION("GOOGLETRANSLATE(A3922, ""nl"", ""en"")"),"Architectural and Structural Associations")</f>
        <v>Architectural and Structural Associations</v>
      </c>
      <c r="E3922" s="3" t="str">
        <f>IFERROR(__xludf.DUMMYFUNCTION("GOOGLETRANSLATE(B3922, ""nl"", ""en"")"),"An endless labyrinth")</f>
        <v>An endless labyrinth</v>
      </c>
    </row>
    <row r="3923" ht="15.75" customHeight="1">
      <c r="A3923" s="3" t="s">
        <v>12</v>
      </c>
      <c r="B3923" s="3" t="s">
        <v>13</v>
      </c>
      <c r="D3923" s="3" t="str">
        <f>IFERROR(__xludf.DUMMYFUNCTION("GOOGLETRANSLATE(A3923, ""nl"", ""en"")"),"Nature and Elements")</f>
        <v>Nature and Elements</v>
      </c>
      <c r="E3923" s="3" t="str">
        <f>IFERROR(__xludf.DUMMYFUNCTION("GOOGLETRANSLATE(B3923, ""nl"", ""en"")"),"A lightning strike in slow motion")</f>
        <v>A lightning strike in slow motion</v>
      </c>
    </row>
    <row r="3924" ht="15.75" customHeight="1">
      <c r="A3924" s="3" t="s">
        <v>15</v>
      </c>
      <c r="B3924" s="3" t="s">
        <v>26</v>
      </c>
      <c r="D3924" s="3" t="str">
        <f>IFERROR(__xludf.DUMMYFUNCTION("GOOGLETRANSLATE(A3924, ""nl"", ""en"")"),"Animals and Organic Forms")</f>
        <v>Animals and Organic Forms</v>
      </c>
      <c r="E3924" s="3" t="str">
        <f>IFERROR(__xludf.DUMMYFUNCTION("GOOGLETRANSLATE(B3924, ""nl"", ""en"")"),"A frog preparing to jump")</f>
        <v>A frog preparing to jump</v>
      </c>
    </row>
    <row r="3925" ht="15.75" customHeight="1">
      <c r="A3925" s="3" t="s">
        <v>15</v>
      </c>
      <c r="B3925" s="3" t="s">
        <v>52</v>
      </c>
      <c r="D3925" s="3" t="str">
        <f>IFERROR(__xludf.DUMMYFUNCTION("GOOGLETRANSLATE(A3925, ""nl"", ""en"")"),"Animals and Organic Forms")</f>
        <v>Animals and Organic Forms</v>
      </c>
      <c r="E3925" s="3" t="str">
        <f>IFERROR(__xludf.DUMMYFUNCTION("GOOGLETRANSLATE(B3925, ""nl"", ""en"")"),"A mask made of leaves")</f>
        <v>A mask made of leaves</v>
      </c>
    </row>
    <row r="3926" ht="15.75" customHeight="1">
      <c r="A3926" s="3" t="s">
        <v>7</v>
      </c>
      <c r="B3926" s="3" t="s">
        <v>34</v>
      </c>
      <c r="D3926" s="3" t="str">
        <f>IFERROR(__xludf.DUMMYFUNCTION("GOOGLETRANSLATE(A3926, ""nl"", ""en"")"),"Human Figures and Physicality")</f>
        <v>Human Figures and Physicality</v>
      </c>
      <c r="E3926" s="3" t="str">
        <f>IFERROR(__xludf.DUMMYFUNCTION("GOOGLETRANSLATE(B3926, ""nl"", ""en"")"),"Hands almost touching")</f>
        <v>Hands almost touching</v>
      </c>
    </row>
    <row r="3927" ht="15.75" customHeight="1">
      <c r="A3927" s="3" t="s">
        <v>24</v>
      </c>
      <c r="B3927" s="3" t="s">
        <v>31</v>
      </c>
      <c r="D3927" s="3" t="str">
        <f>IFERROR(__xludf.DUMMYFUNCTION("GOOGLETRANSLATE(A3927, ""nl"", ""en"")"),"Cosmic and Abstract Patterns")</f>
        <v>Cosmic and Abstract Patterns</v>
      </c>
      <c r="E3927" s="3" t="str">
        <f>IFERROR(__xludf.DUMMYFUNCTION("GOOGLETRANSLATE(B3927, ""nl"", ""en"")"),"A planet with unusual rings")</f>
        <v>A planet with unusual rings</v>
      </c>
    </row>
    <row r="3928" ht="15.75" customHeight="1">
      <c r="A3928" s="3" t="s">
        <v>12</v>
      </c>
      <c r="B3928" s="3" t="s">
        <v>13</v>
      </c>
      <c r="D3928" s="3" t="str">
        <f>IFERROR(__xludf.DUMMYFUNCTION("GOOGLETRANSLATE(A3928, ""nl"", ""en"")"),"Nature and Elements")</f>
        <v>Nature and Elements</v>
      </c>
      <c r="E3928" s="3" t="str">
        <f>IFERROR(__xludf.DUMMYFUNCTION("GOOGLETRANSLATE(B3928, ""nl"", ""en"")"),"A lightning strike in slow motion")</f>
        <v>A lightning strike in slow motion</v>
      </c>
    </row>
    <row r="3929" ht="15.75" customHeight="1">
      <c r="A3929" s="3" t="s">
        <v>4</v>
      </c>
      <c r="B3929" s="3" t="s">
        <v>55</v>
      </c>
      <c r="D3929" s="3" t="str">
        <f>IFERROR(__xludf.DUMMYFUNCTION("GOOGLETRANSLATE(A3929, ""nl"", ""en"")"),"Architectural and Structural Associations")</f>
        <v>Architectural and Structural Associations</v>
      </c>
      <c r="E3929" s="3" t="str">
        <f>IFERROR(__xludf.DUMMYFUNCTION("GOOGLETRANSLATE(B3929, ""nl"", ""en"")"),"A prism that splits light into colors")</f>
        <v>A prism that splits light into colors</v>
      </c>
    </row>
    <row r="3930" ht="15.75" customHeight="1">
      <c r="A3930" s="3" t="s">
        <v>7</v>
      </c>
      <c r="B3930" s="3" t="s">
        <v>40</v>
      </c>
      <c r="D3930" s="3" t="str">
        <f>IFERROR(__xludf.DUMMYFUNCTION("GOOGLETRANSLATE(A3930, ""nl"", ""en"")"),"Human Figures and Physicality")</f>
        <v>Human Figures and Physicality</v>
      </c>
      <c r="E3930" s="3" t="str">
        <f>IFERROR(__xludf.DUMMYFUNCTION("GOOGLETRANSLATE(B3930, ""nl"", ""en"")"),"A figure who is withdrawn into himself")</f>
        <v>A figure who is withdrawn into himself</v>
      </c>
    </row>
    <row r="3931" ht="15.75" customHeight="1">
      <c r="A3931" s="3" t="s">
        <v>24</v>
      </c>
      <c r="B3931" s="3" t="s">
        <v>33</v>
      </c>
      <c r="D3931" s="3" t="str">
        <f>IFERROR(__xludf.DUMMYFUNCTION("GOOGLETRANSLATE(A3931, ""nl"", ""en"")"),"Cosmic and Abstract Patterns")</f>
        <v>Cosmic and Abstract Patterns</v>
      </c>
      <c r="E3931" s="3" t="str">
        <f>IFERROR(__xludf.DUMMYFUNCTION("GOOGLETRANSLATE(B3931, ""nl"", ""en"")"),"An eye that repeats itself in endless patterns")</f>
        <v>An eye that repeats itself in endless patterns</v>
      </c>
    </row>
    <row r="3932" ht="15.75" customHeight="1">
      <c r="A3932" s="3" t="s">
        <v>12</v>
      </c>
      <c r="B3932" s="3" t="s">
        <v>47</v>
      </c>
      <c r="D3932" s="3" t="str">
        <f>IFERROR(__xludf.DUMMYFUNCTION("GOOGLETRANSLATE(A3932, ""nl"", ""en"")"),"Nature and Elements")</f>
        <v>Nature and Elements</v>
      </c>
      <c r="E3932" s="3" t="str">
        <f>IFERROR(__xludf.DUMMYFUNCTION("GOOGLETRANSLATE(B3932, ""nl"", ""en"")"),"A desert landscape that slowly changes")</f>
        <v>A desert landscape that slowly changes</v>
      </c>
    </row>
    <row r="3933" ht="15.75" customHeight="1">
      <c r="A3933" s="3" t="s">
        <v>9</v>
      </c>
      <c r="B3933" s="3" t="s">
        <v>17</v>
      </c>
      <c r="D3933" s="3" t="str">
        <f>IFERROR(__xludf.DUMMYFUNCTION("GOOGLETRANSLATE(A3933, ""nl"", ""en"")"),"Psychological and Emotional Interpretations")</f>
        <v>Psychological and Emotional Interpretations</v>
      </c>
      <c r="E3933" s="3" t="str">
        <f>IFERROR(__xludf.DUMMYFUNCTION("GOOGLETRANSLATE(B3933, ""nl"", ""en"")"),"A figure that seems to melt")</f>
        <v>A figure that seems to melt</v>
      </c>
    </row>
    <row r="3934" ht="15.75" customHeight="1">
      <c r="A3934" s="3" t="s">
        <v>4</v>
      </c>
      <c r="B3934" s="3" t="s">
        <v>44</v>
      </c>
      <c r="D3934" s="3" t="str">
        <f>IFERROR(__xludf.DUMMYFUNCTION("GOOGLETRANSLATE(A3934, ""nl"", ""en"")"),"Architectural and Structural Associations")</f>
        <v>Architectural and Structural Associations</v>
      </c>
      <c r="E3934" s="3" t="str">
        <f>IFERROR(__xludf.DUMMYFUNCTION("GOOGLETRANSLATE(B3934, ""nl"", ""en"")"),"A structure that pulsates in waves")</f>
        <v>A structure that pulsates in waves</v>
      </c>
    </row>
    <row r="3935" ht="15.75" customHeight="1">
      <c r="A3935" s="3" t="s">
        <v>24</v>
      </c>
      <c r="B3935" s="3" t="s">
        <v>48</v>
      </c>
      <c r="D3935" s="3" t="str">
        <f>IFERROR(__xludf.DUMMYFUNCTION("GOOGLETRANSLATE(A3935, ""nl"", ""en"")"),"Cosmic and Abstract Patterns")</f>
        <v>Cosmic and Abstract Patterns</v>
      </c>
      <c r="E3935" s="3" t="str">
        <f>IFERROR(__xludf.DUMMYFUNCTION("GOOGLETRANSLATE(B3935, ""nl"", ""en"")"),"A fractal that repeats itself")</f>
        <v>A fractal that repeats itself</v>
      </c>
    </row>
    <row r="3936" ht="15.75" customHeight="1">
      <c r="A3936" s="3" t="s">
        <v>24</v>
      </c>
      <c r="B3936" s="3" t="s">
        <v>54</v>
      </c>
      <c r="D3936" s="3" t="str">
        <f>IFERROR(__xludf.DUMMYFUNCTION("GOOGLETRANSLATE(A3936, ""nl"", ""en"")"),"Cosmic and Abstract Patterns")</f>
        <v>Cosmic and Abstract Patterns</v>
      </c>
      <c r="E3936" s="3" t="str">
        <f>IFERROR(__xludf.DUMMYFUNCTION("GOOGLETRANSLATE(B3936, ""nl"", ""en"")"),"A quantum particle in superposition")</f>
        <v>A quantum particle in superposition</v>
      </c>
    </row>
    <row r="3937" ht="15.75" customHeight="1">
      <c r="A3937" s="3" t="s">
        <v>24</v>
      </c>
      <c r="B3937" s="3" t="s">
        <v>33</v>
      </c>
      <c r="D3937" s="3" t="str">
        <f>IFERROR(__xludf.DUMMYFUNCTION("GOOGLETRANSLATE(A3937, ""nl"", ""en"")"),"Cosmic and Abstract Patterns")</f>
        <v>Cosmic and Abstract Patterns</v>
      </c>
      <c r="E3937" s="3" t="str">
        <f>IFERROR(__xludf.DUMMYFUNCTION("GOOGLETRANSLATE(B3937, ""nl"", ""en"")"),"An eye that repeats itself in endless patterns")</f>
        <v>An eye that repeats itself in endless patterns</v>
      </c>
    </row>
    <row r="3938" ht="15.75" customHeight="1">
      <c r="A3938" s="3" t="s">
        <v>7</v>
      </c>
      <c r="B3938" s="3" t="s">
        <v>34</v>
      </c>
      <c r="D3938" s="3" t="str">
        <f>IFERROR(__xludf.DUMMYFUNCTION("GOOGLETRANSLATE(A3938, ""nl"", ""en"")"),"Human Figures and Physicality")</f>
        <v>Human Figures and Physicality</v>
      </c>
      <c r="E3938" s="3" t="str">
        <f>IFERROR(__xludf.DUMMYFUNCTION("GOOGLETRANSLATE(B3938, ""nl"", ""en"")"),"Hands almost touching")</f>
        <v>Hands almost touching</v>
      </c>
    </row>
    <row r="3939" ht="15.75" customHeight="1">
      <c r="A3939" s="3" t="s">
        <v>9</v>
      </c>
      <c r="B3939" s="3" t="s">
        <v>14</v>
      </c>
      <c r="D3939" s="3" t="str">
        <f>IFERROR(__xludf.DUMMYFUNCTION("GOOGLETRANSLATE(A3939, ""nl"", ""en"")"),"Psychological and Emotional Interpretations")</f>
        <v>Psychological and Emotional Interpretations</v>
      </c>
      <c r="E3939" s="3" t="str">
        <f>IFERROR(__xludf.DUMMYFUNCTION("GOOGLETRANSLATE(B3939, ""nl"", ""en"")"),"An unclear hug")</f>
        <v>An unclear hug</v>
      </c>
    </row>
    <row r="3940" ht="15.75" customHeight="1">
      <c r="A3940" s="3" t="s">
        <v>9</v>
      </c>
      <c r="B3940" s="3" t="s">
        <v>37</v>
      </c>
      <c r="D3940" s="3" t="str">
        <f>IFERROR(__xludf.DUMMYFUNCTION("GOOGLETRANSLATE(A3940, ""nl"", ""en"")"),"Psychological and Emotional Interpretations")</f>
        <v>Psychological and Emotional Interpretations</v>
      </c>
      <c r="E3940" s="3" t="str">
        <f>IFERROR(__xludf.DUMMYFUNCTION("GOOGLETRANSLATE(B3940, ""nl"", ""en"")"),"A figure looking through itself")</f>
        <v>A figure looking through itself</v>
      </c>
    </row>
    <row r="3941" ht="15.75" customHeight="1">
      <c r="A3941" s="3" t="s">
        <v>24</v>
      </c>
      <c r="B3941" s="3" t="s">
        <v>48</v>
      </c>
      <c r="D3941" s="3" t="str">
        <f>IFERROR(__xludf.DUMMYFUNCTION("GOOGLETRANSLATE(A3941, ""nl"", ""en"")"),"Cosmic and Abstract Patterns")</f>
        <v>Cosmic and Abstract Patterns</v>
      </c>
      <c r="E3941" s="3" t="str">
        <f>IFERROR(__xludf.DUMMYFUNCTION("GOOGLETRANSLATE(B3941, ""nl"", ""en"")"),"A fractal that repeats itself")</f>
        <v>A fractal that repeats itself</v>
      </c>
    </row>
    <row r="3942" ht="15.75" customHeight="1">
      <c r="A3942" s="3" t="s">
        <v>15</v>
      </c>
      <c r="B3942" s="3" t="s">
        <v>16</v>
      </c>
      <c r="D3942" s="3" t="str">
        <f>IFERROR(__xludf.DUMMYFUNCTION("GOOGLETRANSLATE(A3942, ""nl"", ""en"")"),"Animals and Organic Forms")</f>
        <v>Animals and Organic Forms</v>
      </c>
      <c r="E3942" s="3" t="str">
        <f>IFERROR(__xludf.DUMMYFUNCTION("GOOGLETRANSLATE(B3942, ""nl"", ""en"")"),"A butterfly in transformation")</f>
        <v>A butterfly in transformation</v>
      </c>
    </row>
    <row r="3943" ht="15.75" customHeight="1">
      <c r="A3943" s="3" t="s">
        <v>24</v>
      </c>
      <c r="B3943" s="3" t="s">
        <v>25</v>
      </c>
      <c r="D3943" s="3" t="str">
        <f>IFERROR(__xludf.DUMMYFUNCTION("GOOGLETRANSLATE(A3943, ""nl"", ""en"")"),"Cosmic and Abstract Patterns")</f>
        <v>Cosmic and Abstract Patterns</v>
      </c>
      <c r="E3943" s="3" t="str">
        <f>IFERROR(__xludf.DUMMYFUNCTION("GOOGLETRANSLATE(B3943, ""nl"", ""en"")"),"A meteor shower dissolving into each other")</f>
        <v>A meteor shower dissolving into each other</v>
      </c>
    </row>
    <row r="3944" ht="15.75" customHeight="1">
      <c r="A3944" s="3" t="s">
        <v>9</v>
      </c>
      <c r="B3944" s="3" t="s">
        <v>17</v>
      </c>
      <c r="D3944" s="3" t="str">
        <f>IFERROR(__xludf.DUMMYFUNCTION("GOOGLETRANSLATE(A3944, ""nl"", ""en"")"),"Psychological and Emotional Interpretations")</f>
        <v>Psychological and Emotional Interpretations</v>
      </c>
      <c r="E3944" s="3" t="str">
        <f>IFERROR(__xludf.DUMMYFUNCTION("GOOGLETRANSLATE(B3944, ""nl"", ""en"")"),"A figure that seems to melt")</f>
        <v>A figure that seems to melt</v>
      </c>
    </row>
    <row r="3945" ht="15.75" customHeight="1">
      <c r="A3945" s="3" t="s">
        <v>24</v>
      </c>
      <c r="B3945" s="3" t="s">
        <v>32</v>
      </c>
      <c r="D3945" s="3" t="str">
        <f>IFERROR(__xludf.DUMMYFUNCTION("GOOGLETRANSLATE(A3945, ""nl"", ""en"")"),"Cosmic and Abstract Patterns")</f>
        <v>Cosmic and Abstract Patterns</v>
      </c>
      <c r="E3945" s="3" t="str">
        <f>IFERROR(__xludf.DUMMYFUNCTION("GOOGLETRANSLATE(B3945, ""nl"", ""en"")"),"A time loop captured in image")</f>
        <v>A time loop captured in image</v>
      </c>
    </row>
    <row r="3946" ht="15.75" customHeight="1">
      <c r="A3946" s="3" t="s">
        <v>24</v>
      </c>
      <c r="B3946" s="3" t="s">
        <v>27</v>
      </c>
      <c r="D3946" s="3" t="str">
        <f>IFERROR(__xludf.DUMMYFUNCTION("GOOGLETRANSLATE(A3946, ""nl"", ""en"")"),"Cosmic and Abstract Patterns")</f>
        <v>Cosmic and Abstract Patterns</v>
      </c>
      <c r="E3946" s="3" t="str">
        <f>IFERROR(__xludf.DUMMYFUNCTION("GOOGLETRANSLATE(B3946, ""nl"", ""en"")"),"A pair of black holes in dance")</f>
        <v>A pair of black holes in dance</v>
      </c>
    </row>
    <row r="3947" ht="15.75" customHeight="1">
      <c r="A3947" s="3" t="s">
        <v>4</v>
      </c>
      <c r="B3947" s="3" t="s">
        <v>44</v>
      </c>
      <c r="D3947" s="3" t="str">
        <f>IFERROR(__xludf.DUMMYFUNCTION("GOOGLETRANSLATE(A3947, ""nl"", ""en"")"),"Architectural and Structural Associations")</f>
        <v>Architectural and Structural Associations</v>
      </c>
      <c r="E3947" s="3" t="str">
        <f>IFERROR(__xludf.DUMMYFUNCTION("GOOGLETRANSLATE(B3947, ""nl"", ""en"")"),"A structure that pulsates in waves")</f>
        <v>A structure that pulsates in waves</v>
      </c>
    </row>
    <row r="3948" ht="15.75" customHeight="1">
      <c r="A3948" s="3" t="s">
        <v>7</v>
      </c>
      <c r="B3948" s="3" t="s">
        <v>41</v>
      </c>
      <c r="D3948" s="3" t="str">
        <f>IFERROR(__xludf.DUMMYFUNCTION("GOOGLETRANSLATE(A3948, ""nl"", ""en"")"),"Human Figures and Physicality")</f>
        <v>Human Figures and Physicality</v>
      </c>
      <c r="E3948" s="3" t="str">
        <f>IFERROR(__xludf.DUMMYFUNCTION("GOOGLETRANSLATE(B3948, ""nl"", ""en"")"),"A face that fades into abstraction")</f>
        <v>A face that fades into abstraction</v>
      </c>
    </row>
    <row r="3949" ht="15.75" customHeight="1">
      <c r="A3949" s="3" t="s">
        <v>7</v>
      </c>
      <c r="B3949" s="3" t="s">
        <v>8</v>
      </c>
      <c r="D3949" s="3" t="str">
        <f>IFERROR(__xludf.DUMMYFUNCTION("GOOGLETRANSLATE(A3949, ""nl"", ""en"")"),"Human Figures and Physicality")</f>
        <v>Human Figures and Physicality</v>
      </c>
      <c r="E3949" s="3" t="str">
        <f>IFERROR(__xludf.DUMMYFUNCTION("GOOGLETRANSLATE(B3949, ""nl"", ""en"")"),"Two figures mirroring each other")</f>
        <v>Two figures mirroring each other</v>
      </c>
    </row>
    <row r="3950" ht="15.75" customHeight="1">
      <c r="A3950" s="3" t="s">
        <v>7</v>
      </c>
      <c r="B3950" s="3" t="s">
        <v>28</v>
      </c>
      <c r="D3950" s="3" t="str">
        <f>IFERROR(__xludf.DUMMYFUNCTION("GOOGLETRANSLATE(A3950, ""nl"", ""en"")"),"Human Figures and Physicality")</f>
        <v>Human Figures and Physicality</v>
      </c>
      <c r="E3950" s="3" t="str">
        <f>IFERROR(__xludf.DUMMYFUNCTION("GOOGLETRANSLATE(B3950, ""nl"", ""en"")"),"A dancing silhouette")</f>
        <v>A dancing silhouette</v>
      </c>
    </row>
    <row r="3951" ht="15.75" customHeight="1">
      <c r="A3951" s="3" t="s">
        <v>24</v>
      </c>
      <c r="B3951" s="3" t="s">
        <v>31</v>
      </c>
      <c r="D3951" s="3" t="str">
        <f>IFERROR(__xludf.DUMMYFUNCTION("GOOGLETRANSLATE(A3951, ""nl"", ""en"")"),"Cosmic and Abstract Patterns")</f>
        <v>Cosmic and Abstract Patterns</v>
      </c>
      <c r="E3951" s="3" t="str">
        <f>IFERROR(__xludf.DUMMYFUNCTION("GOOGLETRANSLATE(B3951, ""nl"", ""en"")"),"A planet with unusual rings")</f>
        <v>A planet with unusual rings</v>
      </c>
    </row>
    <row r="3952" ht="15.75" customHeight="1">
      <c r="A3952" s="3" t="s">
        <v>4</v>
      </c>
      <c r="B3952" s="3" t="s">
        <v>21</v>
      </c>
      <c r="D3952" s="3" t="str">
        <f>IFERROR(__xludf.DUMMYFUNCTION("GOOGLETRANSLATE(A3952, ""nl"", ""en"")"),"Architectural and Structural Associations")</f>
        <v>Architectural and Structural Associations</v>
      </c>
      <c r="E3952" s="3" t="str">
        <f>IFERROR(__xludf.DUMMYFUNCTION("GOOGLETRANSLATE(B3952, ""nl"", ""en"")"),"A bridge that leads nowhere")</f>
        <v>A bridge that leads nowhere</v>
      </c>
    </row>
    <row r="3953" ht="15.75" customHeight="1">
      <c r="A3953" s="3" t="s">
        <v>15</v>
      </c>
      <c r="B3953" s="3" t="s">
        <v>38</v>
      </c>
      <c r="D3953" s="3" t="str">
        <f>IFERROR(__xludf.DUMMYFUNCTION("GOOGLETRANSLATE(A3953, ""nl"", ""en"")"),"Animals and Organic Forms")</f>
        <v>Animals and Organic Forms</v>
      </c>
      <c r="E3953" s="3" t="str">
        <f>IFERROR(__xludf.DUMMYFUNCTION("GOOGLETRANSLATE(B3953, ""nl"", ""en"")"),"A lion with an open mouth")</f>
        <v>A lion with an open mouth</v>
      </c>
    </row>
    <row r="3954" ht="15.75" customHeight="1">
      <c r="A3954" s="3" t="s">
        <v>7</v>
      </c>
      <c r="B3954" s="3" t="s">
        <v>40</v>
      </c>
      <c r="D3954" s="3" t="str">
        <f>IFERROR(__xludf.DUMMYFUNCTION("GOOGLETRANSLATE(A3954, ""nl"", ""en"")"),"Human Figures and Physicality")</f>
        <v>Human Figures and Physicality</v>
      </c>
      <c r="E3954" s="3" t="str">
        <f>IFERROR(__xludf.DUMMYFUNCTION("GOOGLETRANSLATE(B3954, ""nl"", ""en"")"),"A figure who is withdrawn into himself")</f>
        <v>A figure who is withdrawn into himself</v>
      </c>
    </row>
    <row r="3955" ht="15.75" customHeight="1">
      <c r="A3955" s="3" t="s">
        <v>9</v>
      </c>
      <c r="B3955" s="3" t="s">
        <v>17</v>
      </c>
      <c r="D3955" s="3" t="str">
        <f>IFERROR(__xludf.DUMMYFUNCTION("GOOGLETRANSLATE(A3955, ""nl"", ""en"")"),"Psychological and Emotional Interpretations")</f>
        <v>Psychological and Emotional Interpretations</v>
      </c>
      <c r="E3955" s="3" t="str">
        <f>IFERROR(__xludf.DUMMYFUNCTION("GOOGLETRANSLATE(B3955, ""nl"", ""en"")"),"A figure that seems to melt")</f>
        <v>A figure that seems to melt</v>
      </c>
    </row>
    <row r="3956" ht="15.75" customHeight="1">
      <c r="A3956" s="3" t="s">
        <v>9</v>
      </c>
      <c r="B3956" s="3" t="s">
        <v>14</v>
      </c>
      <c r="D3956" s="3" t="str">
        <f>IFERROR(__xludf.DUMMYFUNCTION("GOOGLETRANSLATE(A3956, ""nl"", ""en"")"),"Psychological and Emotional Interpretations")</f>
        <v>Psychological and Emotional Interpretations</v>
      </c>
      <c r="E3956" s="3" t="str">
        <f>IFERROR(__xludf.DUMMYFUNCTION("GOOGLETRANSLATE(B3956, ""nl"", ""en"")"),"An unclear hug")</f>
        <v>An unclear hug</v>
      </c>
    </row>
    <row r="3957" ht="15.75" customHeight="1">
      <c r="A3957" s="3" t="s">
        <v>7</v>
      </c>
      <c r="B3957" s="3" t="s">
        <v>34</v>
      </c>
      <c r="D3957" s="3" t="str">
        <f>IFERROR(__xludf.DUMMYFUNCTION("GOOGLETRANSLATE(A3957, ""nl"", ""en"")"),"Human Figures and Physicality")</f>
        <v>Human Figures and Physicality</v>
      </c>
      <c r="E3957" s="3" t="str">
        <f>IFERROR(__xludf.DUMMYFUNCTION("GOOGLETRANSLATE(B3957, ""nl"", ""en"")"),"Hands almost touching")</f>
        <v>Hands almost touching</v>
      </c>
    </row>
    <row r="3958" ht="15.75" customHeight="1">
      <c r="A3958" s="3" t="s">
        <v>4</v>
      </c>
      <c r="B3958" s="3" t="s">
        <v>44</v>
      </c>
      <c r="D3958" s="3" t="str">
        <f>IFERROR(__xludf.DUMMYFUNCTION("GOOGLETRANSLATE(A3958, ""nl"", ""en"")"),"Architectural and Structural Associations")</f>
        <v>Architectural and Structural Associations</v>
      </c>
      <c r="E3958" s="3" t="str">
        <f>IFERROR(__xludf.DUMMYFUNCTION("GOOGLETRANSLATE(B3958, ""nl"", ""en"")"),"A structure that pulsates in waves")</f>
        <v>A structure that pulsates in waves</v>
      </c>
    </row>
    <row r="3959" ht="15.75" customHeight="1">
      <c r="A3959" s="3" t="s">
        <v>24</v>
      </c>
      <c r="B3959" s="3" t="s">
        <v>31</v>
      </c>
      <c r="D3959" s="3" t="str">
        <f>IFERROR(__xludf.DUMMYFUNCTION("GOOGLETRANSLATE(A3959, ""nl"", ""en"")"),"Cosmic and Abstract Patterns")</f>
        <v>Cosmic and Abstract Patterns</v>
      </c>
      <c r="E3959" s="3" t="str">
        <f>IFERROR(__xludf.DUMMYFUNCTION("GOOGLETRANSLATE(B3959, ""nl"", ""en"")"),"A planet with unusual rings")</f>
        <v>A planet with unusual rings</v>
      </c>
    </row>
    <row r="3960" ht="15.75" customHeight="1">
      <c r="A3960" s="3" t="s">
        <v>9</v>
      </c>
      <c r="B3960" s="3" t="s">
        <v>42</v>
      </c>
      <c r="D3960" s="3" t="str">
        <f>IFERROR(__xludf.DUMMYFUNCTION("GOOGLETRANSLATE(A3960, ""nl"", ""en"")"),"Psychological and Emotional Interpretations")</f>
        <v>Psychological and Emotional Interpretations</v>
      </c>
      <c r="E3960" s="3" t="str">
        <f>IFERROR(__xludf.DUMMYFUNCTION("GOOGLETRANSLATE(B3960, ""nl"", ""en"")"),"A mask that slowly disappears")</f>
        <v>A mask that slowly disappears</v>
      </c>
    </row>
    <row r="3961" ht="15.75" customHeight="1">
      <c r="A3961" s="3" t="s">
        <v>9</v>
      </c>
      <c r="B3961" s="3" t="s">
        <v>10</v>
      </c>
      <c r="D3961" s="3" t="str">
        <f>IFERROR(__xludf.DUMMYFUNCTION("GOOGLETRANSLATE(A3961, ""nl"", ""en"")"),"Psychological and Emotional Interpretations")</f>
        <v>Psychological and Emotional Interpretations</v>
      </c>
      <c r="E3961" s="3" t="str">
        <f>IFERROR(__xludf.DUMMYFUNCTION("GOOGLETRANSLATE(B3961, ""nl"", ""en"")"),"A face transforming in light")</f>
        <v>A face transforming in light</v>
      </c>
    </row>
    <row r="3962" ht="15.75" customHeight="1">
      <c r="A3962" s="3" t="s">
        <v>12</v>
      </c>
      <c r="B3962" s="3" t="s">
        <v>18</v>
      </c>
      <c r="D3962" s="3" t="str">
        <f>IFERROR(__xludf.DUMMYFUNCTION("GOOGLETRANSLATE(A3962, ""nl"", ""en"")"),"Nature and Elements")</f>
        <v>Nature and Elements</v>
      </c>
      <c r="E3962" s="3" t="str">
        <f>IFERROR(__xludf.DUMMYFUNCTION("GOOGLETRANSLATE(B3962, ""nl"", ""en"")"),"A tree with endless branches")</f>
        <v>A tree with endless branches</v>
      </c>
    </row>
    <row r="3963" ht="15.75" customHeight="1">
      <c r="A3963" s="3" t="s">
        <v>24</v>
      </c>
      <c r="B3963" s="3" t="s">
        <v>32</v>
      </c>
      <c r="D3963" s="3" t="str">
        <f>IFERROR(__xludf.DUMMYFUNCTION("GOOGLETRANSLATE(A3963, ""nl"", ""en"")"),"Cosmic and Abstract Patterns")</f>
        <v>Cosmic and Abstract Patterns</v>
      </c>
      <c r="E3963" s="3" t="str">
        <f>IFERROR(__xludf.DUMMYFUNCTION("GOOGLETRANSLATE(B3963, ""nl"", ""en"")"),"A time loop captured in image")</f>
        <v>A time loop captured in image</v>
      </c>
    </row>
    <row r="3964" ht="15.75" customHeight="1">
      <c r="A3964" s="3" t="s">
        <v>24</v>
      </c>
      <c r="B3964" s="3" t="s">
        <v>48</v>
      </c>
      <c r="D3964" s="3" t="str">
        <f>IFERROR(__xludf.DUMMYFUNCTION("GOOGLETRANSLATE(A3964, ""nl"", ""en"")"),"Cosmic and Abstract Patterns")</f>
        <v>Cosmic and Abstract Patterns</v>
      </c>
      <c r="E3964" s="3" t="str">
        <f>IFERROR(__xludf.DUMMYFUNCTION("GOOGLETRANSLATE(B3964, ""nl"", ""en"")"),"A fractal that repeats itself")</f>
        <v>A fractal that repeats itself</v>
      </c>
    </row>
    <row r="3965" ht="15.75" customHeight="1">
      <c r="A3965" s="3" t="s">
        <v>4</v>
      </c>
      <c r="B3965" s="3" t="s">
        <v>5</v>
      </c>
      <c r="D3965" s="3" t="str">
        <f>IFERROR(__xludf.DUMMYFUNCTION("GOOGLETRANSLATE(A3965, ""nl"", ""en"")"),"Architectural and Structural Associations")</f>
        <v>Architectural and Structural Associations</v>
      </c>
      <c r="E3965" s="3" t="str">
        <f>IFERROR(__xludf.DUMMYFUNCTION("GOOGLETRANSLATE(B3965, ""nl"", ""en"")"),"A cathedral shaped from mist")</f>
        <v>A cathedral shaped from mist</v>
      </c>
    </row>
    <row r="3966" ht="15.75" customHeight="1">
      <c r="A3966" s="3" t="s">
        <v>7</v>
      </c>
      <c r="B3966" s="3" t="s">
        <v>39</v>
      </c>
      <c r="D3966" s="3" t="str">
        <f>IFERROR(__xludf.DUMMYFUNCTION("GOOGLETRANSLATE(A3966, ""nl"", ""en"")"),"Human Figures and Physicality")</f>
        <v>Human Figures and Physicality</v>
      </c>
      <c r="E3966" s="3" t="str">
        <f>IFERROR(__xludf.DUMMYFUNCTION("GOOGLETRANSLATE(B3966, ""nl"", ""en"")"),"A torso without a head")</f>
        <v>A torso without a head</v>
      </c>
    </row>
    <row r="3967" ht="15.75" customHeight="1">
      <c r="A3967" s="3" t="s">
        <v>4</v>
      </c>
      <c r="B3967" s="3" t="s">
        <v>44</v>
      </c>
      <c r="D3967" s="3" t="str">
        <f>IFERROR(__xludf.DUMMYFUNCTION("GOOGLETRANSLATE(A3967, ""nl"", ""en"")"),"Architectural and Structural Associations")</f>
        <v>Architectural and Structural Associations</v>
      </c>
      <c r="E3967" s="3" t="str">
        <f>IFERROR(__xludf.DUMMYFUNCTION("GOOGLETRANSLATE(B3967, ""nl"", ""en"")"),"A structure that pulsates in waves")</f>
        <v>A structure that pulsates in waves</v>
      </c>
    </row>
    <row r="3968" ht="15.75" customHeight="1">
      <c r="A3968" s="3" t="s">
        <v>7</v>
      </c>
      <c r="B3968" s="3" t="s">
        <v>53</v>
      </c>
      <c r="D3968" s="3" t="str">
        <f>IFERROR(__xludf.DUMMYFUNCTION("GOOGLETRANSLATE(A3968, ""nl"", ""en"")"),"Human Figures and Physicality")</f>
        <v>Human Figures and Physicality</v>
      </c>
      <c r="E3968" s="3" t="str">
        <f>IFERROR(__xludf.DUMMYFUNCTION("GOOGLETRANSLATE(B3968, ""nl"", ""en"")"),"A face that both smiles and cries")</f>
        <v>A face that both smiles and cries</v>
      </c>
    </row>
    <row r="3969" ht="15.75" customHeight="1">
      <c r="A3969" s="3" t="s">
        <v>24</v>
      </c>
      <c r="B3969" s="3" t="s">
        <v>25</v>
      </c>
      <c r="D3969" s="3" t="str">
        <f>IFERROR(__xludf.DUMMYFUNCTION("GOOGLETRANSLATE(A3969, ""nl"", ""en"")"),"Cosmic and Abstract Patterns")</f>
        <v>Cosmic and Abstract Patterns</v>
      </c>
      <c r="E3969" s="3" t="str">
        <f>IFERROR(__xludf.DUMMYFUNCTION("GOOGLETRANSLATE(B3969, ""nl"", ""en"")"),"A meteor shower dissolving into each other")</f>
        <v>A meteor shower dissolving into each other</v>
      </c>
    </row>
    <row r="3970" ht="15.75" customHeight="1">
      <c r="A3970" s="3" t="s">
        <v>4</v>
      </c>
      <c r="B3970" s="3" t="s">
        <v>6</v>
      </c>
      <c r="D3970" s="3" t="str">
        <f>IFERROR(__xludf.DUMMYFUNCTION("GOOGLETRANSLATE(A3970, ""nl"", ""en"")"),"Architectural and Structural Associations")</f>
        <v>Architectural and Structural Associations</v>
      </c>
      <c r="E3970" s="3" t="str">
        <f>IFERROR(__xludf.DUMMYFUNCTION("GOOGLETRANSLATE(B3970, ""nl"", ""en"")"),"An endless labyrinth")</f>
        <v>An endless labyrinth</v>
      </c>
    </row>
    <row r="3971" ht="15.75" customHeight="1">
      <c r="A3971" s="3" t="s">
        <v>12</v>
      </c>
      <c r="B3971" s="3" t="s">
        <v>23</v>
      </c>
      <c r="D3971" s="3" t="str">
        <f>IFERROR(__xludf.DUMMYFUNCTION("GOOGLETRANSLATE(A3971, ""nl"", ""en"")"),"Nature and Elements")</f>
        <v>Nature and Elements</v>
      </c>
      <c r="E3971" s="3" t="str">
        <f>IFERROR(__xludf.DUMMYFUNCTION("GOOGLETRANSLATE(B3971, ""nl"", ""en"")"),"A storm cloud splitting in two")</f>
        <v>A storm cloud splitting in two</v>
      </c>
    </row>
    <row r="3972" ht="15.75" customHeight="1">
      <c r="A3972" s="3" t="s">
        <v>4</v>
      </c>
      <c r="B3972" s="3" t="s">
        <v>43</v>
      </c>
      <c r="D3972" s="3" t="str">
        <f>IFERROR(__xludf.DUMMYFUNCTION("GOOGLETRANSLATE(A3972, ""nl"", ""en"")"),"Architectural and Structural Associations")</f>
        <v>Architectural and Structural Associations</v>
      </c>
      <c r="E3972" s="3" t="str">
        <f>IFERROR(__xludf.DUMMYFUNCTION("GOOGLETRANSLATE(B3972, ""nl"", ""en"")"),"A network of tunnels and passages")</f>
        <v>A network of tunnels and passages</v>
      </c>
    </row>
    <row r="3973" ht="15.75" customHeight="1">
      <c r="A3973" s="3" t="s">
        <v>7</v>
      </c>
      <c r="B3973" s="3" t="s">
        <v>28</v>
      </c>
      <c r="D3973" s="3" t="str">
        <f>IFERROR(__xludf.DUMMYFUNCTION("GOOGLETRANSLATE(A3973, ""nl"", ""en"")"),"Human Figures and Physicality")</f>
        <v>Human Figures and Physicality</v>
      </c>
      <c r="E3973" s="3" t="str">
        <f>IFERROR(__xludf.DUMMYFUNCTION("GOOGLETRANSLATE(B3973, ""nl"", ""en"")"),"A dancing silhouette")</f>
        <v>A dancing silhouette</v>
      </c>
    </row>
    <row r="3974" ht="15.75" customHeight="1">
      <c r="A3974" s="3" t="s">
        <v>12</v>
      </c>
      <c r="B3974" s="3" t="s">
        <v>51</v>
      </c>
      <c r="D3974" s="3" t="str">
        <f>IFERROR(__xludf.DUMMYFUNCTION("GOOGLETRANSLATE(A3974, ""nl"", ""en"")"),"Nature and Elements")</f>
        <v>Nature and Elements</v>
      </c>
      <c r="E3974" s="3" t="str">
        <f>IFERROR(__xludf.DUMMYFUNCTION("GOOGLETRANSLATE(B3974, ""nl"", ""en"")"),"An evaporating puddle of water")</f>
        <v>An evaporating puddle of water</v>
      </c>
    </row>
    <row r="3975" ht="15.75" customHeight="1">
      <c r="A3975" s="3" t="s">
        <v>7</v>
      </c>
      <c r="B3975" s="3" t="s">
        <v>56</v>
      </c>
      <c r="D3975" s="3" t="str">
        <f>IFERROR(__xludf.DUMMYFUNCTION("GOOGLETRANSLATE(A3975, ""nl"", ""en"")"),"Human Figures and Physicality")</f>
        <v>Human Figures and Physicality</v>
      </c>
      <c r="E3975" s="3" t="str">
        <f>IFERROR(__xludf.DUMMYFUNCTION("GOOGLETRANSLATE(B3975, ""nl"", ""en"")"),"A shadow that seems to move")</f>
        <v>A shadow that seems to move</v>
      </c>
    </row>
    <row r="3976" ht="15.75" customHeight="1">
      <c r="A3976" s="3" t="s">
        <v>15</v>
      </c>
      <c r="B3976" s="3" t="s">
        <v>16</v>
      </c>
      <c r="D3976" s="3" t="str">
        <f>IFERROR(__xludf.DUMMYFUNCTION("GOOGLETRANSLATE(A3976, ""nl"", ""en"")"),"Animals and Organic Forms")</f>
        <v>Animals and Organic Forms</v>
      </c>
      <c r="E3976" s="3" t="str">
        <f>IFERROR(__xludf.DUMMYFUNCTION("GOOGLETRANSLATE(B3976, ""nl"", ""en"")"),"A butterfly in transformation")</f>
        <v>A butterfly in transformation</v>
      </c>
    </row>
    <row r="3977" ht="15.75" customHeight="1">
      <c r="A3977" s="3" t="s">
        <v>9</v>
      </c>
      <c r="B3977" s="3" t="s">
        <v>10</v>
      </c>
      <c r="D3977" s="3" t="str">
        <f>IFERROR(__xludf.DUMMYFUNCTION("GOOGLETRANSLATE(A3977, ""nl"", ""en"")"),"Psychological and Emotional Interpretations")</f>
        <v>Psychological and Emotional Interpretations</v>
      </c>
      <c r="E3977" s="3" t="str">
        <f>IFERROR(__xludf.DUMMYFUNCTION("GOOGLETRANSLATE(B3977, ""nl"", ""en"")"),"A face transforming in light")</f>
        <v>A face transforming in light</v>
      </c>
    </row>
    <row r="3978" ht="15.75" customHeight="1">
      <c r="A3978" s="3" t="s">
        <v>7</v>
      </c>
      <c r="B3978" s="3" t="s">
        <v>39</v>
      </c>
      <c r="D3978" s="3" t="str">
        <f>IFERROR(__xludf.DUMMYFUNCTION("GOOGLETRANSLATE(A3978, ""nl"", ""en"")"),"Human Figures and Physicality")</f>
        <v>Human Figures and Physicality</v>
      </c>
      <c r="E3978" s="3" t="str">
        <f>IFERROR(__xludf.DUMMYFUNCTION("GOOGLETRANSLATE(B3978, ""nl"", ""en"")"),"A torso without a head")</f>
        <v>A torso without a head</v>
      </c>
    </row>
    <row r="3979" ht="15.75" customHeight="1">
      <c r="A3979" s="3" t="s">
        <v>12</v>
      </c>
      <c r="B3979" s="3" t="s">
        <v>13</v>
      </c>
      <c r="D3979" s="3" t="str">
        <f>IFERROR(__xludf.DUMMYFUNCTION("GOOGLETRANSLATE(A3979, ""nl"", ""en"")"),"Nature and Elements")</f>
        <v>Nature and Elements</v>
      </c>
      <c r="E3979" s="3" t="str">
        <f>IFERROR(__xludf.DUMMYFUNCTION("GOOGLETRANSLATE(B3979, ""nl"", ""en"")"),"A lightning strike in slow motion")</f>
        <v>A lightning strike in slow motion</v>
      </c>
    </row>
    <row r="3980" ht="15.75" customHeight="1">
      <c r="A3980" s="3" t="s">
        <v>4</v>
      </c>
      <c r="B3980" s="3" t="s">
        <v>21</v>
      </c>
      <c r="D3980" s="3" t="str">
        <f>IFERROR(__xludf.DUMMYFUNCTION("GOOGLETRANSLATE(A3980, ""nl"", ""en"")"),"Architectural and Structural Associations")</f>
        <v>Architectural and Structural Associations</v>
      </c>
      <c r="E3980" s="3" t="str">
        <f>IFERROR(__xludf.DUMMYFUNCTION("GOOGLETRANSLATE(B3980, ""nl"", ""en"")"),"A bridge that leads nowhere")</f>
        <v>A bridge that leads nowhere</v>
      </c>
    </row>
    <row r="3981" ht="15.75" customHeight="1">
      <c r="A3981" s="3" t="s">
        <v>9</v>
      </c>
      <c r="B3981" s="3" t="s">
        <v>37</v>
      </c>
      <c r="D3981" s="3" t="str">
        <f>IFERROR(__xludf.DUMMYFUNCTION("GOOGLETRANSLATE(A3981, ""nl"", ""en"")"),"Psychological and Emotional Interpretations")</f>
        <v>Psychological and Emotional Interpretations</v>
      </c>
      <c r="E3981" s="3" t="str">
        <f>IFERROR(__xludf.DUMMYFUNCTION("GOOGLETRANSLATE(B3981, ""nl"", ""en"")"),"A figure looking through itself")</f>
        <v>A figure looking through itself</v>
      </c>
    </row>
    <row r="3982" ht="15.75" customHeight="1">
      <c r="A3982" s="3" t="s">
        <v>15</v>
      </c>
      <c r="B3982" s="3" t="s">
        <v>46</v>
      </c>
      <c r="D3982" s="3" t="str">
        <f>IFERROR(__xludf.DUMMYFUNCTION("GOOGLETRANSLATE(A3982, ""nl"", ""en"")"),"Animals and Organic Forms")</f>
        <v>Animals and Organic Forms</v>
      </c>
      <c r="E3982" s="3" t="str">
        <f>IFERROR(__xludf.DUMMYFUNCTION("GOOGLETRANSLATE(B3982, ""nl"", ""en"")"),"A flock of fish moving as one")</f>
        <v>A flock of fish moving as one</v>
      </c>
    </row>
    <row r="3983" ht="15.75" customHeight="1">
      <c r="A3983" s="3" t="s">
        <v>9</v>
      </c>
      <c r="B3983" s="3" t="s">
        <v>57</v>
      </c>
      <c r="D3983" s="3" t="str">
        <f>IFERROR(__xludf.DUMMYFUNCTION("GOOGLETRANSLATE(A3983, ""nl"", ""en"")"),"Psychological and Emotional Interpretations")</f>
        <v>Psychological and Emotional Interpretations</v>
      </c>
      <c r="E3983" s="3" t="str">
        <f>IFERROR(__xludf.DUMMYFUNCTION("GOOGLETRANSLATE(B3983, ""nl"", ""en"")"),"An explosion of colours and feelings")</f>
        <v>An explosion of colours and feelings</v>
      </c>
    </row>
    <row r="3984" ht="15.75" customHeight="1">
      <c r="A3984" s="3" t="s">
        <v>4</v>
      </c>
      <c r="B3984" s="3" t="s">
        <v>20</v>
      </c>
      <c r="D3984" s="3" t="str">
        <f>IFERROR(__xludf.DUMMYFUNCTION("GOOGLETRANSLATE(A3984, ""nl"", ""en"")"),"Architectural and Structural Associations")</f>
        <v>Architectural and Structural Associations</v>
      </c>
      <c r="E3984" s="3" t="str">
        <f>IFERROR(__xludf.DUMMYFUNCTION("GOOGLETRANSLATE(B3984, ""nl"", ""en"")"),"A tower that grows by itself")</f>
        <v>A tower that grows by itself</v>
      </c>
    </row>
    <row r="3985" ht="15.75" customHeight="1">
      <c r="A3985" s="3" t="s">
        <v>9</v>
      </c>
      <c r="B3985" s="3" t="s">
        <v>37</v>
      </c>
      <c r="D3985" s="3" t="str">
        <f>IFERROR(__xludf.DUMMYFUNCTION("GOOGLETRANSLATE(A3985, ""nl"", ""en"")"),"Psychological and Emotional Interpretations")</f>
        <v>Psychological and Emotional Interpretations</v>
      </c>
      <c r="E3985" s="3" t="str">
        <f>IFERROR(__xludf.DUMMYFUNCTION("GOOGLETRANSLATE(B3985, ""nl"", ""en"")"),"A figure looking through itself")</f>
        <v>A figure looking through itself</v>
      </c>
    </row>
    <row r="3986" ht="15.75" customHeight="1">
      <c r="A3986" s="3" t="s">
        <v>7</v>
      </c>
      <c r="B3986" s="3" t="s">
        <v>8</v>
      </c>
      <c r="D3986" s="3" t="str">
        <f>IFERROR(__xludf.DUMMYFUNCTION("GOOGLETRANSLATE(A3986, ""nl"", ""en"")"),"Human Figures and Physicality")</f>
        <v>Human Figures and Physicality</v>
      </c>
      <c r="E3986" s="3" t="str">
        <f>IFERROR(__xludf.DUMMYFUNCTION("GOOGLETRANSLATE(B3986, ""nl"", ""en"")"),"Two figures mirroring each other")</f>
        <v>Two figures mirroring each other</v>
      </c>
    </row>
    <row r="3987" ht="15.75" customHeight="1">
      <c r="A3987" s="3" t="s">
        <v>15</v>
      </c>
      <c r="B3987" s="3" t="s">
        <v>16</v>
      </c>
      <c r="D3987" s="3" t="str">
        <f>IFERROR(__xludf.DUMMYFUNCTION("GOOGLETRANSLATE(A3987, ""nl"", ""en"")"),"Animals and Organic Forms")</f>
        <v>Animals and Organic Forms</v>
      </c>
      <c r="E3987" s="3" t="str">
        <f>IFERROR(__xludf.DUMMYFUNCTION("GOOGLETRANSLATE(B3987, ""nl"", ""en"")"),"A butterfly in transformation")</f>
        <v>A butterfly in transformation</v>
      </c>
    </row>
    <row r="3988" ht="15.75" customHeight="1">
      <c r="A3988" s="3" t="s">
        <v>7</v>
      </c>
      <c r="B3988" s="3" t="s">
        <v>56</v>
      </c>
      <c r="D3988" s="3" t="str">
        <f>IFERROR(__xludf.DUMMYFUNCTION("GOOGLETRANSLATE(A3988, ""nl"", ""en"")"),"Human Figures and Physicality")</f>
        <v>Human Figures and Physicality</v>
      </c>
      <c r="E3988" s="3" t="str">
        <f>IFERROR(__xludf.DUMMYFUNCTION("GOOGLETRANSLATE(B3988, ""nl"", ""en"")"),"A shadow that seems to move")</f>
        <v>A shadow that seems to move</v>
      </c>
    </row>
    <row r="3989" ht="15.75" customHeight="1">
      <c r="A3989" s="3" t="s">
        <v>12</v>
      </c>
      <c r="B3989" s="3" t="s">
        <v>36</v>
      </c>
      <c r="D3989" s="3" t="str">
        <f>IFERROR(__xludf.DUMMYFUNCTION("GOOGLETRANSLATE(A3989, ""nl"", ""en"")"),"Nature and Elements")</f>
        <v>Nature and Elements</v>
      </c>
      <c r="E3989" s="3" t="str">
        <f>IFERROR(__xludf.DUMMYFUNCTION("GOOGLETRANSLATE(B3989, ""nl"", ""en"")"),"A river delta from a bird's-eye view")</f>
        <v>A river delta from a bird's-eye view</v>
      </c>
    </row>
    <row r="3990" ht="15.75" customHeight="1">
      <c r="A3990" s="3" t="s">
        <v>7</v>
      </c>
      <c r="B3990" s="3" t="s">
        <v>8</v>
      </c>
      <c r="D3990" s="3" t="str">
        <f>IFERROR(__xludf.DUMMYFUNCTION("GOOGLETRANSLATE(A3990, ""nl"", ""en"")"),"Human Figures and Physicality")</f>
        <v>Human Figures and Physicality</v>
      </c>
      <c r="E3990" s="3" t="str">
        <f>IFERROR(__xludf.DUMMYFUNCTION("GOOGLETRANSLATE(B3990, ""nl"", ""en"")"),"Two figures mirroring each other")</f>
        <v>Two figures mirroring each other</v>
      </c>
    </row>
    <row r="3991" ht="15.75" customHeight="1">
      <c r="A3991" s="3" t="s">
        <v>24</v>
      </c>
      <c r="B3991" s="3" t="s">
        <v>25</v>
      </c>
      <c r="D3991" s="3" t="str">
        <f>IFERROR(__xludf.DUMMYFUNCTION("GOOGLETRANSLATE(A3991, ""nl"", ""en"")"),"Cosmic and Abstract Patterns")</f>
        <v>Cosmic and Abstract Patterns</v>
      </c>
      <c r="E3991" s="3" t="str">
        <f>IFERROR(__xludf.DUMMYFUNCTION("GOOGLETRANSLATE(B3991, ""nl"", ""en"")"),"A meteor shower dissolving into each other")</f>
        <v>A meteor shower dissolving into each other</v>
      </c>
    </row>
    <row r="3992" ht="15.75" customHeight="1">
      <c r="A3992" s="3" t="s">
        <v>9</v>
      </c>
      <c r="B3992" s="3" t="s">
        <v>49</v>
      </c>
      <c r="D3992" s="3" t="str">
        <f>IFERROR(__xludf.DUMMYFUNCTION("GOOGLETRANSLATE(A3992, ""nl"", ""en"")"),"Psychological and Emotional Interpretations")</f>
        <v>Psychological and Emotional Interpretations</v>
      </c>
      <c r="E3992" s="3" t="str">
        <f>IFERROR(__xludf.DUMMYFUNCTION("GOOGLETRANSLATE(B3992, ""nl"", ""en"")"),"A spiral that turns inward")</f>
        <v>A spiral that turns inward</v>
      </c>
    </row>
    <row r="3993" ht="15.75" customHeight="1">
      <c r="A3993" s="3" t="s">
        <v>12</v>
      </c>
      <c r="B3993" s="3" t="s">
        <v>23</v>
      </c>
      <c r="D3993" s="3" t="str">
        <f>IFERROR(__xludf.DUMMYFUNCTION("GOOGLETRANSLATE(A3993, ""nl"", ""en"")"),"Nature and Elements")</f>
        <v>Nature and Elements</v>
      </c>
      <c r="E3993" s="3" t="str">
        <f>IFERROR(__xludf.DUMMYFUNCTION("GOOGLETRANSLATE(B3993, ""nl"", ""en"")"),"A storm cloud splitting in two")</f>
        <v>A storm cloud splitting in two</v>
      </c>
    </row>
    <row r="3994" ht="15.75" customHeight="1">
      <c r="A3994" s="3" t="s">
        <v>12</v>
      </c>
      <c r="B3994" s="3" t="s">
        <v>30</v>
      </c>
      <c r="D3994" s="3" t="str">
        <f>IFERROR(__xludf.DUMMYFUNCTION("GOOGLETRANSLATE(A3994, ""nl"", ""en"")"),"Nature and Elements")</f>
        <v>Nature and Elements</v>
      </c>
      <c r="E3994" s="3" t="str">
        <f>IFERROR(__xludf.DUMMYFUNCTION("GOOGLETRANSLATE(B3994, ""nl"", ""en"")"),"Waves breaking in fractal patterns")</f>
        <v>Waves breaking in fractal patterns</v>
      </c>
    </row>
    <row r="3995" ht="15.75" customHeight="1">
      <c r="A3995" s="3" t="s">
        <v>12</v>
      </c>
      <c r="B3995" s="3" t="s">
        <v>51</v>
      </c>
      <c r="D3995" s="3" t="str">
        <f>IFERROR(__xludf.DUMMYFUNCTION("GOOGLETRANSLATE(A3995, ""nl"", ""en"")"),"Nature and Elements")</f>
        <v>Nature and Elements</v>
      </c>
      <c r="E3995" s="3" t="str">
        <f>IFERROR(__xludf.DUMMYFUNCTION("GOOGLETRANSLATE(B3995, ""nl"", ""en"")"),"An evaporating puddle of water")</f>
        <v>An evaporating puddle of water</v>
      </c>
    </row>
    <row r="3996" ht="15.75" customHeight="1">
      <c r="A3996" s="3" t="s">
        <v>15</v>
      </c>
      <c r="B3996" s="3" t="s">
        <v>22</v>
      </c>
      <c r="D3996" s="3" t="str">
        <f>IFERROR(__xludf.DUMMYFUNCTION("GOOGLETRANSLATE(A3996, ""nl"", ""en"")"),"Animals and Organic Forms")</f>
        <v>Animals and Organic Forms</v>
      </c>
      <c r="E3996" s="3" t="str">
        <f>IFERROR(__xludf.DUMMYFUNCTION("GOOGLETRANSLATE(B3996, ""nl"", ""en"")"),"A bird taking off")</f>
        <v>A bird taking off</v>
      </c>
    </row>
    <row r="3997" ht="15.75" customHeight="1">
      <c r="A3997" s="3" t="s">
        <v>7</v>
      </c>
      <c r="B3997" s="3" t="s">
        <v>28</v>
      </c>
      <c r="D3997" s="3" t="str">
        <f>IFERROR(__xludf.DUMMYFUNCTION("GOOGLETRANSLATE(A3997, ""nl"", ""en"")"),"Human Figures and Physicality")</f>
        <v>Human Figures and Physicality</v>
      </c>
      <c r="E3997" s="3" t="str">
        <f>IFERROR(__xludf.DUMMYFUNCTION("GOOGLETRANSLATE(B3997, ""nl"", ""en"")"),"A dancing silhouette")</f>
        <v>A dancing silhouette</v>
      </c>
    </row>
    <row r="3998" ht="15.75" customHeight="1">
      <c r="A3998" s="3" t="s">
        <v>24</v>
      </c>
      <c r="B3998" s="3" t="s">
        <v>25</v>
      </c>
      <c r="D3998" s="3" t="str">
        <f>IFERROR(__xludf.DUMMYFUNCTION("GOOGLETRANSLATE(A3998, ""nl"", ""en"")"),"Cosmic and Abstract Patterns")</f>
        <v>Cosmic and Abstract Patterns</v>
      </c>
      <c r="E3998" s="3" t="str">
        <f>IFERROR(__xludf.DUMMYFUNCTION("GOOGLETRANSLATE(B3998, ""nl"", ""en"")"),"A meteor shower dissolving into each other")</f>
        <v>A meteor shower dissolving into each other</v>
      </c>
    </row>
    <row r="3999" ht="15.75" customHeight="1">
      <c r="A3999" s="3" t="s">
        <v>7</v>
      </c>
      <c r="B3999" s="3" t="s">
        <v>56</v>
      </c>
      <c r="D3999" s="3" t="str">
        <f>IFERROR(__xludf.DUMMYFUNCTION("GOOGLETRANSLATE(A3999, ""nl"", ""en"")"),"Human Figures and Physicality")</f>
        <v>Human Figures and Physicality</v>
      </c>
      <c r="E3999" s="3" t="str">
        <f>IFERROR(__xludf.DUMMYFUNCTION("GOOGLETRANSLATE(B3999, ""nl"", ""en"")"),"A shadow that seems to move")</f>
        <v>A shadow that seems to move</v>
      </c>
    </row>
    <row r="4000" ht="15.75" customHeight="1">
      <c r="A4000" s="3" t="s">
        <v>15</v>
      </c>
      <c r="B4000" s="3" t="s">
        <v>16</v>
      </c>
      <c r="D4000" s="3" t="str">
        <f>IFERROR(__xludf.DUMMYFUNCTION("GOOGLETRANSLATE(A4000, ""nl"", ""en"")"),"Animals and Organic Forms")</f>
        <v>Animals and Organic Forms</v>
      </c>
      <c r="E4000" s="3" t="str">
        <f>IFERROR(__xludf.DUMMYFUNCTION("GOOGLETRANSLATE(B4000, ""nl"", ""en"")"),"A butterfly in transformation")</f>
        <v>A butterfly in transformation</v>
      </c>
    </row>
    <row r="4001" ht="15.75" customHeight="1">
      <c r="A4001" s="3" t="s">
        <v>9</v>
      </c>
      <c r="B4001" s="3" t="s">
        <v>17</v>
      </c>
      <c r="D4001" s="3" t="str">
        <f>IFERROR(__xludf.DUMMYFUNCTION("GOOGLETRANSLATE(A4001, ""nl"", ""en"")"),"Psychological and Emotional Interpretations")</f>
        <v>Psychological and Emotional Interpretations</v>
      </c>
      <c r="E4001" s="3" t="str">
        <f>IFERROR(__xludf.DUMMYFUNCTION("GOOGLETRANSLATE(B4001, ""nl"", ""en"")"),"A figure that seems to melt")</f>
        <v>A figure that seems to melt</v>
      </c>
    </row>
    <row r="4002" ht="15.75" customHeight="1">
      <c r="A4002" s="3" t="s">
        <v>7</v>
      </c>
      <c r="B4002" s="3" t="s">
        <v>40</v>
      </c>
      <c r="D4002" s="3" t="str">
        <f>IFERROR(__xludf.DUMMYFUNCTION("GOOGLETRANSLATE(A4002, ""nl"", ""en"")"),"Human Figures and Physicality")</f>
        <v>Human Figures and Physicality</v>
      </c>
      <c r="E4002" s="3" t="str">
        <f>IFERROR(__xludf.DUMMYFUNCTION("GOOGLETRANSLATE(B4002, ""nl"", ""en"")"),"A figure who is withdrawn into himself")</f>
        <v>A figure who is withdrawn into himself</v>
      </c>
    </row>
    <row r="4003" ht="15.75" customHeight="1">
      <c r="A4003" s="3" t="s">
        <v>24</v>
      </c>
      <c r="B4003" s="3" t="s">
        <v>25</v>
      </c>
      <c r="D4003" s="3" t="str">
        <f>IFERROR(__xludf.DUMMYFUNCTION("GOOGLETRANSLATE(A4003, ""nl"", ""en"")"),"Cosmic and Abstract Patterns")</f>
        <v>Cosmic and Abstract Patterns</v>
      </c>
      <c r="E4003" s="3" t="str">
        <f>IFERROR(__xludf.DUMMYFUNCTION("GOOGLETRANSLATE(B4003, ""nl"", ""en"")"),"A meteor shower dissolving into each other")</f>
        <v>A meteor shower dissolving into each other</v>
      </c>
    </row>
    <row r="4004" ht="15.75" customHeight="1">
      <c r="A4004" s="3" t="s">
        <v>4</v>
      </c>
      <c r="B4004" s="3" t="s">
        <v>5</v>
      </c>
      <c r="D4004" s="3" t="str">
        <f>IFERROR(__xludf.DUMMYFUNCTION("GOOGLETRANSLATE(A4004, ""nl"", ""en"")"),"Architectural and Structural Associations")</f>
        <v>Architectural and Structural Associations</v>
      </c>
      <c r="E4004" s="3" t="str">
        <f>IFERROR(__xludf.DUMMYFUNCTION("GOOGLETRANSLATE(B4004, ""nl"", ""en"")"),"A cathedral shaped from mist")</f>
        <v>A cathedral shaped from mist</v>
      </c>
    </row>
    <row r="4005" ht="15.75" customHeight="1">
      <c r="A4005" s="3" t="s">
        <v>24</v>
      </c>
      <c r="B4005" s="3" t="s">
        <v>48</v>
      </c>
      <c r="D4005" s="3" t="str">
        <f>IFERROR(__xludf.DUMMYFUNCTION("GOOGLETRANSLATE(A4005, ""nl"", ""en"")"),"Cosmic and Abstract Patterns")</f>
        <v>Cosmic and Abstract Patterns</v>
      </c>
      <c r="E4005" s="3" t="str">
        <f>IFERROR(__xludf.DUMMYFUNCTION("GOOGLETRANSLATE(B4005, ""nl"", ""en"")"),"A fractal that repeats itself")</f>
        <v>A fractal that repeats itself</v>
      </c>
    </row>
    <row r="4006" ht="15.75" customHeight="1">
      <c r="A4006" s="3" t="s">
        <v>12</v>
      </c>
      <c r="B4006" s="3" t="s">
        <v>47</v>
      </c>
      <c r="D4006" s="3" t="str">
        <f>IFERROR(__xludf.DUMMYFUNCTION("GOOGLETRANSLATE(A4006, ""nl"", ""en"")"),"Nature and Elements")</f>
        <v>Nature and Elements</v>
      </c>
      <c r="E4006" s="3" t="str">
        <f>IFERROR(__xludf.DUMMYFUNCTION("GOOGLETRANSLATE(B4006, ""nl"", ""en"")"),"A desert landscape that slowly changes")</f>
        <v>A desert landscape that slowly changes</v>
      </c>
    </row>
    <row r="4007" ht="15.75" customHeight="1">
      <c r="A4007" s="3" t="s">
        <v>4</v>
      </c>
      <c r="B4007" s="3" t="s">
        <v>35</v>
      </c>
      <c r="D4007" s="3" t="str">
        <f>IFERROR(__xludf.DUMMYFUNCTION("GOOGLETRANSLATE(A4007, ""nl"", ""en"")"),"Architectural and Structural Associations")</f>
        <v>Architectural and Structural Associations</v>
      </c>
      <c r="E4007" s="3" t="str">
        <f>IFERROR(__xludf.DUMMYFUNCTION("GOOGLETRANSLATE(B4007, ""nl"", ""en"")"),"A floating building without a base")</f>
        <v>A floating building without a base</v>
      </c>
    </row>
    <row r="4008" ht="15.75" customHeight="1">
      <c r="A4008" s="3" t="s">
        <v>4</v>
      </c>
      <c r="B4008" s="3" t="s">
        <v>6</v>
      </c>
      <c r="D4008" s="3" t="str">
        <f>IFERROR(__xludf.DUMMYFUNCTION("GOOGLETRANSLATE(A4008, ""nl"", ""en"")"),"Architectural and Structural Associations")</f>
        <v>Architectural and Structural Associations</v>
      </c>
      <c r="E4008" s="3" t="str">
        <f>IFERROR(__xludf.DUMMYFUNCTION("GOOGLETRANSLATE(B4008, ""nl"", ""en"")"),"An endless labyrinth")</f>
        <v>An endless labyrinth</v>
      </c>
    </row>
    <row r="4009" ht="15.75" customHeight="1">
      <c r="A4009" s="3" t="s">
        <v>9</v>
      </c>
      <c r="B4009" s="3" t="s">
        <v>17</v>
      </c>
      <c r="D4009" s="3" t="str">
        <f>IFERROR(__xludf.DUMMYFUNCTION("GOOGLETRANSLATE(A4009, ""nl"", ""en"")"),"Psychological and Emotional Interpretations")</f>
        <v>Psychological and Emotional Interpretations</v>
      </c>
      <c r="E4009" s="3" t="str">
        <f>IFERROR(__xludf.DUMMYFUNCTION("GOOGLETRANSLATE(B4009, ""nl"", ""en"")"),"A figure that seems to melt")</f>
        <v>A figure that seems to melt</v>
      </c>
    </row>
    <row r="4010" ht="15.75" customHeight="1">
      <c r="A4010" s="3" t="s">
        <v>15</v>
      </c>
      <c r="B4010" s="3" t="s">
        <v>46</v>
      </c>
      <c r="D4010" s="3" t="str">
        <f>IFERROR(__xludf.DUMMYFUNCTION("GOOGLETRANSLATE(A4010, ""nl"", ""en"")"),"Animals and Organic Forms")</f>
        <v>Animals and Organic Forms</v>
      </c>
      <c r="E4010" s="3" t="str">
        <f>IFERROR(__xludf.DUMMYFUNCTION("GOOGLETRANSLATE(B4010, ""nl"", ""en"")"),"A flock of fish moving as one")</f>
        <v>A flock of fish moving as one</v>
      </c>
    </row>
    <row r="4011" ht="15.75" customHeight="1">
      <c r="A4011" s="3" t="s">
        <v>9</v>
      </c>
      <c r="B4011" s="3" t="s">
        <v>14</v>
      </c>
      <c r="D4011" s="3" t="str">
        <f>IFERROR(__xludf.DUMMYFUNCTION("GOOGLETRANSLATE(A4011, ""nl"", ""en"")"),"Psychological and Emotional Interpretations")</f>
        <v>Psychological and Emotional Interpretations</v>
      </c>
      <c r="E4011" s="3" t="str">
        <f>IFERROR(__xludf.DUMMYFUNCTION("GOOGLETRANSLATE(B4011, ""nl"", ""en"")"),"An unclear hug")</f>
        <v>An unclear hug</v>
      </c>
    </row>
    <row r="4012" ht="15.75" customHeight="1">
      <c r="A4012" s="3" t="s">
        <v>24</v>
      </c>
      <c r="B4012" s="3" t="s">
        <v>33</v>
      </c>
      <c r="D4012" s="3" t="str">
        <f>IFERROR(__xludf.DUMMYFUNCTION("GOOGLETRANSLATE(A4012, ""nl"", ""en"")"),"Cosmic and Abstract Patterns")</f>
        <v>Cosmic and Abstract Patterns</v>
      </c>
      <c r="E4012" s="3" t="str">
        <f>IFERROR(__xludf.DUMMYFUNCTION("GOOGLETRANSLATE(B4012, ""nl"", ""en"")"),"An eye that repeats itself in endless patterns")</f>
        <v>An eye that repeats itself in endless patterns</v>
      </c>
    </row>
    <row r="4013" ht="15.75" customHeight="1">
      <c r="A4013" s="3" t="s">
        <v>7</v>
      </c>
      <c r="B4013" s="3" t="s">
        <v>41</v>
      </c>
      <c r="D4013" s="3" t="str">
        <f>IFERROR(__xludf.DUMMYFUNCTION("GOOGLETRANSLATE(A4013, ""nl"", ""en"")"),"Human Figures and Physicality")</f>
        <v>Human Figures and Physicality</v>
      </c>
      <c r="E4013" s="3" t="str">
        <f>IFERROR(__xludf.DUMMYFUNCTION("GOOGLETRANSLATE(B4013, ""nl"", ""en"")"),"A face that fades into abstraction")</f>
        <v>A face that fades into abstraction</v>
      </c>
    </row>
    <row r="4014" ht="15.75" customHeight="1">
      <c r="A4014" s="3" t="s">
        <v>9</v>
      </c>
      <c r="B4014" s="3" t="s">
        <v>10</v>
      </c>
      <c r="D4014" s="3" t="str">
        <f>IFERROR(__xludf.DUMMYFUNCTION("GOOGLETRANSLATE(A4014, ""nl"", ""en"")"),"Psychological and Emotional Interpretations")</f>
        <v>Psychological and Emotional Interpretations</v>
      </c>
      <c r="E4014" s="3" t="str">
        <f>IFERROR(__xludf.DUMMYFUNCTION("GOOGLETRANSLATE(B4014, ""nl"", ""en"")"),"A face transforming in light")</f>
        <v>A face transforming in light</v>
      </c>
    </row>
    <row r="4015" ht="15.75" customHeight="1">
      <c r="A4015" s="3" t="s">
        <v>12</v>
      </c>
      <c r="B4015" s="3" t="s">
        <v>18</v>
      </c>
      <c r="D4015" s="3" t="str">
        <f>IFERROR(__xludf.DUMMYFUNCTION("GOOGLETRANSLATE(A4015, ""nl"", ""en"")"),"Nature and Elements")</f>
        <v>Nature and Elements</v>
      </c>
      <c r="E4015" s="3" t="str">
        <f>IFERROR(__xludf.DUMMYFUNCTION("GOOGLETRANSLATE(B4015, ""nl"", ""en"")"),"A tree with endless branches")</f>
        <v>A tree with endless branches</v>
      </c>
    </row>
    <row r="4016" ht="15.75" customHeight="1">
      <c r="A4016" s="3" t="s">
        <v>15</v>
      </c>
      <c r="B4016" s="3" t="s">
        <v>22</v>
      </c>
      <c r="D4016" s="3" t="str">
        <f>IFERROR(__xludf.DUMMYFUNCTION("GOOGLETRANSLATE(A4016, ""nl"", ""en"")"),"Animals and Organic Forms")</f>
        <v>Animals and Organic Forms</v>
      </c>
      <c r="E4016" s="3" t="str">
        <f>IFERROR(__xludf.DUMMYFUNCTION("GOOGLETRANSLATE(B4016, ""nl"", ""en"")"),"A bird taking off")</f>
        <v>A bird taking off</v>
      </c>
    </row>
    <row r="4017" ht="15.75" customHeight="1">
      <c r="A4017" s="3" t="s">
        <v>24</v>
      </c>
      <c r="B4017" s="3" t="s">
        <v>48</v>
      </c>
      <c r="D4017" s="3" t="str">
        <f>IFERROR(__xludf.DUMMYFUNCTION("GOOGLETRANSLATE(A4017, ""nl"", ""en"")"),"Cosmic and Abstract Patterns")</f>
        <v>Cosmic and Abstract Patterns</v>
      </c>
      <c r="E4017" s="3" t="str">
        <f>IFERROR(__xludf.DUMMYFUNCTION("GOOGLETRANSLATE(B4017, ""nl"", ""en"")"),"A fractal that repeats itself")</f>
        <v>A fractal that repeats itself</v>
      </c>
    </row>
    <row r="4018" ht="15.75" customHeight="1">
      <c r="A4018" s="3" t="s">
        <v>12</v>
      </c>
      <c r="B4018" s="3" t="s">
        <v>18</v>
      </c>
      <c r="D4018" s="3" t="str">
        <f>IFERROR(__xludf.DUMMYFUNCTION("GOOGLETRANSLATE(A4018, ""nl"", ""en"")"),"Nature and Elements")</f>
        <v>Nature and Elements</v>
      </c>
      <c r="E4018" s="3" t="str">
        <f>IFERROR(__xludf.DUMMYFUNCTION("GOOGLETRANSLATE(B4018, ""nl"", ""en"")"),"A tree with endless branches")</f>
        <v>A tree with endless branches</v>
      </c>
    </row>
    <row r="4019" ht="15.75" customHeight="1">
      <c r="A4019" s="3" t="s">
        <v>9</v>
      </c>
      <c r="B4019" s="3" t="s">
        <v>57</v>
      </c>
      <c r="D4019" s="3" t="str">
        <f>IFERROR(__xludf.DUMMYFUNCTION("GOOGLETRANSLATE(A4019, ""nl"", ""en"")"),"Psychological and Emotional Interpretations")</f>
        <v>Psychological and Emotional Interpretations</v>
      </c>
      <c r="E4019" s="3" t="str">
        <f>IFERROR(__xludf.DUMMYFUNCTION("GOOGLETRANSLATE(B4019, ""nl"", ""en"")"),"An explosion of colours and feelings")</f>
        <v>An explosion of colours and feelings</v>
      </c>
    </row>
    <row r="4020" ht="15.75" customHeight="1">
      <c r="A4020" s="3" t="s">
        <v>7</v>
      </c>
      <c r="B4020" s="3" t="s">
        <v>53</v>
      </c>
      <c r="D4020" s="3" t="str">
        <f>IFERROR(__xludf.DUMMYFUNCTION("GOOGLETRANSLATE(A4020, ""nl"", ""en"")"),"Human Figures and Physicality")</f>
        <v>Human Figures and Physicality</v>
      </c>
      <c r="E4020" s="3" t="str">
        <f>IFERROR(__xludf.DUMMYFUNCTION("GOOGLETRANSLATE(B4020, ""nl"", ""en"")"),"A face that both smiles and cries")</f>
        <v>A face that both smiles and cries</v>
      </c>
    </row>
    <row r="4021" ht="15.75" customHeight="1">
      <c r="A4021" s="3" t="s">
        <v>15</v>
      </c>
      <c r="B4021" s="3" t="s">
        <v>52</v>
      </c>
      <c r="D4021" s="3" t="str">
        <f>IFERROR(__xludf.DUMMYFUNCTION("GOOGLETRANSLATE(A4021, ""nl"", ""en"")"),"Animals and Organic Forms")</f>
        <v>Animals and Organic Forms</v>
      </c>
      <c r="E4021" s="3" t="str">
        <f>IFERROR(__xludf.DUMMYFUNCTION("GOOGLETRANSLATE(B4021, ""nl"", ""en"")"),"A mask made of leaves")</f>
        <v>A mask made of leaves</v>
      </c>
    </row>
    <row r="4022" ht="15.75" customHeight="1">
      <c r="A4022" s="3" t="s">
        <v>4</v>
      </c>
      <c r="B4022" s="3" t="s">
        <v>5</v>
      </c>
      <c r="D4022" s="3" t="str">
        <f>IFERROR(__xludf.DUMMYFUNCTION("GOOGLETRANSLATE(A4022, ""nl"", ""en"")"),"Architectural and Structural Associations")</f>
        <v>Architectural and Structural Associations</v>
      </c>
      <c r="E4022" s="3" t="str">
        <f>IFERROR(__xludf.DUMMYFUNCTION("GOOGLETRANSLATE(B4022, ""nl"", ""en"")"),"A cathedral shaped from mist")</f>
        <v>A cathedral shaped from mist</v>
      </c>
    </row>
    <row r="4023" ht="15.75" customHeight="1">
      <c r="A4023" s="3" t="s">
        <v>12</v>
      </c>
      <c r="B4023" s="3" t="s">
        <v>47</v>
      </c>
      <c r="D4023" s="3" t="str">
        <f>IFERROR(__xludf.DUMMYFUNCTION("GOOGLETRANSLATE(A4023, ""nl"", ""en"")"),"Nature and Elements")</f>
        <v>Nature and Elements</v>
      </c>
      <c r="E4023" s="3" t="str">
        <f>IFERROR(__xludf.DUMMYFUNCTION("GOOGLETRANSLATE(B4023, ""nl"", ""en"")"),"A desert landscape that slowly changes")</f>
        <v>A desert landscape that slowly changes</v>
      </c>
    </row>
    <row r="4024" ht="15.75" customHeight="1">
      <c r="A4024" s="3" t="s">
        <v>12</v>
      </c>
      <c r="B4024" s="3" t="s">
        <v>47</v>
      </c>
      <c r="D4024" s="3" t="str">
        <f>IFERROR(__xludf.DUMMYFUNCTION("GOOGLETRANSLATE(A4024, ""nl"", ""en"")"),"Nature and Elements")</f>
        <v>Nature and Elements</v>
      </c>
      <c r="E4024" s="3" t="str">
        <f>IFERROR(__xludf.DUMMYFUNCTION("GOOGLETRANSLATE(B4024, ""nl"", ""en"")"),"A desert landscape that slowly changes")</f>
        <v>A desert landscape that slowly changes</v>
      </c>
    </row>
    <row r="4025" ht="15.75" customHeight="1">
      <c r="A4025" s="3" t="s">
        <v>7</v>
      </c>
      <c r="B4025" s="3" t="s">
        <v>53</v>
      </c>
      <c r="D4025" s="3" t="str">
        <f>IFERROR(__xludf.DUMMYFUNCTION("GOOGLETRANSLATE(A4025, ""nl"", ""en"")"),"Human Figures and Physicality")</f>
        <v>Human Figures and Physicality</v>
      </c>
      <c r="E4025" s="3" t="str">
        <f>IFERROR(__xludf.DUMMYFUNCTION("GOOGLETRANSLATE(B4025, ""nl"", ""en"")"),"A face that both smiles and cries")</f>
        <v>A face that both smiles and cries</v>
      </c>
    </row>
    <row r="4026" ht="15.75" customHeight="1">
      <c r="A4026" s="3" t="s">
        <v>12</v>
      </c>
      <c r="B4026" s="3" t="s">
        <v>51</v>
      </c>
      <c r="D4026" s="3" t="str">
        <f>IFERROR(__xludf.DUMMYFUNCTION("GOOGLETRANSLATE(A4026, ""nl"", ""en"")"),"Nature and Elements")</f>
        <v>Nature and Elements</v>
      </c>
      <c r="E4026" s="3" t="str">
        <f>IFERROR(__xludf.DUMMYFUNCTION("GOOGLETRANSLATE(B4026, ""nl"", ""en"")"),"An evaporating puddle of water")</f>
        <v>An evaporating puddle of water</v>
      </c>
    </row>
    <row r="4027" ht="15.75" customHeight="1">
      <c r="A4027" s="3" t="s">
        <v>24</v>
      </c>
      <c r="B4027" s="3" t="s">
        <v>48</v>
      </c>
      <c r="D4027" s="3" t="str">
        <f>IFERROR(__xludf.DUMMYFUNCTION("GOOGLETRANSLATE(A4027, ""nl"", ""en"")"),"Cosmic and Abstract Patterns")</f>
        <v>Cosmic and Abstract Patterns</v>
      </c>
      <c r="E4027" s="3" t="str">
        <f>IFERROR(__xludf.DUMMYFUNCTION("GOOGLETRANSLATE(B4027, ""nl"", ""en"")"),"A fractal that repeats itself")</f>
        <v>A fractal that repeats itself</v>
      </c>
    </row>
    <row r="4028" ht="15.75" customHeight="1">
      <c r="A4028" s="3" t="s">
        <v>7</v>
      </c>
      <c r="B4028" s="3" t="s">
        <v>28</v>
      </c>
      <c r="D4028" s="3" t="str">
        <f>IFERROR(__xludf.DUMMYFUNCTION("GOOGLETRANSLATE(A4028, ""nl"", ""en"")"),"Human Figures and Physicality")</f>
        <v>Human Figures and Physicality</v>
      </c>
      <c r="E4028" s="3" t="str">
        <f>IFERROR(__xludf.DUMMYFUNCTION("GOOGLETRANSLATE(B4028, ""nl"", ""en"")"),"A dancing silhouette")</f>
        <v>A dancing silhouette</v>
      </c>
    </row>
    <row r="4029" ht="15.75" customHeight="1">
      <c r="A4029" s="3" t="s">
        <v>24</v>
      </c>
      <c r="B4029" s="3" t="s">
        <v>29</v>
      </c>
      <c r="D4029" s="3" t="str">
        <f>IFERROR(__xludf.DUMMYFUNCTION("GOOGLETRANSLATE(A4029, ""nl"", ""en"")"),"Cosmic and Abstract Patterns")</f>
        <v>Cosmic and Abstract Patterns</v>
      </c>
      <c r="E4029" s="3" t="str">
        <f>IFERROR(__xludf.DUMMYFUNCTION("GOOGLETRANSLATE(B4029, ""nl"", ""en"")"),"A galaxy unfolding")</f>
        <v>A galaxy unfolding</v>
      </c>
    </row>
    <row r="4030" ht="15.75" customHeight="1">
      <c r="A4030" s="3" t="s">
        <v>9</v>
      </c>
      <c r="B4030" s="3" t="s">
        <v>49</v>
      </c>
      <c r="D4030" s="3" t="str">
        <f>IFERROR(__xludf.DUMMYFUNCTION("GOOGLETRANSLATE(A4030, ""nl"", ""en"")"),"Psychological and Emotional Interpretations")</f>
        <v>Psychological and Emotional Interpretations</v>
      </c>
      <c r="E4030" s="3" t="str">
        <f>IFERROR(__xludf.DUMMYFUNCTION("GOOGLETRANSLATE(B4030, ""nl"", ""en"")"),"A spiral that turns inward")</f>
        <v>A spiral that turns inward</v>
      </c>
    </row>
    <row r="4031" ht="15.75" customHeight="1">
      <c r="A4031" s="3" t="s">
        <v>12</v>
      </c>
      <c r="B4031" s="3" t="s">
        <v>23</v>
      </c>
      <c r="D4031" s="3" t="str">
        <f>IFERROR(__xludf.DUMMYFUNCTION("GOOGLETRANSLATE(A4031, ""nl"", ""en"")"),"Nature and Elements")</f>
        <v>Nature and Elements</v>
      </c>
      <c r="E4031" s="3" t="str">
        <f>IFERROR(__xludf.DUMMYFUNCTION("GOOGLETRANSLATE(B4031, ""nl"", ""en"")"),"A storm cloud splitting in two")</f>
        <v>A storm cloud splitting in two</v>
      </c>
    </row>
    <row r="4032" ht="15.75" customHeight="1">
      <c r="A4032" s="3" t="s">
        <v>12</v>
      </c>
      <c r="B4032" s="3" t="s">
        <v>36</v>
      </c>
      <c r="D4032" s="3" t="str">
        <f>IFERROR(__xludf.DUMMYFUNCTION("GOOGLETRANSLATE(A4032, ""nl"", ""en"")"),"Nature and Elements")</f>
        <v>Nature and Elements</v>
      </c>
      <c r="E4032" s="3" t="str">
        <f>IFERROR(__xludf.DUMMYFUNCTION("GOOGLETRANSLATE(B4032, ""nl"", ""en"")"),"A river delta from a bird's-eye view")</f>
        <v>A river delta from a bird's-eye view</v>
      </c>
    </row>
    <row r="4033" ht="15.75" customHeight="1">
      <c r="A4033" s="3" t="s">
        <v>4</v>
      </c>
      <c r="B4033" s="3" t="s">
        <v>6</v>
      </c>
      <c r="D4033" s="3" t="str">
        <f>IFERROR(__xludf.DUMMYFUNCTION("GOOGLETRANSLATE(A4033, ""nl"", ""en"")"),"Architectural and Structural Associations")</f>
        <v>Architectural and Structural Associations</v>
      </c>
      <c r="E4033" s="3" t="str">
        <f>IFERROR(__xludf.DUMMYFUNCTION("GOOGLETRANSLATE(B4033, ""nl"", ""en"")"),"An endless labyrinth")</f>
        <v>An endless labyrinth</v>
      </c>
    </row>
    <row r="4034" ht="15.75" customHeight="1">
      <c r="A4034" s="3" t="s">
        <v>9</v>
      </c>
      <c r="B4034" s="3" t="s">
        <v>10</v>
      </c>
      <c r="D4034" s="3" t="str">
        <f>IFERROR(__xludf.DUMMYFUNCTION("GOOGLETRANSLATE(A4034, ""nl"", ""en"")"),"Psychological and Emotional Interpretations")</f>
        <v>Psychological and Emotional Interpretations</v>
      </c>
      <c r="E4034" s="3" t="str">
        <f>IFERROR(__xludf.DUMMYFUNCTION("GOOGLETRANSLATE(B4034, ""nl"", ""en"")"),"A face transforming in light")</f>
        <v>A face transforming in light</v>
      </c>
    </row>
    <row r="4035" ht="15.75" customHeight="1">
      <c r="A4035" s="3" t="s">
        <v>9</v>
      </c>
      <c r="B4035" s="3" t="s">
        <v>17</v>
      </c>
      <c r="D4035" s="3" t="str">
        <f>IFERROR(__xludf.DUMMYFUNCTION("GOOGLETRANSLATE(A4035, ""nl"", ""en"")"),"Psychological and Emotional Interpretations")</f>
        <v>Psychological and Emotional Interpretations</v>
      </c>
      <c r="E4035" s="3" t="str">
        <f>IFERROR(__xludf.DUMMYFUNCTION("GOOGLETRANSLATE(B4035, ""nl"", ""en"")"),"A figure that seems to melt")</f>
        <v>A figure that seems to melt</v>
      </c>
    </row>
    <row r="4036" ht="15.75" customHeight="1">
      <c r="A4036" s="3" t="s">
        <v>15</v>
      </c>
      <c r="B4036" s="3" t="s">
        <v>45</v>
      </c>
      <c r="D4036" s="3" t="str">
        <f>IFERROR(__xludf.DUMMYFUNCTION("GOOGLETRANSLATE(A4036, ""nl"", ""en"")"),"Animals and Organic Forms")</f>
        <v>Animals and Organic Forms</v>
      </c>
      <c r="E4036" s="3" t="str">
        <f>IFERROR(__xludf.DUMMYFUNCTION("GOOGLETRANSLATE(B4036, ""nl"", ""en"")"),"A snake biting its own tail")</f>
        <v>A snake biting its own tail</v>
      </c>
    </row>
    <row r="4037" ht="15.75" customHeight="1">
      <c r="A4037" s="3" t="s">
        <v>24</v>
      </c>
      <c r="B4037" s="3" t="s">
        <v>27</v>
      </c>
      <c r="D4037" s="3" t="str">
        <f>IFERROR(__xludf.DUMMYFUNCTION("GOOGLETRANSLATE(A4037, ""nl"", ""en"")"),"Cosmic and Abstract Patterns")</f>
        <v>Cosmic and Abstract Patterns</v>
      </c>
      <c r="E4037" s="3" t="str">
        <f>IFERROR(__xludf.DUMMYFUNCTION("GOOGLETRANSLATE(B4037, ""nl"", ""en"")"),"A pair of black holes in dance")</f>
        <v>A pair of black holes in dance</v>
      </c>
    </row>
    <row r="4038" ht="15.75" customHeight="1">
      <c r="A4038" s="3" t="s">
        <v>7</v>
      </c>
      <c r="B4038" s="3" t="s">
        <v>34</v>
      </c>
      <c r="D4038" s="3" t="str">
        <f>IFERROR(__xludf.DUMMYFUNCTION("GOOGLETRANSLATE(A4038, ""nl"", ""en"")"),"Human Figures and Physicality")</f>
        <v>Human Figures and Physicality</v>
      </c>
      <c r="E4038" s="3" t="str">
        <f>IFERROR(__xludf.DUMMYFUNCTION("GOOGLETRANSLATE(B4038, ""nl"", ""en"")"),"Hands almost touching")</f>
        <v>Hands almost touching</v>
      </c>
    </row>
    <row r="4039" ht="15.75" customHeight="1">
      <c r="A4039" s="3" t="s">
        <v>9</v>
      </c>
      <c r="B4039" s="3" t="s">
        <v>14</v>
      </c>
      <c r="D4039" s="3" t="str">
        <f>IFERROR(__xludf.DUMMYFUNCTION("GOOGLETRANSLATE(A4039, ""nl"", ""en"")"),"Psychological and Emotional Interpretations")</f>
        <v>Psychological and Emotional Interpretations</v>
      </c>
      <c r="E4039" s="3" t="str">
        <f>IFERROR(__xludf.DUMMYFUNCTION("GOOGLETRANSLATE(B4039, ""nl"", ""en"")"),"An unclear hug")</f>
        <v>An unclear hug</v>
      </c>
    </row>
    <row r="4040" ht="15.75" customHeight="1">
      <c r="A4040" s="3" t="s">
        <v>7</v>
      </c>
      <c r="B4040" s="3" t="s">
        <v>53</v>
      </c>
      <c r="D4040" s="3" t="str">
        <f>IFERROR(__xludf.DUMMYFUNCTION("GOOGLETRANSLATE(A4040, ""nl"", ""en"")"),"Human Figures and Physicality")</f>
        <v>Human Figures and Physicality</v>
      </c>
      <c r="E4040" s="3" t="str">
        <f>IFERROR(__xludf.DUMMYFUNCTION("GOOGLETRANSLATE(B4040, ""nl"", ""en"")"),"A face that both smiles and cries")</f>
        <v>A face that both smiles and cries</v>
      </c>
    </row>
    <row r="4041" ht="15.75" customHeight="1">
      <c r="A4041" s="3" t="s">
        <v>7</v>
      </c>
      <c r="B4041" s="3" t="s">
        <v>8</v>
      </c>
      <c r="D4041" s="3" t="str">
        <f>IFERROR(__xludf.DUMMYFUNCTION("GOOGLETRANSLATE(A4041, ""nl"", ""en"")"),"Human Figures and Physicality")</f>
        <v>Human Figures and Physicality</v>
      </c>
      <c r="E4041" s="3" t="str">
        <f>IFERROR(__xludf.DUMMYFUNCTION("GOOGLETRANSLATE(B4041, ""nl"", ""en"")"),"Two figures mirroring each other")</f>
        <v>Two figures mirroring each other</v>
      </c>
    </row>
    <row r="4042" ht="15.75" customHeight="1">
      <c r="A4042" s="3" t="s">
        <v>15</v>
      </c>
      <c r="B4042" s="3" t="s">
        <v>46</v>
      </c>
      <c r="D4042" s="3" t="str">
        <f>IFERROR(__xludf.DUMMYFUNCTION("GOOGLETRANSLATE(A4042, ""nl"", ""en"")"),"Animals and Organic Forms")</f>
        <v>Animals and Organic Forms</v>
      </c>
      <c r="E4042" s="3" t="str">
        <f>IFERROR(__xludf.DUMMYFUNCTION("GOOGLETRANSLATE(B4042, ""nl"", ""en"")"),"A flock of fish moving as one")</f>
        <v>A flock of fish moving as one</v>
      </c>
    </row>
    <row r="4043" ht="15.75" customHeight="1">
      <c r="A4043" s="3" t="s">
        <v>7</v>
      </c>
      <c r="B4043" s="3" t="s">
        <v>34</v>
      </c>
      <c r="D4043" s="3" t="str">
        <f>IFERROR(__xludf.DUMMYFUNCTION("GOOGLETRANSLATE(A4043, ""nl"", ""en"")"),"Human Figures and Physicality")</f>
        <v>Human Figures and Physicality</v>
      </c>
      <c r="E4043" s="3" t="str">
        <f>IFERROR(__xludf.DUMMYFUNCTION("GOOGLETRANSLATE(B4043, ""nl"", ""en"")"),"Hands almost touching")</f>
        <v>Hands almost touching</v>
      </c>
    </row>
    <row r="4044" ht="15.75" customHeight="1">
      <c r="A4044" s="3" t="s">
        <v>9</v>
      </c>
      <c r="B4044" s="3" t="s">
        <v>14</v>
      </c>
      <c r="D4044" s="3" t="str">
        <f>IFERROR(__xludf.DUMMYFUNCTION("GOOGLETRANSLATE(A4044, ""nl"", ""en"")"),"Psychological and Emotional Interpretations")</f>
        <v>Psychological and Emotional Interpretations</v>
      </c>
      <c r="E4044" s="3" t="str">
        <f>IFERROR(__xludf.DUMMYFUNCTION("GOOGLETRANSLATE(B4044, ""nl"", ""en"")"),"An unclear hug")</f>
        <v>An unclear hug</v>
      </c>
    </row>
    <row r="4045" ht="15.75" customHeight="1">
      <c r="A4045" s="3" t="s">
        <v>7</v>
      </c>
      <c r="B4045" s="3" t="s">
        <v>53</v>
      </c>
      <c r="D4045" s="3" t="str">
        <f>IFERROR(__xludf.DUMMYFUNCTION("GOOGLETRANSLATE(A4045, ""nl"", ""en"")"),"Human Figures and Physicality")</f>
        <v>Human Figures and Physicality</v>
      </c>
      <c r="E4045" s="3" t="str">
        <f>IFERROR(__xludf.DUMMYFUNCTION("GOOGLETRANSLATE(B4045, ""nl"", ""en"")"),"A face that both smiles and cries")</f>
        <v>A face that both smiles and cries</v>
      </c>
    </row>
    <row r="4046" ht="15.75" customHeight="1">
      <c r="A4046" s="3" t="s">
        <v>9</v>
      </c>
      <c r="B4046" s="3" t="s">
        <v>57</v>
      </c>
      <c r="D4046" s="3" t="str">
        <f>IFERROR(__xludf.DUMMYFUNCTION("GOOGLETRANSLATE(A4046, ""nl"", ""en"")"),"Psychological and Emotional Interpretations")</f>
        <v>Psychological and Emotional Interpretations</v>
      </c>
      <c r="E4046" s="3" t="str">
        <f>IFERROR(__xludf.DUMMYFUNCTION("GOOGLETRANSLATE(B4046, ""nl"", ""en"")"),"An explosion of colours and feelings")</f>
        <v>An explosion of colours and feelings</v>
      </c>
    </row>
    <row r="4047" ht="15.75" customHeight="1">
      <c r="A4047" s="3" t="s">
        <v>24</v>
      </c>
      <c r="B4047" s="3" t="s">
        <v>32</v>
      </c>
      <c r="D4047" s="3" t="str">
        <f>IFERROR(__xludf.DUMMYFUNCTION("GOOGLETRANSLATE(A4047, ""nl"", ""en"")"),"Cosmic and Abstract Patterns")</f>
        <v>Cosmic and Abstract Patterns</v>
      </c>
      <c r="E4047" s="3" t="str">
        <f>IFERROR(__xludf.DUMMYFUNCTION("GOOGLETRANSLATE(B4047, ""nl"", ""en"")"),"A time loop captured in image")</f>
        <v>A time loop captured in image</v>
      </c>
    </row>
    <row r="4048" ht="15.75" customHeight="1">
      <c r="A4048" s="3" t="s">
        <v>7</v>
      </c>
      <c r="B4048" s="3" t="s">
        <v>53</v>
      </c>
      <c r="D4048" s="3" t="str">
        <f>IFERROR(__xludf.DUMMYFUNCTION("GOOGLETRANSLATE(A4048, ""nl"", ""en"")"),"Human Figures and Physicality")</f>
        <v>Human Figures and Physicality</v>
      </c>
      <c r="E4048" s="3" t="str">
        <f>IFERROR(__xludf.DUMMYFUNCTION("GOOGLETRANSLATE(B4048, ""nl"", ""en"")"),"A face that both smiles and cries")</f>
        <v>A face that both smiles and cries</v>
      </c>
    </row>
    <row r="4049" ht="15.75" customHeight="1">
      <c r="A4049" s="3" t="s">
        <v>7</v>
      </c>
      <c r="B4049" s="3" t="s">
        <v>41</v>
      </c>
      <c r="D4049" s="3" t="str">
        <f>IFERROR(__xludf.DUMMYFUNCTION("GOOGLETRANSLATE(A4049, ""nl"", ""en"")"),"Human Figures and Physicality")</f>
        <v>Human Figures and Physicality</v>
      </c>
      <c r="E4049" s="3" t="str">
        <f>IFERROR(__xludf.DUMMYFUNCTION("GOOGLETRANSLATE(B4049, ""nl"", ""en"")"),"A face that fades into abstraction")</f>
        <v>A face that fades into abstraction</v>
      </c>
    </row>
    <row r="4050" ht="15.75" customHeight="1">
      <c r="A4050" s="3" t="s">
        <v>9</v>
      </c>
      <c r="B4050" s="3" t="s">
        <v>14</v>
      </c>
      <c r="D4050" s="3" t="str">
        <f>IFERROR(__xludf.DUMMYFUNCTION("GOOGLETRANSLATE(A4050, ""nl"", ""en"")"),"Psychological and Emotional Interpretations")</f>
        <v>Psychological and Emotional Interpretations</v>
      </c>
      <c r="E4050" s="3" t="str">
        <f>IFERROR(__xludf.DUMMYFUNCTION("GOOGLETRANSLATE(B4050, ""nl"", ""en"")"),"An unclear hug")</f>
        <v>An unclear hug</v>
      </c>
    </row>
    <row r="4051" ht="15.75" customHeight="1">
      <c r="A4051" s="3" t="s">
        <v>15</v>
      </c>
      <c r="B4051" s="3" t="s">
        <v>50</v>
      </c>
      <c r="D4051" s="3" t="str">
        <f>IFERROR(__xludf.DUMMYFUNCTION("GOOGLETRANSLATE(A4051, ""nl"", ""en"")"),"Animals and Organic Forms")</f>
        <v>Animals and Organic Forms</v>
      </c>
      <c r="E4051" s="3" t="str">
        <f>IFERROR(__xludf.DUMMYFUNCTION("GOOGLETRANSLATE(B4051, ""nl"", ""en"")"),"A squid with extended tentacles")</f>
        <v>A squid with extended tentacles</v>
      </c>
    </row>
    <row r="4052" ht="15.75" customHeight="1">
      <c r="A4052" s="3" t="s">
        <v>12</v>
      </c>
      <c r="B4052" s="3" t="s">
        <v>30</v>
      </c>
      <c r="D4052" s="3" t="str">
        <f>IFERROR(__xludf.DUMMYFUNCTION("GOOGLETRANSLATE(A4052, ""nl"", ""en"")"),"Nature and Elements")</f>
        <v>Nature and Elements</v>
      </c>
      <c r="E4052" s="3" t="str">
        <f>IFERROR(__xludf.DUMMYFUNCTION("GOOGLETRANSLATE(B4052, ""nl"", ""en"")"),"Waves breaking in fractal patterns")</f>
        <v>Waves breaking in fractal patterns</v>
      </c>
    </row>
    <row r="4053" ht="15.75" customHeight="1">
      <c r="A4053" s="3" t="s">
        <v>7</v>
      </c>
      <c r="B4053" s="3" t="s">
        <v>8</v>
      </c>
      <c r="D4053" s="3" t="str">
        <f>IFERROR(__xludf.DUMMYFUNCTION("GOOGLETRANSLATE(A4053, ""nl"", ""en"")"),"Human Figures and Physicality")</f>
        <v>Human Figures and Physicality</v>
      </c>
      <c r="E4053" s="3" t="str">
        <f>IFERROR(__xludf.DUMMYFUNCTION("GOOGLETRANSLATE(B4053, ""nl"", ""en"")"),"Two figures mirroring each other")</f>
        <v>Two figures mirroring each other</v>
      </c>
    </row>
    <row r="4054" ht="15.75" customHeight="1">
      <c r="A4054" s="3" t="s">
        <v>9</v>
      </c>
      <c r="B4054" s="3" t="s">
        <v>42</v>
      </c>
      <c r="D4054" s="3" t="str">
        <f>IFERROR(__xludf.DUMMYFUNCTION("GOOGLETRANSLATE(A4054, ""nl"", ""en"")"),"Psychological and Emotional Interpretations")</f>
        <v>Psychological and Emotional Interpretations</v>
      </c>
      <c r="E4054" s="3" t="str">
        <f>IFERROR(__xludf.DUMMYFUNCTION("GOOGLETRANSLATE(B4054, ""nl"", ""en"")"),"A mask that slowly disappears")</f>
        <v>A mask that slowly disappears</v>
      </c>
    </row>
    <row r="4055" ht="15.75" customHeight="1">
      <c r="A4055" s="3" t="s">
        <v>24</v>
      </c>
      <c r="B4055" s="3" t="s">
        <v>48</v>
      </c>
      <c r="D4055" s="3" t="str">
        <f>IFERROR(__xludf.DUMMYFUNCTION("GOOGLETRANSLATE(A4055, ""nl"", ""en"")"),"Cosmic and Abstract Patterns")</f>
        <v>Cosmic and Abstract Patterns</v>
      </c>
      <c r="E4055" s="3" t="str">
        <f>IFERROR(__xludf.DUMMYFUNCTION("GOOGLETRANSLATE(B4055, ""nl"", ""en"")"),"A fractal that repeats itself")</f>
        <v>A fractal that repeats itself</v>
      </c>
    </row>
    <row r="4056" ht="15.75" customHeight="1">
      <c r="A4056" s="3" t="s">
        <v>7</v>
      </c>
      <c r="B4056" s="3" t="s">
        <v>28</v>
      </c>
      <c r="D4056" s="3" t="str">
        <f>IFERROR(__xludf.DUMMYFUNCTION("GOOGLETRANSLATE(A4056, ""nl"", ""en"")"),"Human Figures and Physicality")</f>
        <v>Human Figures and Physicality</v>
      </c>
      <c r="E4056" s="3" t="str">
        <f>IFERROR(__xludf.DUMMYFUNCTION("GOOGLETRANSLATE(B4056, ""nl"", ""en"")"),"A dancing silhouette")</f>
        <v>A dancing silhouette</v>
      </c>
    </row>
    <row r="4057" ht="15.75" customHeight="1">
      <c r="A4057" s="3" t="s">
        <v>12</v>
      </c>
      <c r="B4057" s="3" t="s">
        <v>19</v>
      </c>
      <c r="D4057" s="3" t="str">
        <f>IFERROR(__xludf.DUMMYFUNCTION("GOOGLETRANSLATE(A4057, ""nl"", ""en"")"),"Nature and Elements")</f>
        <v>Nature and Elements</v>
      </c>
      <c r="E4057" s="3" t="str">
        <f>IFERROR(__xludf.DUMMYFUNCTION("GOOGLETRANSLATE(B4057, ""nl"", ""en"")"),"A mountain range that seems to breathe")</f>
        <v>A mountain range that seems to breathe</v>
      </c>
    </row>
    <row r="4058" ht="15.75" customHeight="1">
      <c r="A4058" s="3" t="s">
        <v>7</v>
      </c>
      <c r="B4058" s="3" t="s">
        <v>53</v>
      </c>
      <c r="D4058" s="3" t="str">
        <f>IFERROR(__xludf.DUMMYFUNCTION("GOOGLETRANSLATE(A4058, ""nl"", ""en"")"),"Human Figures and Physicality")</f>
        <v>Human Figures and Physicality</v>
      </c>
      <c r="E4058" s="3" t="str">
        <f>IFERROR(__xludf.DUMMYFUNCTION("GOOGLETRANSLATE(B4058, ""nl"", ""en"")"),"A face that both smiles and cries")</f>
        <v>A face that both smiles and cries</v>
      </c>
    </row>
    <row r="4059" ht="15.75" customHeight="1">
      <c r="A4059" s="3" t="s">
        <v>24</v>
      </c>
      <c r="B4059" s="3" t="s">
        <v>25</v>
      </c>
      <c r="D4059" s="3" t="str">
        <f>IFERROR(__xludf.DUMMYFUNCTION("GOOGLETRANSLATE(A4059, ""nl"", ""en"")"),"Cosmic and Abstract Patterns")</f>
        <v>Cosmic and Abstract Patterns</v>
      </c>
      <c r="E4059" s="3" t="str">
        <f>IFERROR(__xludf.DUMMYFUNCTION("GOOGLETRANSLATE(B4059, ""nl"", ""en"")"),"A meteor shower dissolving into each other")</f>
        <v>A meteor shower dissolving into each other</v>
      </c>
    </row>
    <row r="4060" ht="15.75" customHeight="1">
      <c r="A4060" s="3" t="s">
        <v>4</v>
      </c>
      <c r="B4060" s="3" t="s">
        <v>35</v>
      </c>
      <c r="D4060" s="3" t="str">
        <f>IFERROR(__xludf.DUMMYFUNCTION("GOOGLETRANSLATE(A4060, ""nl"", ""en"")"),"Architectural and Structural Associations")</f>
        <v>Architectural and Structural Associations</v>
      </c>
      <c r="E4060" s="3" t="str">
        <f>IFERROR(__xludf.DUMMYFUNCTION("GOOGLETRANSLATE(B4060, ""nl"", ""en"")"),"A floating building without a base")</f>
        <v>A floating building without a base</v>
      </c>
    </row>
    <row r="4061" ht="15.75" customHeight="1">
      <c r="A4061" s="3" t="s">
        <v>9</v>
      </c>
      <c r="B4061" s="3" t="s">
        <v>37</v>
      </c>
      <c r="D4061" s="3" t="str">
        <f>IFERROR(__xludf.DUMMYFUNCTION("GOOGLETRANSLATE(A4061, ""nl"", ""en"")"),"Psychological and Emotional Interpretations")</f>
        <v>Psychological and Emotional Interpretations</v>
      </c>
      <c r="E4061" s="3" t="str">
        <f>IFERROR(__xludf.DUMMYFUNCTION("GOOGLETRANSLATE(B4061, ""nl"", ""en"")"),"A figure looking through itself")</f>
        <v>A figure looking through itself</v>
      </c>
    </row>
    <row r="4062" ht="15.75" customHeight="1">
      <c r="A4062" s="3" t="s">
        <v>15</v>
      </c>
      <c r="B4062" s="3" t="s">
        <v>52</v>
      </c>
      <c r="D4062" s="3" t="str">
        <f>IFERROR(__xludf.DUMMYFUNCTION("GOOGLETRANSLATE(A4062, ""nl"", ""en"")"),"Animals and Organic Forms")</f>
        <v>Animals and Organic Forms</v>
      </c>
      <c r="E4062" s="3" t="str">
        <f>IFERROR(__xludf.DUMMYFUNCTION("GOOGLETRANSLATE(B4062, ""nl"", ""en"")"),"A mask made of leaves")</f>
        <v>A mask made of leaves</v>
      </c>
    </row>
    <row r="4063" ht="15.75" customHeight="1">
      <c r="A4063" s="3" t="s">
        <v>4</v>
      </c>
      <c r="B4063" s="3" t="s">
        <v>43</v>
      </c>
      <c r="D4063" s="3" t="str">
        <f>IFERROR(__xludf.DUMMYFUNCTION("GOOGLETRANSLATE(A4063, ""nl"", ""en"")"),"Architectural and Structural Associations")</f>
        <v>Architectural and Structural Associations</v>
      </c>
      <c r="E4063" s="3" t="str">
        <f>IFERROR(__xludf.DUMMYFUNCTION("GOOGLETRANSLATE(B4063, ""nl"", ""en"")"),"A network of tunnels and passages")</f>
        <v>A network of tunnels and passages</v>
      </c>
    </row>
    <row r="4064" ht="15.75" customHeight="1">
      <c r="A4064" s="3" t="s">
        <v>4</v>
      </c>
      <c r="B4064" s="3" t="s">
        <v>21</v>
      </c>
      <c r="D4064" s="3" t="str">
        <f>IFERROR(__xludf.DUMMYFUNCTION("GOOGLETRANSLATE(A4064, ""nl"", ""en"")"),"Architectural and Structural Associations")</f>
        <v>Architectural and Structural Associations</v>
      </c>
      <c r="E4064" s="3" t="str">
        <f>IFERROR(__xludf.DUMMYFUNCTION("GOOGLETRANSLATE(B4064, ""nl"", ""en"")"),"A bridge that leads nowhere")</f>
        <v>A bridge that leads nowhere</v>
      </c>
    </row>
    <row r="4065" ht="15.75" customHeight="1">
      <c r="A4065" s="3" t="s">
        <v>24</v>
      </c>
      <c r="B4065" s="3" t="s">
        <v>32</v>
      </c>
      <c r="D4065" s="3" t="str">
        <f>IFERROR(__xludf.DUMMYFUNCTION("GOOGLETRANSLATE(A4065, ""nl"", ""en"")"),"Cosmic and Abstract Patterns")</f>
        <v>Cosmic and Abstract Patterns</v>
      </c>
      <c r="E4065" s="3" t="str">
        <f>IFERROR(__xludf.DUMMYFUNCTION("GOOGLETRANSLATE(B4065, ""nl"", ""en"")"),"A time loop captured in image")</f>
        <v>A time loop captured in image</v>
      </c>
    </row>
    <row r="4066" ht="15.75" customHeight="1">
      <c r="A4066" s="3" t="s">
        <v>12</v>
      </c>
      <c r="B4066" s="3" t="s">
        <v>30</v>
      </c>
      <c r="D4066" s="3" t="str">
        <f>IFERROR(__xludf.DUMMYFUNCTION("GOOGLETRANSLATE(A4066, ""nl"", ""en"")"),"Nature and Elements")</f>
        <v>Nature and Elements</v>
      </c>
      <c r="E4066" s="3" t="str">
        <f>IFERROR(__xludf.DUMMYFUNCTION("GOOGLETRANSLATE(B4066, ""nl"", ""en"")"),"Waves breaking in fractal patterns")</f>
        <v>Waves breaking in fractal patterns</v>
      </c>
    </row>
    <row r="4067" ht="15.75" customHeight="1">
      <c r="A4067" s="3" t="s">
        <v>24</v>
      </c>
      <c r="B4067" s="3" t="s">
        <v>27</v>
      </c>
      <c r="D4067" s="3" t="str">
        <f>IFERROR(__xludf.DUMMYFUNCTION("GOOGLETRANSLATE(A4067, ""nl"", ""en"")"),"Cosmic and Abstract Patterns")</f>
        <v>Cosmic and Abstract Patterns</v>
      </c>
      <c r="E4067" s="3" t="str">
        <f>IFERROR(__xludf.DUMMYFUNCTION("GOOGLETRANSLATE(B4067, ""nl"", ""en"")"),"A pair of black holes in dance")</f>
        <v>A pair of black holes in dance</v>
      </c>
    </row>
    <row r="4068" ht="15.75" customHeight="1">
      <c r="A4068" s="3" t="s">
        <v>15</v>
      </c>
      <c r="B4068" s="3" t="s">
        <v>38</v>
      </c>
      <c r="D4068" s="3" t="str">
        <f>IFERROR(__xludf.DUMMYFUNCTION("GOOGLETRANSLATE(A4068, ""nl"", ""en"")"),"Animals and Organic Forms")</f>
        <v>Animals and Organic Forms</v>
      </c>
      <c r="E4068" s="3" t="str">
        <f>IFERROR(__xludf.DUMMYFUNCTION("GOOGLETRANSLATE(B4068, ""nl"", ""en"")"),"A lion with an open mouth")</f>
        <v>A lion with an open mouth</v>
      </c>
    </row>
    <row r="4069" ht="15.75" customHeight="1">
      <c r="A4069" s="3" t="s">
        <v>4</v>
      </c>
      <c r="B4069" s="3" t="s">
        <v>55</v>
      </c>
      <c r="D4069" s="3" t="str">
        <f>IFERROR(__xludf.DUMMYFUNCTION("GOOGLETRANSLATE(A4069, ""nl"", ""en"")"),"Architectural and Structural Associations")</f>
        <v>Architectural and Structural Associations</v>
      </c>
      <c r="E4069" s="3" t="str">
        <f>IFERROR(__xludf.DUMMYFUNCTION("GOOGLETRANSLATE(B4069, ""nl"", ""en"")"),"A prism that splits light into colors")</f>
        <v>A prism that splits light into colors</v>
      </c>
    </row>
    <row r="4070" ht="15.75" customHeight="1">
      <c r="A4070" s="3" t="s">
        <v>7</v>
      </c>
      <c r="B4070" s="3" t="s">
        <v>41</v>
      </c>
      <c r="D4070" s="3" t="str">
        <f>IFERROR(__xludf.DUMMYFUNCTION("GOOGLETRANSLATE(A4070, ""nl"", ""en"")"),"Human Figures and Physicality")</f>
        <v>Human Figures and Physicality</v>
      </c>
      <c r="E4070" s="3" t="str">
        <f>IFERROR(__xludf.DUMMYFUNCTION("GOOGLETRANSLATE(B4070, ""nl"", ""en"")"),"A face that fades into abstraction")</f>
        <v>A face that fades into abstraction</v>
      </c>
    </row>
    <row r="4071" ht="15.75" customHeight="1">
      <c r="A4071" s="3" t="s">
        <v>12</v>
      </c>
      <c r="B4071" s="3" t="s">
        <v>30</v>
      </c>
      <c r="D4071" s="3" t="str">
        <f>IFERROR(__xludf.DUMMYFUNCTION("GOOGLETRANSLATE(A4071, ""nl"", ""en"")"),"Nature and Elements")</f>
        <v>Nature and Elements</v>
      </c>
      <c r="E4071" s="3" t="str">
        <f>IFERROR(__xludf.DUMMYFUNCTION("GOOGLETRANSLATE(B4071, ""nl"", ""en"")"),"Waves breaking in fractal patterns")</f>
        <v>Waves breaking in fractal patterns</v>
      </c>
    </row>
    <row r="4072" ht="15.75" customHeight="1">
      <c r="A4072" s="3" t="s">
        <v>24</v>
      </c>
      <c r="B4072" s="3" t="s">
        <v>27</v>
      </c>
      <c r="D4072" s="3" t="str">
        <f>IFERROR(__xludf.DUMMYFUNCTION("GOOGLETRANSLATE(A4072, ""nl"", ""en"")"),"Cosmic and Abstract Patterns")</f>
        <v>Cosmic and Abstract Patterns</v>
      </c>
      <c r="E4072" s="3" t="str">
        <f>IFERROR(__xludf.DUMMYFUNCTION("GOOGLETRANSLATE(B4072, ""nl"", ""en"")"),"A pair of black holes in dance")</f>
        <v>A pair of black holes in dance</v>
      </c>
    </row>
    <row r="4073" ht="15.75" customHeight="1">
      <c r="A4073" s="3" t="s">
        <v>12</v>
      </c>
      <c r="B4073" s="3" t="s">
        <v>30</v>
      </c>
      <c r="D4073" s="3" t="str">
        <f>IFERROR(__xludf.DUMMYFUNCTION("GOOGLETRANSLATE(A4073, ""nl"", ""en"")"),"Nature and Elements")</f>
        <v>Nature and Elements</v>
      </c>
      <c r="E4073" s="3" t="str">
        <f>IFERROR(__xludf.DUMMYFUNCTION("GOOGLETRANSLATE(B4073, ""nl"", ""en"")"),"Waves breaking in fractal patterns")</f>
        <v>Waves breaking in fractal patterns</v>
      </c>
    </row>
    <row r="4074" ht="15.75" customHeight="1">
      <c r="A4074" s="3" t="s">
        <v>12</v>
      </c>
      <c r="B4074" s="3" t="s">
        <v>47</v>
      </c>
      <c r="D4074" s="3" t="str">
        <f>IFERROR(__xludf.DUMMYFUNCTION("GOOGLETRANSLATE(A4074, ""nl"", ""en"")"),"Nature and Elements")</f>
        <v>Nature and Elements</v>
      </c>
      <c r="E4074" s="3" t="str">
        <f>IFERROR(__xludf.DUMMYFUNCTION("GOOGLETRANSLATE(B4074, ""nl"", ""en"")"),"A desert landscape that slowly changes")</f>
        <v>A desert landscape that slowly changes</v>
      </c>
    </row>
    <row r="4075" ht="15.75" customHeight="1">
      <c r="A4075" s="3" t="s">
        <v>15</v>
      </c>
      <c r="B4075" s="3" t="s">
        <v>50</v>
      </c>
      <c r="D4075" s="3" t="str">
        <f>IFERROR(__xludf.DUMMYFUNCTION("GOOGLETRANSLATE(A4075, ""nl"", ""en"")"),"Animals and Organic Forms")</f>
        <v>Animals and Organic Forms</v>
      </c>
      <c r="E4075" s="3" t="str">
        <f>IFERROR(__xludf.DUMMYFUNCTION("GOOGLETRANSLATE(B4075, ""nl"", ""en"")"),"A squid with extended tentacles")</f>
        <v>A squid with extended tentacles</v>
      </c>
    </row>
    <row r="4076" ht="15.75" customHeight="1">
      <c r="A4076" s="3" t="s">
        <v>24</v>
      </c>
      <c r="B4076" s="3" t="s">
        <v>33</v>
      </c>
      <c r="D4076" s="3" t="str">
        <f>IFERROR(__xludf.DUMMYFUNCTION("GOOGLETRANSLATE(A4076, ""nl"", ""en"")"),"Cosmic and Abstract Patterns")</f>
        <v>Cosmic and Abstract Patterns</v>
      </c>
      <c r="E4076" s="3" t="str">
        <f>IFERROR(__xludf.DUMMYFUNCTION("GOOGLETRANSLATE(B4076, ""nl"", ""en"")"),"An eye that repeats itself in endless patterns")</f>
        <v>An eye that repeats itself in endless patterns</v>
      </c>
    </row>
    <row r="4077" ht="15.75" customHeight="1">
      <c r="A4077" s="3" t="s">
        <v>4</v>
      </c>
      <c r="B4077" s="3" t="s">
        <v>35</v>
      </c>
      <c r="D4077" s="3" t="str">
        <f>IFERROR(__xludf.DUMMYFUNCTION("GOOGLETRANSLATE(A4077, ""nl"", ""en"")"),"Architectural and Structural Associations")</f>
        <v>Architectural and Structural Associations</v>
      </c>
      <c r="E4077" s="3" t="str">
        <f>IFERROR(__xludf.DUMMYFUNCTION("GOOGLETRANSLATE(B4077, ""nl"", ""en"")"),"A floating building without a base")</f>
        <v>A floating building without a base</v>
      </c>
    </row>
    <row r="4078" ht="15.75" customHeight="1">
      <c r="A4078" s="3" t="s">
        <v>7</v>
      </c>
      <c r="B4078" s="3" t="s">
        <v>41</v>
      </c>
      <c r="D4078" s="3" t="str">
        <f>IFERROR(__xludf.DUMMYFUNCTION("GOOGLETRANSLATE(A4078, ""nl"", ""en"")"),"Human Figures and Physicality")</f>
        <v>Human Figures and Physicality</v>
      </c>
      <c r="E4078" s="3" t="str">
        <f>IFERROR(__xludf.DUMMYFUNCTION("GOOGLETRANSLATE(B4078, ""nl"", ""en"")"),"A face that fades into abstraction")</f>
        <v>A face that fades into abstraction</v>
      </c>
    </row>
    <row r="4079" ht="15.75" customHeight="1">
      <c r="A4079" s="3" t="s">
        <v>9</v>
      </c>
      <c r="B4079" s="3" t="s">
        <v>37</v>
      </c>
      <c r="D4079" s="3" t="str">
        <f>IFERROR(__xludf.DUMMYFUNCTION("GOOGLETRANSLATE(A4079, ""nl"", ""en"")"),"Psychological and Emotional Interpretations")</f>
        <v>Psychological and Emotional Interpretations</v>
      </c>
      <c r="E4079" s="3" t="str">
        <f>IFERROR(__xludf.DUMMYFUNCTION("GOOGLETRANSLATE(B4079, ""nl"", ""en"")"),"A figure looking through itself")</f>
        <v>A figure looking through itself</v>
      </c>
    </row>
    <row r="4080" ht="15.75" customHeight="1">
      <c r="A4080" s="3" t="s">
        <v>7</v>
      </c>
      <c r="B4080" s="3" t="s">
        <v>40</v>
      </c>
      <c r="D4080" s="3" t="str">
        <f>IFERROR(__xludf.DUMMYFUNCTION("GOOGLETRANSLATE(A4080, ""nl"", ""en"")"),"Human Figures and Physicality")</f>
        <v>Human Figures and Physicality</v>
      </c>
      <c r="E4080" s="3" t="str">
        <f>IFERROR(__xludf.DUMMYFUNCTION("GOOGLETRANSLATE(B4080, ""nl"", ""en"")"),"A figure who is withdrawn into himself")</f>
        <v>A figure who is withdrawn into himself</v>
      </c>
    </row>
    <row r="4081" ht="15.75" customHeight="1">
      <c r="A4081" s="3" t="s">
        <v>7</v>
      </c>
      <c r="B4081" s="3" t="s">
        <v>53</v>
      </c>
      <c r="D4081" s="3" t="str">
        <f>IFERROR(__xludf.DUMMYFUNCTION("GOOGLETRANSLATE(A4081, ""nl"", ""en"")"),"Human Figures and Physicality")</f>
        <v>Human Figures and Physicality</v>
      </c>
      <c r="E4081" s="3" t="str">
        <f>IFERROR(__xludf.DUMMYFUNCTION("GOOGLETRANSLATE(B4081, ""nl"", ""en"")"),"A face that both smiles and cries")</f>
        <v>A face that both smiles and cries</v>
      </c>
    </row>
    <row r="4082" ht="15.75" customHeight="1">
      <c r="A4082" s="3" t="s">
        <v>12</v>
      </c>
      <c r="B4082" s="3" t="s">
        <v>13</v>
      </c>
      <c r="D4082" s="3" t="str">
        <f>IFERROR(__xludf.DUMMYFUNCTION("GOOGLETRANSLATE(A4082, ""nl"", ""en"")"),"Nature and Elements")</f>
        <v>Nature and Elements</v>
      </c>
      <c r="E4082" s="3" t="str">
        <f>IFERROR(__xludf.DUMMYFUNCTION("GOOGLETRANSLATE(B4082, ""nl"", ""en"")"),"A lightning strike in slow motion")</f>
        <v>A lightning strike in slow motion</v>
      </c>
    </row>
    <row r="4083" ht="15.75" customHeight="1">
      <c r="A4083" s="3" t="s">
        <v>15</v>
      </c>
      <c r="B4083" s="3" t="s">
        <v>50</v>
      </c>
      <c r="D4083" s="3" t="str">
        <f>IFERROR(__xludf.DUMMYFUNCTION("GOOGLETRANSLATE(A4083, ""nl"", ""en"")"),"Animals and Organic Forms")</f>
        <v>Animals and Organic Forms</v>
      </c>
      <c r="E4083" s="3" t="str">
        <f>IFERROR(__xludf.DUMMYFUNCTION("GOOGLETRANSLATE(B4083, ""nl"", ""en"")"),"A squid with extended tentacles")</f>
        <v>A squid with extended tentacles</v>
      </c>
    </row>
    <row r="4084" ht="15.75" customHeight="1">
      <c r="A4084" s="3" t="s">
        <v>12</v>
      </c>
      <c r="B4084" s="3" t="s">
        <v>18</v>
      </c>
      <c r="D4084" s="3" t="str">
        <f>IFERROR(__xludf.DUMMYFUNCTION("GOOGLETRANSLATE(A4084, ""nl"", ""en"")"),"Nature and Elements")</f>
        <v>Nature and Elements</v>
      </c>
      <c r="E4084" s="3" t="str">
        <f>IFERROR(__xludf.DUMMYFUNCTION("GOOGLETRANSLATE(B4084, ""nl"", ""en"")"),"A tree with endless branches")</f>
        <v>A tree with endless branches</v>
      </c>
    </row>
    <row r="4085" ht="15.75" customHeight="1">
      <c r="A4085" s="3" t="s">
        <v>7</v>
      </c>
      <c r="B4085" s="3" t="s">
        <v>53</v>
      </c>
      <c r="D4085" s="3" t="str">
        <f>IFERROR(__xludf.DUMMYFUNCTION("GOOGLETRANSLATE(A4085, ""nl"", ""en"")"),"Human Figures and Physicality")</f>
        <v>Human Figures and Physicality</v>
      </c>
      <c r="E4085" s="3" t="str">
        <f>IFERROR(__xludf.DUMMYFUNCTION("GOOGLETRANSLATE(B4085, ""nl"", ""en"")"),"A face that both smiles and cries")</f>
        <v>A face that both smiles and cries</v>
      </c>
    </row>
    <row r="4086" ht="15.75" customHeight="1">
      <c r="A4086" s="3" t="s">
        <v>15</v>
      </c>
      <c r="B4086" s="3" t="s">
        <v>22</v>
      </c>
      <c r="D4086" s="3" t="str">
        <f>IFERROR(__xludf.DUMMYFUNCTION("GOOGLETRANSLATE(A4086, ""nl"", ""en"")"),"Animals and Organic Forms")</f>
        <v>Animals and Organic Forms</v>
      </c>
      <c r="E4086" s="3" t="str">
        <f>IFERROR(__xludf.DUMMYFUNCTION("GOOGLETRANSLATE(B4086, ""nl"", ""en"")"),"A bird taking off")</f>
        <v>A bird taking off</v>
      </c>
    </row>
    <row r="4087" ht="15.75" customHeight="1">
      <c r="A4087" s="3" t="s">
        <v>12</v>
      </c>
      <c r="B4087" s="3" t="s">
        <v>13</v>
      </c>
      <c r="D4087" s="3" t="str">
        <f>IFERROR(__xludf.DUMMYFUNCTION("GOOGLETRANSLATE(A4087, ""nl"", ""en"")"),"Nature and Elements")</f>
        <v>Nature and Elements</v>
      </c>
      <c r="E4087" s="3" t="str">
        <f>IFERROR(__xludf.DUMMYFUNCTION("GOOGLETRANSLATE(B4087, ""nl"", ""en"")"),"A lightning strike in slow motion")</f>
        <v>A lightning strike in slow motion</v>
      </c>
    </row>
    <row r="4088" ht="15.75" customHeight="1">
      <c r="A4088" s="3" t="s">
        <v>12</v>
      </c>
      <c r="B4088" s="3" t="s">
        <v>18</v>
      </c>
      <c r="D4088" s="3" t="str">
        <f>IFERROR(__xludf.DUMMYFUNCTION("GOOGLETRANSLATE(A4088, ""nl"", ""en"")"),"Nature and Elements")</f>
        <v>Nature and Elements</v>
      </c>
      <c r="E4088" s="3" t="str">
        <f>IFERROR(__xludf.DUMMYFUNCTION("GOOGLETRANSLATE(B4088, ""nl"", ""en"")"),"A tree with endless branches")</f>
        <v>A tree with endless branches</v>
      </c>
    </row>
    <row r="4089" ht="15.75" customHeight="1">
      <c r="A4089" s="3" t="s">
        <v>12</v>
      </c>
      <c r="B4089" s="3" t="s">
        <v>23</v>
      </c>
      <c r="D4089" s="3" t="str">
        <f>IFERROR(__xludf.DUMMYFUNCTION("GOOGLETRANSLATE(A4089, ""nl"", ""en"")"),"Nature and Elements")</f>
        <v>Nature and Elements</v>
      </c>
      <c r="E4089" s="3" t="str">
        <f>IFERROR(__xludf.DUMMYFUNCTION("GOOGLETRANSLATE(B4089, ""nl"", ""en"")"),"A storm cloud splitting in two")</f>
        <v>A storm cloud splitting in two</v>
      </c>
    </row>
    <row r="4090" ht="15.75" customHeight="1">
      <c r="A4090" s="3" t="s">
        <v>24</v>
      </c>
      <c r="B4090" s="3" t="s">
        <v>27</v>
      </c>
      <c r="D4090" s="3" t="str">
        <f>IFERROR(__xludf.DUMMYFUNCTION("GOOGLETRANSLATE(A4090, ""nl"", ""en"")"),"Cosmic and Abstract Patterns")</f>
        <v>Cosmic and Abstract Patterns</v>
      </c>
      <c r="E4090" s="3" t="str">
        <f>IFERROR(__xludf.DUMMYFUNCTION("GOOGLETRANSLATE(B4090, ""nl"", ""en"")"),"A pair of black holes in dance")</f>
        <v>A pair of black holes in dance</v>
      </c>
    </row>
    <row r="4091" ht="15.75" customHeight="1">
      <c r="A4091" s="3" t="s">
        <v>12</v>
      </c>
      <c r="B4091" s="3" t="s">
        <v>19</v>
      </c>
      <c r="D4091" s="3" t="str">
        <f>IFERROR(__xludf.DUMMYFUNCTION("GOOGLETRANSLATE(A4091, ""nl"", ""en"")"),"Nature and Elements")</f>
        <v>Nature and Elements</v>
      </c>
      <c r="E4091" s="3" t="str">
        <f>IFERROR(__xludf.DUMMYFUNCTION("GOOGLETRANSLATE(B4091, ""nl"", ""en"")"),"A mountain range that seems to breathe")</f>
        <v>A mountain range that seems to breathe</v>
      </c>
    </row>
    <row r="4092" ht="15.75" customHeight="1">
      <c r="A4092" s="3" t="s">
        <v>7</v>
      </c>
      <c r="B4092" s="3" t="s">
        <v>34</v>
      </c>
      <c r="D4092" s="3" t="str">
        <f>IFERROR(__xludf.DUMMYFUNCTION("GOOGLETRANSLATE(A4092, ""nl"", ""en"")"),"Human Figures and Physicality")</f>
        <v>Human Figures and Physicality</v>
      </c>
      <c r="E4092" s="3" t="str">
        <f>IFERROR(__xludf.DUMMYFUNCTION("GOOGLETRANSLATE(B4092, ""nl"", ""en"")"),"Hands almost touching")</f>
        <v>Hands almost touching</v>
      </c>
    </row>
    <row r="4093" ht="15.75" customHeight="1">
      <c r="A4093" s="3" t="s">
        <v>15</v>
      </c>
      <c r="B4093" s="3" t="s">
        <v>16</v>
      </c>
      <c r="D4093" s="3" t="str">
        <f>IFERROR(__xludf.DUMMYFUNCTION("GOOGLETRANSLATE(A4093, ""nl"", ""en"")"),"Animals and Organic Forms")</f>
        <v>Animals and Organic Forms</v>
      </c>
      <c r="E4093" s="3" t="str">
        <f>IFERROR(__xludf.DUMMYFUNCTION("GOOGLETRANSLATE(B4093, ""nl"", ""en"")"),"A butterfly in transformation")</f>
        <v>A butterfly in transformation</v>
      </c>
    </row>
    <row r="4094" ht="15.75" customHeight="1">
      <c r="A4094" s="3" t="s">
        <v>4</v>
      </c>
      <c r="B4094" s="3" t="s">
        <v>5</v>
      </c>
      <c r="D4094" s="3" t="str">
        <f>IFERROR(__xludf.DUMMYFUNCTION("GOOGLETRANSLATE(A4094, ""nl"", ""en"")"),"Architectural and Structural Associations")</f>
        <v>Architectural and Structural Associations</v>
      </c>
      <c r="E4094" s="3" t="str">
        <f>IFERROR(__xludf.DUMMYFUNCTION("GOOGLETRANSLATE(B4094, ""nl"", ""en"")"),"A cathedral shaped from mist")</f>
        <v>A cathedral shaped from mist</v>
      </c>
    </row>
    <row r="4095" ht="15.75" customHeight="1">
      <c r="A4095" s="3" t="s">
        <v>7</v>
      </c>
      <c r="B4095" s="3" t="s">
        <v>39</v>
      </c>
      <c r="D4095" s="3" t="str">
        <f>IFERROR(__xludf.DUMMYFUNCTION("GOOGLETRANSLATE(A4095, ""nl"", ""en"")"),"Human Figures and Physicality")</f>
        <v>Human Figures and Physicality</v>
      </c>
      <c r="E4095" s="3" t="str">
        <f>IFERROR(__xludf.DUMMYFUNCTION("GOOGLETRANSLATE(B4095, ""nl"", ""en"")"),"A torso without a head")</f>
        <v>A torso without a head</v>
      </c>
    </row>
    <row r="4096" ht="15.75" customHeight="1">
      <c r="A4096" s="3" t="s">
        <v>24</v>
      </c>
      <c r="B4096" s="3" t="s">
        <v>32</v>
      </c>
      <c r="D4096" s="3" t="str">
        <f>IFERROR(__xludf.DUMMYFUNCTION("GOOGLETRANSLATE(A4096, ""nl"", ""en"")"),"Cosmic and Abstract Patterns")</f>
        <v>Cosmic and Abstract Patterns</v>
      </c>
      <c r="E4096" s="3" t="str">
        <f>IFERROR(__xludf.DUMMYFUNCTION("GOOGLETRANSLATE(B4096, ""nl"", ""en"")"),"A time loop captured in image")</f>
        <v>A time loop captured in image</v>
      </c>
    </row>
    <row r="4097" ht="15.75" customHeight="1">
      <c r="A4097" s="3" t="s">
        <v>24</v>
      </c>
      <c r="B4097" s="3" t="s">
        <v>29</v>
      </c>
      <c r="D4097" s="3" t="str">
        <f>IFERROR(__xludf.DUMMYFUNCTION("GOOGLETRANSLATE(A4097, ""nl"", ""en"")"),"Cosmic and Abstract Patterns")</f>
        <v>Cosmic and Abstract Patterns</v>
      </c>
      <c r="E4097" s="3" t="str">
        <f>IFERROR(__xludf.DUMMYFUNCTION("GOOGLETRANSLATE(B4097, ""nl"", ""en"")"),"A galaxy unfolding")</f>
        <v>A galaxy unfolding</v>
      </c>
    </row>
    <row r="4098" ht="15.75" customHeight="1">
      <c r="A4098" s="3" t="s">
        <v>9</v>
      </c>
      <c r="B4098" s="3" t="s">
        <v>37</v>
      </c>
      <c r="D4098" s="3" t="str">
        <f>IFERROR(__xludf.DUMMYFUNCTION("GOOGLETRANSLATE(A4098, ""nl"", ""en"")"),"Psychological and Emotional Interpretations")</f>
        <v>Psychological and Emotional Interpretations</v>
      </c>
      <c r="E4098" s="3" t="str">
        <f>IFERROR(__xludf.DUMMYFUNCTION("GOOGLETRANSLATE(B4098, ""nl"", ""en"")"),"A figure looking through itself")</f>
        <v>A figure looking through itself</v>
      </c>
    </row>
    <row r="4099" ht="15.75" customHeight="1">
      <c r="A4099" s="3" t="s">
        <v>12</v>
      </c>
      <c r="B4099" s="3" t="s">
        <v>18</v>
      </c>
      <c r="D4099" s="3" t="str">
        <f>IFERROR(__xludf.DUMMYFUNCTION("GOOGLETRANSLATE(A4099, ""nl"", ""en"")"),"Nature and Elements")</f>
        <v>Nature and Elements</v>
      </c>
      <c r="E4099" s="3" t="str">
        <f>IFERROR(__xludf.DUMMYFUNCTION("GOOGLETRANSLATE(B4099, ""nl"", ""en"")"),"A tree with endless branches")</f>
        <v>A tree with endless branches</v>
      </c>
    </row>
    <row r="4100" ht="15.75" customHeight="1">
      <c r="A4100" s="3" t="s">
        <v>12</v>
      </c>
      <c r="B4100" s="3" t="s">
        <v>18</v>
      </c>
      <c r="D4100" s="3" t="str">
        <f>IFERROR(__xludf.DUMMYFUNCTION("GOOGLETRANSLATE(A4100, ""nl"", ""en"")"),"Nature and Elements")</f>
        <v>Nature and Elements</v>
      </c>
      <c r="E4100" s="3" t="str">
        <f>IFERROR(__xludf.DUMMYFUNCTION("GOOGLETRANSLATE(B4100, ""nl"", ""en"")"),"A tree with endless branches")</f>
        <v>A tree with endless branches</v>
      </c>
    </row>
    <row r="4101" ht="15.75" customHeight="1">
      <c r="A4101" s="3" t="s">
        <v>15</v>
      </c>
      <c r="B4101" s="3" t="s">
        <v>46</v>
      </c>
      <c r="D4101" s="3" t="str">
        <f>IFERROR(__xludf.DUMMYFUNCTION("GOOGLETRANSLATE(A4101, ""nl"", ""en"")"),"Animals and Organic Forms")</f>
        <v>Animals and Organic Forms</v>
      </c>
      <c r="E4101" s="3" t="str">
        <f>IFERROR(__xludf.DUMMYFUNCTION("GOOGLETRANSLATE(B4101, ""nl"", ""en"")"),"A flock of fish moving as one")</f>
        <v>A flock of fish moving as one</v>
      </c>
    </row>
    <row r="4102" ht="15.75" customHeight="1">
      <c r="A4102" s="3" t="s">
        <v>9</v>
      </c>
      <c r="B4102" s="3" t="s">
        <v>10</v>
      </c>
      <c r="D4102" s="3" t="str">
        <f>IFERROR(__xludf.DUMMYFUNCTION("GOOGLETRANSLATE(A4102, ""nl"", ""en"")"),"Psychological and Emotional Interpretations")</f>
        <v>Psychological and Emotional Interpretations</v>
      </c>
      <c r="E4102" s="3" t="str">
        <f>IFERROR(__xludf.DUMMYFUNCTION("GOOGLETRANSLATE(B4102, ""nl"", ""en"")"),"A face transforming in light")</f>
        <v>A face transforming in light</v>
      </c>
    </row>
    <row r="4103" ht="15.75" customHeight="1">
      <c r="A4103" s="3" t="s">
        <v>15</v>
      </c>
      <c r="B4103" s="3" t="s">
        <v>22</v>
      </c>
      <c r="D4103" s="3" t="str">
        <f>IFERROR(__xludf.DUMMYFUNCTION("GOOGLETRANSLATE(A4103, ""nl"", ""en"")"),"Animals and Organic Forms")</f>
        <v>Animals and Organic Forms</v>
      </c>
      <c r="E4103" s="3" t="str">
        <f>IFERROR(__xludf.DUMMYFUNCTION("GOOGLETRANSLATE(B4103, ""nl"", ""en"")"),"A bird taking off")</f>
        <v>A bird taking off</v>
      </c>
    </row>
    <row r="4104" ht="15.75" customHeight="1">
      <c r="A4104" s="3" t="s">
        <v>4</v>
      </c>
      <c r="B4104" s="3" t="s">
        <v>35</v>
      </c>
      <c r="D4104" s="3" t="str">
        <f>IFERROR(__xludf.DUMMYFUNCTION("GOOGLETRANSLATE(A4104, ""nl"", ""en"")"),"Architectural and Structural Associations")</f>
        <v>Architectural and Structural Associations</v>
      </c>
      <c r="E4104" s="3" t="str">
        <f>IFERROR(__xludf.DUMMYFUNCTION("GOOGLETRANSLATE(B4104, ""nl"", ""en"")"),"A floating building without a base")</f>
        <v>A floating building without a base</v>
      </c>
    </row>
    <row r="4105" ht="15.75" customHeight="1">
      <c r="A4105" s="3" t="s">
        <v>12</v>
      </c>
      <c r="B4105" s="3" t="s">
        <v>13</v>
      </c>
      <c r="D4105" s="3" t="str">
        <f>IFERROR(__xludf.DUMMYFUNCTION("GOOGLETRANSLATE(A4105, ""nl"", ""en"")"),"Nature and Elements")</f>
        <v>Nature and Elements</v>
      </c>
      <c r="E4105" s="3" t="str">
        <f>IFERROR(__xludf.DUMMYFUNCTION("GOOGLETRANSLATE(B4105, ""nl"", ""en"")"),"A lightning strike in slow motion")</f>
        <v>A lightning strike in slow motion</v>
      </c>
    </row>
    <row r="4106" ht="15.75" customHeight="1">
      <c r="A4106" s="3" t="s">
        <v>12</v>
      </c>
      <c r="B4106" s="3" t="s">
        <v>30</v>
      </c>
      <c r="D4106" s="3" t="str">
        <f>IFERROR(__xludf.DUMMYFUNCTION("GOOGLETRANSLATE(A4106, ""nl"", ""en"")"),"Nature and Elements")</f>
        <v>Nature and Elements</v>
      </c>
      <c r="E4106" s="3" t="str">
        <f>IFERROR(__xludf.DUMMYFUNCTION("GOOGLETRANSLATE(B4106, ""nl"", ""en"")"),"Waves breaking in fractal patterns")</f>
        <v>Waves breaking in fractal patterns</v>
      </c>
    </row>
    <row r="4107" ht="15.75" customHeight="1">
      <c r="A4107" s="3" t="s">
        <v>15</v>
      </c>
      <c r="B4107" s="3" t="s">
        <v>45</v>
      </c>
      <c r="D4107" s="3" t="str">
        <f>IFERROR(__xludf.DUMMYFUNCTION("GOOGLETRANSLATE(A4107, ""nl"", ""en"")"),"Animals and Organic Forms")</f>
        <v>Animals and Organic Forms</v>
      </c>
      <c r="E4107" s="3" t="str">
        <f>IFERROR(__xludf.DUMMYFUNCTION("GOOGLETRANSLATE(B4107, ""nl"", ""en"")"),"A snake biting its own tail")</f>
        <v>A snake biting its own tail</v>
      </c>
    </row>
    <row r="4108" ht="15.75" customHeight="1">
      <c r="A4108" s="3" t="s">
        <v>12</v>
      </c>
      <c r="B4108" s="3" t="s">
        <v>18</v>
      </c>
      <c r="D4108" s="3" t="str">
        <f>IFERROR(__xludf.DUMMYFUNCTION("GOOGLETRANSLATE(A4108, ""nl"", ""en"")"),"Nature and Elements")</f>
        <v>Nature and Elements</v>
      </c>
      <c r="E4108" s="3" t="str">
        <f>IFERROR(__xludf.DUMMYFUNCTION("GOOGLETRANSLATE(B4108, ""nl"", ""en"")"),"A tree with endless branches")</f>
        <v>A tree with endless branches</v>
      </c>
    </row>
    <row r="4109" ht="15.75" customHeight="1">
      <c r="A4109" s="3" t="s">
        <v>9</v>
      </c>
      <c r="B4109" s="3" t="s">
        <v>57</v>
      </c>
      <c r="D4109" s="3" t="str">
        <f>IFERROR(__xludf.DUMMYFUNCTION("GOOGLETRANSLATE(A4109, ""nl"", ""en"")"),"Psychological and Emotional Interpretations")</f>
        <v>Psychological and Emotional Interpretations</v>
      </c>
      <c r="E4109" s="3" t="str">
        <f>IFERROR(__xludf.DUMMYFUNCTION("GOOGLETRANSLATE(B4109, ""nl"", ""en"")"),"An explosion of colours and feelings")</f>
        <v>An explosion of colours and feelings</v>
      </c>
    </row>
    <row r="4110" ht="15.75" customHeight="1">
      <c r="A4110" s="3" t="s">
        <v>12</v>
      </c>
      <c r="B4110" s="3" t="s">
        <v>30</v>
      </c>
      <c r="D4110" s="3" t="str">
        <f>IFERROR(__xludf.DUMMYFUNCTION("GOOGLETRANSLATE(A4110, ""nl"", ""en"")"),"Nature and Elements")</f>
        <v>Nature and Elements</v>
      </c>
      <c r="E4110" s="3" t="str">
        <f>IFERROR(__xludf.DUMMYFUNCTION("GOOGLETRANSLATE(B4110, ""nl"", ""en"")"),"Waves breaking in fractal patterns")</f>
        <v>Waves breaking in fractal patterns</v>
      </c>
    </row>
    <row r="4111" ht="15.75" customHeight="1">
      <c r="A4111" s="3" t="s">
        <v>9</v>
      </c>
      <c r="B4111" s="3" t="s">
        <v>49</v>
      </c>
      <c r="D4111" s="3" t="str">
        <f>IFERROR(__xludf.DUMMYFUNCTION("GOOGLETRANSLATE(A4111, ""nl"", ""en"")"),"Psychological and Emotional Interpretations")</f>
        <v>Psychological and Emotional Interpretations</v>
      </c>
      <c r="E4111" s="3" t="str">
        <f>IFERROR(__xludf.DUMMYFUNCTION("GOOGLETRANSLATE(B4111, ""nl"", ""en"")"),"A spiral that turns inward")</f>
        <v>A spiral that turns inward</v>
      </c>
    </row>
    <row r="4112" ht="15.75" customHeight="1">
      <c r="A4112" s="3" t="s">
        <v>4</v>
      </c>
      <c r="B4112" s="3" t="s">
        <v>55</v>
      </c>
      <c r="D4112" s="3" t="str">
        <f>IFERROR(__xludf.DUMMYFUNCTION("GOOGLETRANSLATE(A4112, ""nl"", ""en"")"),"Architectural and Structural Associations")</f>
        <v>Architectural and Structural Associations</v>
      </c>
      <c r="E4112" s="3" t="str">
        <f>IFERROR(__xludf.DUMMYFUNCTION("GOOGLETRANSLATE(B4112, ""nl"", ""en"")"),"A prism that splits light into colors")</f>
        <v>A prism that splits light into colors</v>
      </c>
    </row>
    <row r="4113" ht="15.75" customHeight="1">
      <c r="A4113" s="3" t="s">
        <v>12</v>
      </c>
      <c r="B4113" s="3" t="s">
        <v>47</v>
      </c>
      <c r="D4113" s="3" t="str">
        <f>IFERROR(__xludf.DUMMYFUNCTION("GOOGLETRANSLATE(A4113, ""nl"", ""en"")"),"Nature and Elements")</f>
        <v>Nature and Elements</v>
      </c>
      <c r="E4113" s="3" t="str">
        <f>IFERROR(__xludf.DUMMYFUNCTION("GOOGLETRANSLATE(B4113, ""nl"", ""en"")"),"A desert landscape that slowly changes")</f>
        <v>A desert landscape that slowly changes</v>
      </c>
    </row>
    <row r="4114" ht="15.75" customHeight="1">
      <c r="A4114" s="3" t="s">
        <v>15</v>
      </c>
      <c r="B4114" s="3" t="s">
        <v>16</v>
      </c>
      <c r="D4114" s="3" t="str">
        <f>IFERROR(__xludf.DUMMYFUNCTION("GOOGLETRANSLATE(A4114, ""nl"", ""en"")"),"Animals and Organic Forms")</f>
        <v>Animals and Organic Forms</v>
      </c>
      <c r="E4114" s="3" t="str">
        <f>IFERROR(__xludf.DUMMYFUNCTION("GOOGLETRANSLATE(B4114, ""nl"", ""en"")"),"A butterfly in transformation")</f>
        <v>A butterfly in transformation</v>
      </c>
    </row>
    <row r="4115" ht="15.75" customHeight="1">
      <c r="A4115" s="3" t="s">
        <v>24</v>
      </c>
      <c r="B4115" s="3" t="s">
        <v>25</v>
      </c>
      <c r="D4115" s="3" t="str">
        <f>IFERROR(__xludf.DUMMYFUNCTION("GOOGLETRANSLATE(A4115, ""nl"", ""en"")"),"Cosmic and Abstract Patterns")</f>
        <v>Cosmic and Abstract Patterns</v>
      </c>
      <c r="E4115" s="3" t="str">
        <f>IFERROR(__xludf.DUMMYFUNCTION("GOOGLETRANSLATE(B4115, ""nl"", ""en"")"),"A meteor shower dissolving into each other")</f>
        <v>A meteor shower dissolving into each other</v>
      </c>
    </row>
    <row r="4116" ht="15.75" customHeight="1">
      <c r="A4116" s="3" t="s">
        <v>24</v>
      </c>
      <c r="B4116" s="3" t="s">
        <v>25</v>
      </c>
      <c r="D4116" s="3" t="str">
        <f>IFERROR(__xludf.DUMMYFUNCTION("GOOGLETRANSLATE(A4116, ""nl"", ""en"")"),"Cosmic and Abstract Patterns")</f>
        <v>Cosmic and Abstract Patterns</v>
      </c>
      <c r="E4116" s="3" t="str">
        <f>IFERROR(__xludf.DUMMYFUNCTION("GOOGLETRANSLATE(B4116, ""nl"", ""en"")"),"A meteor shower dissolving into each other")</f>
        <v>A meteor shower dissolving into each other</v>
      </c>
    </row>
    <row r="4117" ht="15.75" customHeight="1">
      <c r="A4117" s="3" t="s">
        <v>24</v>
      </c>
      <c r="B4117" s="3" t="s">
        <v>48</v>
      </c>
      <c r="D4117" s="3" t="str">
        <f>IFERROR(__xludf.DUMMYFUNCTION("GOOGLETRANSLATE(A4117, ""nl"", ""en"")"),"Cosmic and Abstract Patterns")</f>
        <v>Cosmic and Abstract Patterns</v>
      </c>
      <c r="E4117" s="3" t="str">
        <f>IFERROR(__xludf.DUMMYFUNCTION("GOOGLETRANSLATE(B4117, ""nl"", ""en"")"),"A fractal that repeats itself")</f>
        <v>A fractal that repeats itself</v>
      </c>
    </row>
    <row r="4118" ht="15.75" customHeight="1">
      <c r="A4118" s="3" t="s">
        <v>9</v>
      </c>
      <c r="B4118" s="3" t="s">
        <v>17</v>
      </c>
      <c r="D4118" s="3" t="str">
        <f>IFERROR(__xludf.DUMMYFUNCTION("GOOGLETRANSLATE(A4118, ""nl"", ""en"")"),"Psychological and Emotional Interpretations")</f>
        <v>Psychological and Emotional Interpretations</v>
      </c>
      <c r="E4118" s="3" t="str">
        <f>IFERROR(__xludf.DUMMYFUNCTION("GOOGLETRANSLATE(B4118, ""nl"", ""en"")"),"A figure that seems to melt")</f>
        <v>A figure that seems to melt</v>
      </c>
    </row>
    <row r="4119" ht="15.75" customHeight="1">
      <c r="A4119" s="3" t="s">
        <v>12</v>
      </c>
      <c r="B4119" s="3" t="s">
        <v>36</v>
      </c>
      <c r="D4119" s="3" t="str">
        <f>IFERROR(__xludf.DUMMYFUNCTION("GOOGLETRANSLATE(A4119, ""nl"", ""en"")"),"Nature and Elements")</f>
        <v>Nature and Elements</v>
      </c>
      <c r="E4119" s="3" t="str">
        <f>IFERROR(__xludf.DUMMYFUNCTION("GOOGLETRANSLATE(B4119, ""nl"", ""en"")"),"A river delta from a bird's-eye view")</f>
        <v>A river delta from a bird's-eye view</v>
      </c>
    </row>
    <row r="4120" ht="15.75" customHeight="1">
      <c r="A4120" s="3" t="s">
        <v>12</v>
      </c>
      <c r="B4120" s="3" t="s">
        <v>18</v>
      </c>
      <c r="D4120" s="3" t="str">
        <f>IFERROR(__xludf.DUMMYFUNCTION("GOOGLETRANSLATE(A4120, ""nl"", ""en"")"),"Nature and Elements")</f>
        <v>Nature and Elements</v>
      </c>
      <c r="E4120" s="3" t="str">
        <f>IFERROR(__xludf.DUMMYFUNCTION("GOOGLETRANSLATE(B4120, ""nl"", ""en"")"),"A tree with endless branches")</f>
        <v>A tree with endless branches</v>
      </c>
    </row>
    <row r="4121" ht="15.75" customHeight="1">
      <c r="A4121" s="3" t="s">
        <v>24</v>
      </c>
      <c r="B4121" s="3" t="s">
        <v>31</v>
      </c>
      <c r="D4121" s="3" t="str">
        <f>IFERROR(__xludf.DUMMYFUNCTION("GOOGLETRANSLATE(A4121, ""nl"", ""en"")"),"Cosmic and Abstract Patterns")</f>
        <v>Cosmic and Abstract Patterns</v>
      </c>
      <c r="E4121" s="3" t="str">
        <f>IFERROR(__xludf.DUMMYFUNCTION("GOOGLETRANSLATE(B4121, ""nl"", ""en"")"),"A planet with unusual rings")</f>
        <v>A planet with unusual rings</v>
      </c>
    </row>
    <row r="4122" ht="15.75" customHeight="1">
      <c r="A4122" s="3" t="s">
        <v>24</v>
      </c>
      <c r="B4122" s="3" t="s">
        <v>29</v>
      </c>
      <c r="D4122" s="3" t="str">
        <f>IFERROR(__xludf.DUMMYFUNCTION("GOOGLETRANSLATE(A4122, ""nl"", ""en"")"),"Cosmic and Abstract Patterns")</f>
        <v>Cosmic and Abstract Patterns</v>
      </c>
      <c r="E4122" s="3" t="str">
        <f>IFERROR(__xludf.DUMMYFUNCTION("GOOGLETRANSLATE(B4122, ""nl"", ""en"")"),"A galaxy unfolding")</f>
        <v>A galaxy unfolding</v>
      </c>
    </row>
    <row r="4123" ht="15.75" customHeight="1">
      <c r="A4123" s="3" t="s">
        <v>15</v>
      </c>
      <c r="B4123" s="3" t="s">
        <v>50</v>
      </c>
      <c r="D4123" s="3" t="str">
        <f>IFERROR(__xludf.DUMMYFUNCTION("GOOGLETRANSLATE(A4123, ""nl"", ""en"")"),"Animals and Organic Forms")</f>
        <v>Animals and Organic Forms</v>
      </c>
      <c r="E4123" s="3" t="str">
        <f>IFERROR(__xludf.DUMMYFUNCTION("GOOGLETRANSLATE(B4123, ""nl"", ""en"")"),"A squid with extended tentacles")</f>
        <v>A squid with extended tentacles</v>
      </c>
    </row>
    <row r="4124" ht="15.75" customHeight="1">
      <c r="A4124" s="3" t="s">
        <v>9</v>
      </c>
      <c r="B4124" s="3" t="s">
        <v>10</v>
      </c>
      <c r="D4124" s="3" t="str">
        <f>IFERROR(__xludf.DUMMYFUNCTION("GOOGLETRANSLATE(A4124, ""nl"", ""en"")"),"Psychological and Emotional Interpretations")</f>
        <v>Psychological and Emotional Interpretations</v>
      </c>
      <c r="E4124" s="3" t="str">
        <f>IFERROR(__xludf.DUMMYFUNCTION("GOOGLETRANSLATE(B4124, ""nl"", ""en"")"),"A face transforming in light")</f>
        <v>A face transforming in light</v>
      </c>
    </row>
    <row r="4125" ht="15.75" customHeight="1">
      <c r="A4125" s="3" t="s">
        <v>9</v>
      </c>
      <c r="B4125" s="3" t="s">
        <v>14</v>
      </c>
      <c r="D4125" s="3" t="str">
        <f>IFERROR(__xludf.DUMMYFUNCTION("GOOGLETRANSLATE(A4125, ""nl"", ""en"")"),"Psychological and Emotional Interpretations")</f>
        <v>Psychological and Emotional Interpretations</v>
      </c>
      <c r="E4125" s="3" t="str">
        <f>IFERROR(__xludf.DUMMYFUNCTION("GOOGLETRANSLATE(B4125, ""nl"", ""en"")"),"An unclear hug")</f>
        <v>An unclear hug</v>
      </c>
    </row>
    <row r="4126" ht="15.75" customHeight="1">
      <c r="A4126" s="3" t="s">
        <v>4</v>
      </c>
      <c r="B4126" s="3" t="s">
        <v>44</v>
      </c>
      <c r="D4126" s="3" t="str">
        <f>IFERROR(__xludf.DUMMYFUNCTION("GOOGLETRANSLATE(A4126, ""nl"", ""en"")"),"Architectural and Structural Associations")</f>
        <v>Architectural and Structural Associations</v>
      </c>
      <c r="E4126" s="3" t="str">
        <f>IFERROR(__xludf.DUMMYFUNCTION("GOOGLETRANSLATE(B4126, ""nl"", ""en"")"),"A structure that pulsates in waves")</f>
        <v>A structure that pulsates in waves</v>
      </c>
    </row>
    <row r="4127" ht="15.75" customHeight="1">
      <c r="A4127" s="3" t="s">
        <v>24</v>
      </c>
      <c r="B4127" s="3" t="s">
        <v>32</v>
      </c>
      <c r="D4127" s="3" t="str">
        <f>IFERROR(__xludf.DUMMYFUNCTION("GOOGLETRANSLATE(A4127, ""nl"", ""en"")"),"Cosmic and Abstract Patterns")</f>
        <v>Cosmic and Abstract Patterns</v>
      </c>
      <c r="E4127" s="3" t="str">
        <f>IFERROR(__xludf.DUMMYFUNCTION("GOOGLETRANSLATE(B4127, ""nl"", ""en"")"),"A time loop captured in image")</f>
        <v>A time loop captured in image</v>
      </c>
    </row>
    <row r="4128" ht="15.75" customHeight="1">
      <c r="A4128" s="3" t="s">
        <v>12</v>
      </c>
      <c r="B4128" s="3" t="s">
        <v>47</v>
      </c>
      <c r="D4128" s="3" t="str">
        <f>IFERROR(__xludf.DUMMYFUNCTION("GOOGLETRANSLATE(A4128, ""nl"", ""en"")"),"Nature and Elements")</f>
        <v>Nature and Elements</v>
      </c>
      <c r="E4128" s="3" t="str">
        <f>IFERROR(__xludf.DUMMYFUNCTION("GOOGLETRANSLATE(B4128, ""nl"", ""en"")"),"A desert landscape that slowly changes")</f>
        <v>A desert landscape that slowly changes</v>
      </c>
    </row>
    <row r="4129" ht="15.75" customHeight="1">
      <c r="A4129" s="3" t="s">
        <v>4</v>
      </c>
      <c r="B4129" s="3" t="s">
        <v>21</v>
      </c>
      <c r="D4129" s="3" t="str">
        <f>IFERROR(__xludf.DUMMYFUNCTION("GOOGLETRANSLATE(A4129, ""nl"", ""en"")"),"Architectural and Structural Associations")</f>
        <v>Architectural and Structural Associations</v>
      </c>
      <c r="E4129" s="3" t="str">
        <f>IFERROR(__xludf.DUMMYFUNCTION("GOOGLETRANSLATE(B4129, ""nl"", ""en"")"),"A bridge that leads nowhere")</f>
        <v>A bridge that leads nowhere</v>
      </c>
    </row>
    <row r="4130" ht="15.75" customHeight="1">
      <c r="A4130" s="3" t="s">
        <v>9</v>
      </c>
      <c r="B4130" s="3" t="s">
        <v>17</v>
      </c>
      <c r="D4130" s="3" t="str">
        <f>IFERROR(__xludf.DUMMYFUNCTION("GOOGLETRANSLATE(A4130, ""nl"", ""en"")"),"Psychological and Emotional Interpretations")</f>
        <v>Psychological and Emotional Interpretations</v>
      </c>
      <c r="E4130" s="3" t="str">
        <f>IFERROR(__xludf.DUMMYFUNCTION("GOOGLETRANSLATE(B4130, ""nl"", ""en"")"),"A figure that seems to melt")</f>
        <v>A figure that seems to melt</v>
      </c>
    </row>
    <row r="4131" ht="15.75" customHeight="1">
      <c r="A4131" s="3" t="s">
        <v>12</v>
      </c>
      <c r="B4131" s="3" t="s">
        <v>47</v>
      </c>
      <c r="D4131" s="3" t="str">
        <f>IFERROR(__xludf.DUMMYFUNCTION("GOOGLETRANSLATE(A4131, ""nl"", ""en"")"),"Nature and Elements")</f>
        <v>Nature and Elements</v>
      </c>
      <c r="E4131" s="3" t="str">
        <f>IFERROR(__xludf.DUMMYFUNCTION("GOOGLETRANSLATE(B4131, ""nl"", ""en"")"),"A desert landscape that slowly changes")</f>
        <v>A desert landscape that slowly changes</v>
      </c>
    </row>
    <row r="4132" ht="15.75" customHeight="1">
      <c r="A4132" s="3" t="s">
        <v>15</v>
      </c>
      <c r="B4132" s="3" t="s">
        <v>46</v>
      </c>
      <c r="D4132" s="3" t="str">
        <f>IFERROR(__xludf.DUMMYFUNCTION("GOOGLETRANSLATE(A4132, ""nl"", ""en"")"),"Animals and Organic Forms")</f>
        <v>Animals and Organic Forms</v>
      </c>
      <c r="E4132" s="3" t="str">
        <f>IFERROR(__xludf.DUMMYFUNCTION("GOOGLETRANSLATE(B4132, ""nl"", ""en"")"),"A flock of fish moving as one")</f>
        <v>A flock of fish moving as one</v>
      </c>
    </row>
    <row r="4133" ht="15.75" customHeight="1">
      <c r="A4133" s="3" t="s">
        <v>12</v>
      </c>
      <c r="B4133" s="3" t="s">
        <v>18</v>
      </c>
      <c r="D4133" s="3" t="str">
        <f>IFERROR(__xludf.DUMMYFUNCTION("GOOGLETRANSLATE(A4133, ""nl"", ""en"")"),"Nature and Elements")</f>
        <v>Nature and Elements</v>
      </c>
      <c r="E4133" s="3" t="str">
        <f>IFERROR(__xludf.DUMMYFUNCTION("GOOGLETRANSLATE(B4133, ""nl"", ""en"")"),"A tree with endless branches")</f>
        <v>A tree with endless branches</v>
      </c>
    </row>
    <row r="4134" ht="15.75" customHeight="1">
      <c r="A4134" s="3" t="s">
        <v>4</v>
      </c>
      <c r="B4134" s="3" t="s">
        <v>43</v>
      </c>
      <c r="D4134" s="3" t="str">
        <f>IFERROR(__xludf.DUMMYFUNCTION("GOOGLETRANSLATE(A4134, ""nl"", ""en"")"),"Architectural and Structural Associations")</f>
        <v>Architectural and Structural Associations</v>
      </c>
      <c r="E4134" s="3" t="str">
        <f>IFERROR(__xludf.DUMMYFUNCTION("GOOGLETRANSLATE(B4134, ""nl"", ""en"")"),"A network of tunnels and passages")</f>
        <v>A network of tunnels and passages</v>
      </c>
    </row>
    <row r="4135" ht="15.75" customHeight="1">
      <c r="A4135" s="3" t="s">
        <v>15</v>
      </c>
      <c r="B4135" s="3" t="s">
        <v>46</v>
      </c>
      <c r="D4135" s="3" t="str">
        <f>IFERROR(__xludf.DUMMYFUNCTION("GOOGLETRANSLATE(A4135, ""nl"", ""en"")"),"Animals and Organic Forms")</f>
        <v>Animals and Organic Forms</v>
      </c>
      <c r="E4135" s="3" t="str">
        <f>IFERROR(__xludf.DUMMYFUNCTION("GOOGLETRANSLATE(B4135, ""nl"", ""en"")"),"A flock of fish moving as one")</f>
        <v>A flock of fish moving as one</v>
      </c>
    </row>
    <row r="4136" ht="15.75" customHeight="1">
      <c r="A4136" s="3" t="s">
        <v>12</v>
      </c>
      <c r="B4136" s="3" t="s">
        <v>23</v>
      </c>
      <c r="D4136" s="3" t="str">
        <f>IFERROR(__xludf.DUMMYFUNCTION("GOOGLETRANSLATE(A4136, ""nl"", ""en"")"),"Nature and Elements")</f>
        <v>Nature and Elements</v>
      </c>
      <c r="E4136" s="3" t="str">
        <f>IFERROR(__xludf.DUMMYFUNCTION("GOOGLETRANSLATE(B4136, ""nl"", ""en"")"),"A storm cloud splitting in two")</f>
        <v>A storm cloud splitting in two</v>
      </c>
    </row>
    <row r="4137" ht="15.75" customHeight="1">
      <c r="A4137" s="3" t="s">
        <v>12</v>
      </c>
      <c r="B4137" s="3" t="s">
        <v>47</v>
      </c>
      <c r="D4137" s="3" t="str">
        <f>IFERROR(__xludf.DUMMYFUNCTION("GOOGLETRANSLATE(A4137, ""nl"", ""en"")"),"Nature and Elements")</f>
        <v>Nature and Elements</v>
      </c>
      <c r="E4137" s="3" t="str">
        <f>IFERROR(__xludf.DUMMYFUNCTION("GOOGLETRANSLATE(B4137, ""nl"", ""en"")"),"A desert landscape that slowly changes")</f>
        <v>A desert landscape that slowly changes</v>
      </c>
    </row>
    <row r="4138" ht="15.75" customHeight="1">
      <c r="A4138" s="3" t="s">
        <v>7</v>
      </c>
      <c r="B4138" s="3" t="s">
        <v>40</v>
      </c>
      <c r="D4138" s="3" t="str">
        <f>IFERROR(__xludf.DUMMYFUNCTION("GOOGLETRANSLATE(A4138, ""nl"", ""en"")"),"Human Figures and Physicality")</f>
        <v>Human Figures and Physicality</v>
      </c>
      <c r="E4138" s="3" t="str">
        <f>IFERROR(__xludf.DUMMYFUNCTION("GOOGLETRANSLATE(B4138, ""nl"", ""en"")"),"A figure who is withdrawn into himself")</f>
        <v>A figure who is withdrawn into himself</v>
      </c>
    </row>
    <row r="4139" ht="15.75" customHeight="1">
      <c r="A4139" s="3" t="s">
        <v>24</v>
      </c>
      <c r="B4139" s="3" t="s">
        <v>32</v>
      </c>
      <c r="D4139" s="3" t="str">
        <f>IFERROR(__xludf.DUMMYFUNCTION("GOOGLETRANSLATE(A4139, ""nl"", ""en"")"),"Cosmic and Abstract Patterns")</f>
        <v>Cosmic and Abstract Patterns</v>
      </c>
      <c r="E4139" s="3" t="str">
        <f>IFERROR(__xludf.DUMMYFUNCTION("GOOGLETRANSLATE(B4139, ""nl"", ""en"")"),"A time loop captured in image")</f>
        <v>A time loop captured in image</v>
      </c>
    </row>
    <row r="4140" ht="15.75" customHeight="1">
      <c r="A4140" s="3" t="s">
        <v>7</v>
      </c>
      <c r="B4140" s="3" t="s">
        <v>40</v>
      </c>
      <c r="D4140" s="3" t="str">
        <f>IFERROR(__xludf.DUMMYFUNCTION("GOOGLETRANSLATE(A4140, ""nl"", ""en"")"),"Human Figures and Physicality")</f>
        <v>Human Figures and Physicality</v>
      </c>
      <c r="E4140" s="3" t="str">
        <f>IFERROR(__xludf.DUMMYFUNCTION("GOOGLETRANSLATE(B4140, ""nl"", ""en"")"),"A figure who is withdrawn into himself")</f>
        <v>A figure who is withdrawn into himself</v>
      </c>
    </row>
    <row r="4141" ht="15.75" customHeight="1">
      <c r="A4141" s="3" t="s">
        <v>15</v>
      </c>
      <c r="B4141" s="3" t="s">
        <v>46</v>
      </c>
      <c r="D4141" s="3" t="str">
        <f>IFERROR(__xludf.DUMMYFUNCTION("GOOGLETRANSLATE(A4141, ""nl"", ""en"")"),"Animals and Organic Forms")</f>
        <v>Animals and Organic Forms</v>
      </c>
      <c r="E4141" s="3" t="str">
        <f>IFERROR(__xludf.DUMMYFUNCTION("GOOGLETRANSLATE(B4141, ""nl"", ""en"")"),"A flock of fish moving as one")</f>
        <v>A flock of fish moving as one</v>
      </c>
    </row>
    <row r="4142" ht="15.75" customHeight="1">
      <c r="A4142" s="3" t="s">
        <v>15</v>
      </c>
      <c r="B4142" s="3" t="s">
        <v>38</v>
      </c>
      <c r="D4142" s="3" t="str">
        <f>IFERROR(__xludf.DUMMYFUNCTION("GOOGLETRANSLATE(A4142, ""nl"", ""en"")"),"Animals and Organic Forms")</f>
        <v>Animals and Organic Forms</v>
      </c>
      <c r="E4142" s="3" t="str">
        <f>IFERROR(__xludf.DUMMYFUNCTION("GOOGLETRANSLATE(B4142, ""nl"", ""en"")"),"A lion with an open mouth")</f>
        <v>A lion with an open mouth</v>
      </c>
    </row>
    <row r="4143" ht="15.75" customHeight="1">
      <c r="A4143" s="3" t="s">
        <v>12</v>
      </c>
      <c r="B4143" s="3" t="s">
        <v>13</v>
      </c>
      <c r="D4143" s="3" t="str">
        <f>IFERROR(__xludf.DUMMYFUNCTION("GOOGLETRANSLATE(A4143, ""nl"", ""en"")"),"Nature and Elements")</f>
        <v>Nature and Elements</v>
      </c>
      <c r="E4143" s="3" t="str">
        <f>IFERROR(__xludf.DUMMYFUNCTION("GOOGLETRANSLATE(B4143, ""nl"", ""en"")"),"A lightning strike in slow motion")</f>
        <v>A lightning strike in slow motion</v>
      </c>
    </row>
    <row r="4144" ht="15.75" customHeight="1">
      <c r="A4144" s="3" t="s">
        <v>15</v>
      </c>
      <c r="B4144" s="3" t="s">
        <v>16</v>
      </c>
      <c r="D4144" s="3" t="str">
        <f>IFERROR(__xludf.DUMMYFUNCTION("GOOGLETRANSLATE(A4144, ""nl"", ""en"")"),"Animals and Organic Forms")</f>
        <v>Animals and Organic Forms</v>
      </c>
      <c r="E4144" s="3" t="str">
        <f>IFERROR(__xludf.DUMMYFUNCTION("GOOGLETRANSLATE(B4144, ""nl"", ""en"")"),"A butterfly in transformation")</f>
        <v>A butterfly in transformation</v>
      </c>
    </row>
    <row r="4145" ht="15.75" customHeight="1">
      <c r="A4145" s="3" t="s">
        <v>12</v>
      </c>
      <c r="B4145" s="3" t="s">
        <v>51</v>
      </c>
      <c r="D4145" s="3" t="str">
        <f>IFERROR(__xludf.DUMMYFUNCTION("GOOGLETRANSLATE(A4145, ""nl"", ""en"")"),"Nature and Elements")</f>
        <v>Nature and Elements</v>
      </c>
      <c r="E4145" s="3" t="str">
        <f>IFERROR(__xludf.DUMMYFUNCTION("GOOGLETRANSLATE(B4145, ""nl"", ""en"")"),"An evaporating puddle of water")</f>
        <v>An evaporating puddle of water</v>
      </c>
    </row>
    <row r="4146" ht="15.75" customHeight="1">
      <c r="A4146" s="3" t="s">
        <v>7</v>
      </c>
      <c r="B4146" s="3" t="s">
        <v>41</v>
      </c>
      <c r="D4146" s="3" t="str">
        <f>IFERROR(__xludf.DUMMYFUNCTION("GOOGLETRANSLATE(A4146, ""nl"", ""en"")"),"Human Figures and Physicality")</f>
        <v>Human Figures and Physicality</v>
      </c>
      <c r="E4146" s="3" t="str">
        <f>IFERROR(__xludf.DUMMYFUNCTION("GOOGLETRANSLATE(B4146, ""nl"", ""en"")"),"A face that fades into abstraction")</f>
        <v>A face that fades into abstraction</v>
      </c>
    </row>
    <row r="4147" ht="15.75" customHeight="1">
      <c r="A4147" s="3" t="s">
        <v>9</v>
      </c>
      <c r="B4147" s="3" t="s">
        <v>37</v>
      </c>
      <c r="D4147" s="3" t="str">
        <f>IFERROR(__xludf.DUMMYFUNCTION("GOOGLETRANSLATE(A4147, ""nl"", ""en"")"),"Psychological and Emotional Interpretations")</f>
        <v>Psychological and Emotional Interpretations</v>
      </c>
      <c r="E4147" s="3" t="str">
        <f>IFERROR(__xludf.DUMMYFUNCTION("GOOGLETRANSLATE(B4147, ""nl"", ""en"")"),"A figure looking through itself")</f>
        <v>A figure looking through itself</v>
      </c>
    </row>
    <row r="4148" ht="15.75" customHeight="1">
      <c r="A4148" s="3" t="s">
        <v>9</v>
      </c>
      <c r="B4148" s="3" t="s">
        <v>14</v>
      </c>
      <c r="D4148" s="3" t="str">
        <f>IFERROR(__xludf.DUMMYFUNCTION("GOOGLETRANSLATE(A4148, ""nl"", ""en"")"),"Psychological and Emotional Interpretations")</f>
        <v>Psychological and Emotional Interpretations</v>
      </c>
      <c r="E4148" s="3" t="str">
        <f>IFERROR(__xludf.DUMMYFUNCTION("GOOGLETRANSLATE(B4148, ""nl"", ""en"")"),"An unclear hug")</f>
        <v>An unclear hug</v>
      </c>
    </row>
    <row r="4149" ht="15.75" customHeight="1">
      <c r="A4149" s="3" t="s">
        <v>12</v>
      </c>
      <c r="B4149" s="3" t="s">
        <v>18</v>
      </c>
      <c r="D4149" s="3" t="str">
        <f>IFERROR(__xludf.DUMMYFUNCTION("GOOGLETRANSLATE(A4149, ""nl"", ""en"")"),"Nature and Elements")</f>
        <v>Nature and Elements</v>
      </c>
      <c r="E4149" s="3" t="str">
        <f>IFERROR(__xludf.DUMMYFUNCTION("GOOGLETRANSLATE(B4149, ""nl"", ""en"")"),"A tree with endless branches")</f>
        <v>A tree with endless branches</v>
      </c>
    </row>
    <row r="4150" ht="15.75" customHeight="1">
      <c r="A4150" s="3" t="s">
        <v>24</v>
      </c>
      <c r="B4150" s="3" t="s">
        <v>29</v>
      </c>
      <c r="D4150" s="3" t="str">
        <f>IFERROR(__xludf.DUMMYFUNCTION("GOOGLETRANSLATE(A4150, ""nl"", ""en"")"),"Cosmic and Abstract Patterns")</f>
        <v>Cosmic and Abstract Patterns</v>
      </c>
      <c r="E4150" s="3" t="str">
        <f>IFERROR(__xludf.DUMMYFUNCTION("GOOGLETRANSLATE(B4150, ""nl"", ""en"")"),"A galaxy unfolding")</f>
        <v>A galaxy unfolding</v>
      </c>
    </row>
    <row r="4151" ht="15.75" customHeight="1">
      <c r="A4151" s="3" t="s">
        <v>4</v>
      </c>
      <c r="B4151" s="3" t="s">
        <v>6</v>
      </c>
      <c r="D4151" s="3" t="str">
        <f>IFERROR(__xludf.DUMMYFUNCTION("GOOGLETRANSLATE(A4151, ""nl"", ""en"")"),"Architectural and Structural Associations")</f>
        <v>Architectural and Structural Associations</v>
      </c>
      <c r="E4151" s="3" t="str">
        <f>IFERROR(__xludf.DUMMYFUNCTION("GOOGLETRANSLATE(B4151, ""nl"", ""en"")"),"An endless labyrinth")</f>
        <v>An endless labyrinth</v>
      </c>
    </row>
    <row r="4152" ht="15.75" customHeight="1">
      <c r="A4152" s="3" t="s">
        <v>24</v>
      </c>
      <c r="B4152" s="3" t="s">
        <v>27</v>
      </c>
      <c r="D4152" s="3" t="str">
        <f>IFERROR(__xludf.DUMMYFUNCTION("GOOGLETRANSLATE(A4152, ""nl"", ""en"")"),"Cosmic and Abstract Patterns")</f>
        <v>Cosmic and Abstract Patterns</v>
      </c>
      <c r="E4152" s="3" t="str">
        <f>IFERROR(__xludf.DUMMYFUNCTION("GOOGLETRANSLATE(B4152, ""nl"", ""en"")"),"A pair of black holes in dance")</f>
        <v>A pair of black holes in dance</v>
      </c>
    </row>
    <row r="4153" ht="15.75" customHeight="1">
      <c r="A4153" s="3" t="s">
        <v>15</v>
      </c>
      <c r="B4153" s="3" t="s">
        <v>26</v>
      </c>
      <c r="D4153" s="3" t="str">
        <f>IFERROR(__xludf.DUMMYFUNCTION("GOOGLETRANSLATE(A4153, ""nl"", ""en"")"),"Animals and Organic Forms")</f>
        <v>Animals and Organic Forms</v>
      </c>
      <c r="E4153" s="3" t="str">
        <f>IFERROR(__xludf.DUMMYFUNCTION("GOOGLETRANSLATE(B4153, ""nl"", ""en"")"),"A frog preparing to jump")</f>
        <v>A frog preparing to jump</v>
      </c>
    </row>
    <row r="4154" ht="15.75" customHeight="1">
      <c r="A4154" s="3" t="s">
        <v>15</v>
      </c>
      <c r="B4154" s="3" t="s">
        <v>46</v>
      </c>
      <c r="D4154" s="3" t="str">
        <f>IFERROR(__xludf.DUMMYFUNCTION("GOOGLETRANSLATE(A4154, ""nl"", ""en"")"),"Animals and Organic Forms")</f>
        <v>Animals and Organic Forms</v>
      </c>
      <c r="E4154" s="3" t="str">
        <f>IFERROR(__xludf.DUMMYFUNCTION("GOOGLETRANSLATE(B4154, ""nl"", ""en"")"),"A flock of fish moving as one")</f>
        <v>A flock of fish moving as one</v>
      </c>
    </row>
    <row r="4155" ht="15.75" customHeight="1">
      <c r="A4155" s="3" t="s">
        <v>12</v>
      </c>
      <c r="B4155" s="3" t="s">
        <v>30</v>
      </c>
      <c r="D4155" s="3" t="str">
        <f>IFERROR(__xludf.DUMMYFUNCTION("GOOGLETRANSLATE(A4155, ""nl"", ""en"")"),"Nature and Elements")</f>
        <v>Nature and Elements</v>
      </c>
      <c r="E4155" s="3" t="str">
        <f>IFERROR(__xludf.DUMMYFUNCTION("GOOGLETRANSLATE(B4155, ""nl"", ""en"")"),"Waves breaking in fractal patterns")</f>
        <v>Waves breaking in fractal patterns</v>
      </c>
    </row>
    <row r="4156" ht="15.75" customHeight="1">
      <c r="A4156" s="3" t="s">
        <v>7</v>
      </c>
      <c r="B4156" s="3" t="s">
        <v>34</v>
      </c>
      <c r="D4156" s="3" t="str">
        <f>IFERROR(__xludf.DUMMYFUNCTION("GOOGLETRANSLATE(A4156, ""nl"", ""en"")"),"Human Figures and Physicality")</f>
        <v>Human Figures and Physicality</v>
      </c>
      <c r="E4156" s="3" t="str">
        <f>IFERROR(__xludf.DUMMYFUNCTION("GOOGLETRANSLATE(B4156, ""nl"", ""en"")"),"Hands almost touching")</f>
        <v>Hands almost touching</v>
      </c>
    </row>
    <row r="4157" ht="15.75" customHeight="1">
      <c r="A4157" s="3" t="s">
        <v>12</v>
      </c>
      <c r="B4157" s="3" t="s">
        <v>30</v>
      </c>
      <c r="D4157" s="3" t="str">
        <f>IFERROR(__xludf.DUMMYFUNCTION("GOOGLETRANSLATE(A4157, ""nl"", ""en"")"),"Nature and Elements")</f>
        <v>Nature and Elements</v>
      </c>
      <c r="E4157" s="3" t="str">
        <f>IFERROR(__xludf.DUMMYFUNCTION("GOOGLETRANSLATE(B4157, ""nl"", ""en"")"),"Waves breaking in fractal patterns")</f>
        <v>Waves breaking in fractal patterns</v>
      </c>
    </row>
    <row r="4158" ht="15.75" customHeight="1">
      <c r="A4158" s="3" t="s">
        <v>4</v>
      </c>
      <c r="B4158" s="3" t="s">
        <v>43</v>
      </c>
      <c r="D4158" s="3" t="str">
        <f>IFERROR(__xludf.DUMMYFUNCTION("GOOGLETRANSLATE(A4158, ""nl"", ""en"")"),"Architectural and Structural Associations")</f>
        <v>Architectural and Structural Associations</v>
      </c>
      <c r="E4158" s="3" t="str">
        <f>IFERROR(__xludf.DUMMYFUNCTION("GOOGLETRANSLATE(B4158, ""nl"", ""en"")"),"A network of tunnels and passages")</f>
        <v>A network of tunnels and passages</v>
      </c>
    </row>
    <row r="4159" ht="15.75" customHeight="1">
      <c r="A4159" s="3" t="s">
        <v>7</v>
      </c>
      <c r="B4159" s="3" t="s">
        <v>39</v>
      </c>
      <c r="D4159" s="3" t="str">
        <f>IFERROR(__xludf.DUMMYFUNCTION("GOOGLETRANSLATE(A4159, ""nl"", ""en"")"),"Human Figures and Physicality")</f>
        <v>Human Figures and Physicality</v>
      </c>
      <c r="E4159" s="3" t="str">
        <f>IFERROR(__xludf.DUMMYFUNCTION("GOOGLETRANSLATE(B4159, ""nl"", ""en"")"),"A torso without a head")</f>
        <v>A torso without a head</v>
      </c>
    </row>
    <row r="4160" ht="15.75" customHeight="1">
      <c r="A4160" s="3" t="s">
        <v>9</v>
      </c>
      <c r="B4160" s="3" t="s">
        <v>57</v>
      </c>
      <c r="D4160" s="3" t="str">
        <f>IFERROR(__xludf.DUMMYFUNCTION("GOOGLETRANSLATE(A4160, ""nl"", ""en"")"),"Psychological and Emotional Interpretations")</f>
        <v>Psychological and Emotional Interpretations</v>
      </c>
      <c r="E4160" s="3" t="str">
        <f>IFERROR(__xludf.DUMMYFUNCTION("GOOGLETRANSLATE(B4160, ""nl"", ""en"")"),"An explosion of colours and feelings")</f>
        <v>An explosion of colours and feelings</v>
      </c>
    </row>
    <row r="4161" ht="15.75" customHeight="1">
      <c r="A4161" s="3" t="s">
        <v>24</v>
      </c>
      <c r="B4161" s="3" t="s">
        <v>32</v>
      </c>
      <c r="D4161" s="3" t="str">
        <f>IFERROR(__xludf.DUMMYFUNCTION("GOOGLETRANSLATE(A4161, ""nl"", ""en"")"),"Cosmic and Abstract Patterns")</f>
        <v>Cosmic and Abstract Patterns</v>
      </c>
      <c r="E4161" s="3" t="str">
        <f>IFERROR(__xludf.DUMMYFUNCTION("GOOGLETRANSLATE(B4161, ""nl"", ""en"")"),"A time loop captured in image")</f>
        <v>A time loop captured in image</v>
      </c>
    </row>
    <row r="4162" ht="15.75" customHeight="1">
      <c r="A4162" s="3" t="s">
        <v>12</v>
      </c>
      <c r="B4162" s="3" t="s">
        <v>47</v>
      </c>
      <c r="D4162" s="3" t="str">
        <f>IFERROR(__xludf.DUMMYFUNCTION("GOOGLETRANSLATE(A4162, ""nl"", ""en"")"),"Nature and Elements")</f>
        <v>Nature and Elements</v>
      </c>
      <c r="E4162" s="3" t="str">
        <f>IFERROR(__xludf.DUMMYFUNCTION("GOOGLETRANSLATE(B4162, ""nl"", ""en"")"),"A desert landscape that slowly changes")</f>
        <v>A desert landscape that slowly changes</v>
      </c>
    </row>
    <row r="4163" ht="15.75" customHeight="1">
      <c r="A4163" s="3" t="s">
        <v>7</v>
      </c>
      <c r="B4163" s="3" t="s">
        <v>56</v>
      </c>
      <c r="D4163" s="3" t="str">
        <f>IFERROR(__xludf.DUMMYFUNCTION("GOOGLETRANSLATE(A4163, ""nl"", ""en"")"),"Human Figures and Physicality")</f>
        <v>Human Figures and Physicality</v>
      </c>
      <c r="E4163" s="3" t="str">
        <f>IFERROR(__xludf.DUMMYFUNCTION("GOOGLETRANSLATE(B4163, ""nl"", ""en"")"),"A shadow that seems to move")</f>
        <v>A shadow that seems to move</v>
      </c>
    </row>
    <row r="4164" ht="15.75" customHeight="1">
      <c r="A4164" s="3" t="s">
        <v>12</v>
      </c>
      <c r="B4164" s="3" t="s">
        <v>51</v>
      </c>
      <c r="D4164" s="3" t="str">
        <f>IFERROR(__xludf.DUMMYFUNCTION("GOOGLETRANSLATE(A4164, ""nl"", ""en"")"),"Nature and Elements")</f>
        <v>Nature and Elements</v>
      </c>
      <c r="E4164" s="3" t="str">
        <f>IFERROR(__xludf.DUMMYFUNCTION("GOOGLETRANSLATE(B4164, ""nl"", ""en"")"),"An evaporating puddle of water")</f>
        <v>An evaporating puddle of water</v>
      </c>
    </row>
    <row r="4165" ht="15.75" customHeight="1">
      <c r="A4165" s="3" t="s">
        <v>4</v>
      </c>
      <c r="B4165" s="3" t="s">
        <v>43</v>
      </c>
      <c r="D4165" s="3" t="str">
        <f>IFERROR(__xludf.DUMMYFUNCTION("GOOGLETRANSLATE(A4165, ""nl"", ""en"")"),"Architectural and Structural Associations")</f>
        <v>Architectural and Structural Associations</v>
      </c>
      <c r="E4165" s="3" t="str">
        <f>IFERROR(__xludf.DUMMYFUNCTION("GOOGLETRANSLATE(B4165, ""nl"", ""en"")"),"A network of tunnels and passages")</f>
        <v>A network of tunnels and passages</v>
      </c>
    </row>
    <row r="4166" ht="15.75" customHeight="1">
      <c r="A4166" s="3" t="s">
        <v>12</v>
      </c>
      <c r="B4166" s="3" t="s">
        <v>23</v>
      </c>
      <c r="D4166" s="3" t="str">
        <f>IFERROR(__xludf.DUMMYFUNCTION("GOOGLETRANSLATE(A4166, ""nl"", ""en"")"),"Nature and Elements")</f>
        <v>Nature and Elements</v>
      </c>
      <c r="E4166" s="3" t="str">
        <f>IFERROR(__xludf.DUMMYFUNCTION("GOOGLETRANSLATE(B4166, ""nl"", ""en"")"),"A storm cloud splitting in two")</f>
        <v>A storm cloud splitting in two</v>
      </c>
    </row>
    <row r="4167" ht="15.75" customHeight="1">
      <c r="A4167" s="3" t="s">
        <v>9</v>
      </c>
      <c r="B4167" s="3" t="s">
        <v>37</v>
      </c>
      <c r="D4167" s="3" t="str">
        <f>IFERROR(__xludf.DUMMYFUNCTION("GOOGLETRANSLATE(A4167, ""nl"", ""en"")"),"Psychological and Emotional Interpretations")</f>
        <v>Psychological and Emotional Interpretations</v>
      </c>
      <c r="E4167" s="3" t="str">
        <f>IFERROR(__xludf.DUMMYFUNCTION("GOOGLETRANSLATE(B4167, ""nl"", ""en"")"),"A figure looking through itself")</f>
        <v>A figure looking through itself</v>
      </c>
    </row>
    <row r="4168" ht="15.75" customHeight="1">
      <c r="A4168" s="3" t="s">
        <v>7</v>
      </c>
      <c r="B4168" s="3" t="s">
        <v>53</v>
      </c>
      <c r="D4168" s="3" t="str">
        <f>IFERROR(__xludf.DUMMYFUNCTION("GOOGLETRANSLATE(A4168, ""nl"", ""en"")"),"Human Figures and Physicality")</f>
        <v>Human Figures and Physicality</v>
      </c>
      <c r="E4168" s="3" t="str">
        <f>IFERROR(__xludf.DUMMYFUNCTION("GOOGLETRANSLATE(B4168, ""nl"", ""en"")"),"A face that both smiles and cries")</f>
        <v>A face that both smiles and cries</v>
      </c>
    </row>
    <row r="4169" ht="15.75" customHeight="1">
      <c r="A4169" s="3" t="s">
        <v>9</v>
      </c>
      <c r="B4169" s="3" t="s">
        <v>14</v>
      </c>
      <c r="D4169" s="3" t="str">
        <f>IFERROR(__xludf.DUMMYFUNCTION("GOOGLETRANSLATE(A4169, ""nl"", ""en"")"),"Psychological and Emotional Interpretations")</f>
        <v>Psychological and Emotional Interpretations</v>
      </c>
      <c r="E4169" s="3" t="str">
        <f>IFERROR(__xludf.DUMMYFUNCTION("GOOGLETRANSLATE(B4169, ""nl"", ""en"")"),"An unclear hug")</f>
        <v>An unclear hug</v>
      </c>
    </row>
    <row r="4170" ht="15.75" customHeight="1">
      <c r="A4170" s="3" t="s">
        <v>4</v>
      </c>
      <c r="B4170" s="3" t="s">
        <v>5</v>
      </c>
      <c r="D4170" s="3" t="str">
        <f>IFERROR(__xludf.DUMMYFUNCTION("GOOGLETRANSLATE(A4170, ""nl"", ""en"")"),"Architectural and Structural Associations")</f>
        <v>Architectural and Structural Associations</v>
      </c>
      <c r="E4170" s="3" t="str">
        <f>IFERROR(__xludf.DUMMYFUNCTION("GOOGLETRANSLATE(B4170, ""nl"", ""en"")"),"A cathedral shaped from mist")</f>
        <v>A cathedral shaped from mist</v>
      </c>
    </row>
    <row r="4171" ht="15.75" customHeight="1">
      <c r="A4171" s="3" t="s">
        <v>24</v>
      </c>
      <c r="B4171" s="3" t="s">
        <v>27</v>
      </c>
      <c r="D4171" s="3" t="str">
        <f>IFERROR(__xludf.DUMMYFUNCTION("GOOGLETRANSLATE(A4171, ""nl"", ""en"")"),"Cosmic and Abstract Patterns")</f>
        <v>Cosmic and Abstract Patterns</v>
      </c>
      <c r="E4171" s="3" t="str">
        <f>IFERROR(__xludf.DUMMYFUNCTION("GOOGLETRANSLATE(B4171, ""nl"", ""en"")"),"A pair of black holes in dance")</f>
        <v>A pair of black holes in dance</v>
      </c>
    </row>
    <row r="4172" ht="15.75" customHeight="1">
      <c r="A4172" s="3" t="s">
        <v>4</v>
      </c>
      <c r="B4172" s="3" t="s">
        <v>20</v>
      </c>
      <c r="D4172" s="3" t="str">
        <f>IFERROR(__xludf.DUMMYFUNCTION("GOOGLETRANSLATE(A4172, ""nl"", ""en"")"),"Architectural and Structural Associations")</f>
        <v>Architectural and Structural Associations</v>
      </c>
      <c r="E4172" s="3" t="str">
        <f>IFERROR(__xludf.DUMMYFUNCTION("GOOGLETRANSLATE(B4172, ""nl"", ""en"")"),"A tower that grows by itself")</f>
        <v>A tower that grows by itself</v>
      </c>
    </row>
    <row r="4173" ht="15.75" customHeight="1">
      <c r="A4173" s="3" t="s">
        <v>4</v>
      </c>
      <c r="B4173" s="3" t="s">
        <v>5</v>
      </c>
      <c r="D4173" s="3" t="str">
        <f>IFERROR(__xludf.DUMMYFUNCTION("GOOGLETRANSLATE(A4173, ""nl"", ""en"")"),"Architectural and Structural Associations")</f>
        <v>Architectural and Structural Associations</v>
      </c>
      <c r="E4173" s="3" t="str">
        <f>IFERROR(__xludf.DUMMYFUNCTION("GOOGLETRANSLATE(B4173, ""nl"", ""en"")"),"A cathedral shaped from mist")</f>
        <v>A cathedral shaped from mist</v>
      </c>
    </row>
    <row r="4174" ht="15.75" customHeight="1">
      <c r="A4174" s="3" t="s">
        <v>9</v>
      </c>
      <c r="B4174" s="3" t="s">
        <v>14</v>
      </c>
      <c r="D4174" s="3" t="str">
        <f>IFERROR(__xludf.DUMMYFUNCTION("GOOGLETRANSLATE(A4174, ""nl"", ""en"")"),"Psychological and Emotional Interpretations")</f>
        <v>Psychological and Emotional Interpretations</v>
      </c>
      <c r="E4174" s="3" t="str">
        <f>IFERROR(__xludf.DUMMYFUNCTION("GOOGLETRANSLATE(B4174, ""nl"", ""en"")"),"An unclear hug")</f>
        <v>An unclear hug</v>
      </c>
    </row>
    <row r="4175" ht="15.75" customHeight="1">
      <c r="A4175" s="3" t="s">
        <v>24</v>
      </c>
      <c r="B4175" s="3" t="s">
        <v>32</v>
      </c>
      <c r="D4175" s="3" t="str">
        <f>IFERROR(__xludf.DUMMYFUNCTION("GOOGLETRANSLATE(A4175, ""nl"", ""en"")"),"Cosmic and Abstract Patterns")</f>
        <v>Cosmic and Abstract Patterns</v>
      </c>
      <c r="E4175" s="3" t="str">
        <f>IFERROR(__xludf.DUMMYFUNCTION("GOOGLETRANSLATE(B4175, ""nl"", ""en"")"),"A time loop captured in image")</f>
        <v>A time loop captured in image</v>
      </c>
    </row>
    <row r="4176" ht="15.75" customHeight="1">
      <c r="A4176" s="3" t="s">
        <v>9</v>
      </c>
      <c r="B4176" s="3" t="s">
        <v>10</v>
      </c>
      <c r="D4176" s="3" t="str">
        <f>IFERROR(__xludf.DUMMYFUNCTION("GOOGLETRANSLATE(A4176, ""nl"", ""en"")"),"Psychological and Emotional Interpretations")</f>
        <v>Psychological and Emotional Interpretations</v>
      </c>
      <c r="E4176" s="3" t="str">
        <f>IFERROR(__xludf.DUMMYFUNCTION("GOOGLETRANSLATE(B4176, ""nl"", ""en"")"),"A face transforming in light")</f>
        <v>A face transforming in light</v>
      </c>
    </row>
    <row r="4177" ht="15.75" customHeight="1">
      <c r="A4177" s="3" t="s">
        <v>7</v>
      </c>
      <c r="B4177" s="3" t="s">
        <v>28</v>
      </c>
      <c r="D4177" s="3" t="str">
        <f>IFERROR(__xludf.DUMMYFUNCTION("GOOGLETRANSLATE(A4177, ""nl"", ""en"")"),"Human Figures and Physicality")</f>
        <v>Human Figures and Physicality</v>
      </c>
      <c r="E4177" s="3" t="str">
        <f>IFERROR(__xludf.DUMMYFUNCTION("GOOGLETRANSLATE(B4177, ""nl"", ""en"")"),"A dancing silhouette")</f>
        <v>A dancing silhouette</v>
      </c>
    </row>
    <row r="4178" ht="15.75" customHeight="1">
      <c r="A4178" s="3" t="s">
        <v>4</v>
      </c>
      <c r="B4178" s="3" t="s">
        <v>6</v>
      </c>
      <c r="D4178" s="3" t="str">
        <f>IFERROR(__xludf.DUMMYFUNCTION("GOOGLETRANSLATE(A4178, ""nl"", ""en"")"),"Architectural and Structural Associations")</f>
        <v>Architectural and Structural Associations</v>
      </c>
      <c r="E4178" s="3" t="str">
        <f>IFERROR(__xludf.DUMMYFUNCTION("GOOGLETRANSLATE(B4178, ""nl"", ""en"")"),"An endless labyrinth")</f>
        <v>An endless labyrinth</v>
      </c>
    </row>
    <row r="4179" ht="15.75" customHeight="1">
      <c r="A4179" s="3" t="s">
        <v>7</v>
      </c>
      <c r="B4179" s="3" t="s">
        <v>34</v>
      </c>
      <c r="D4179" s="3" t="str">
        <f>IFERROR(__xludf.DUMMYFUNCTION("GOOGLETRANSLATE(A4179, ""nl"", ""en"")"),"Human Figures and Physicality")</f>
        <v>Human Figures and Physicality</v>
      </c>
      <c r="E4179" s="3" t="str">
        <f>IFERROR(__xludf.DUMMYFUNCTION("GOOGLETRANSLATE(B4179, ""nl"", ""en"")"),"Hands almost touching")</f>
        <v>Hands almost touching</v>
      </c>
    </row>
    <row r="4180" ht="15.75" customHeight="1">
      <c r="A4180" s="3" t="s">
        <v>4</v>
      </c>
      <c r="B4180" s="3" t="s">
        <v>5</v>
      </c>
      <c r="D4180" s="3" t="str">
        <f>IFERROR(__xludf.DUMMYFUNCTION("GOOGLETRANSLATE(A4180, ""nl"", ""en"")"),"Architectural and Structural Associations")</f>
        <v>Architectural and Structural Associations</v>
      </c>
      <c r="E4180" s="3" t="str">
        <f>IFERROR(__xludf.DUMMYFUNCTION("GOOGLETRANSLATE(B4180, ""nl"", ""en"")"),"A cathedral shaped from mist")</f>
        <v>A cathedral shaped from mist</v>
      </c>
    </row>
    <row r="4181" ht="15.75" customHeight="1">
      <c r="A4181" s="3" t="s">
        <v>4</v>
      </c>
      <c r="B4181" s="3" t="s">
        <v>5</v>
      </c>
      <c r="D4181" s="3" t="str">
        <f>IFERROR(__xludf.DUMMYFUNCTION("GOOGLETRANSLATE(A4181, ""nl"", ""en"")"),"Architectural and Structural Associations")</f>
        <v>Architectural and Structural Associations</v>
      </c>
      <c r="E4181" s="3" t="str">
        <f>IFERROR(__xludf.DUMMYFUNCTION("GOOGLETRANSLATE(B4181, ""nl"", ""en"")"),"A cathedral shaped from mist")</f>
        <v>A cathedral shaped from mist</v>
      </c>
    </row>
    <row r="4182" ht="15.75" customHeight="1">
      <c r="A4182" s="3" t="s">
        <v>7</v>
      </c>
      <c r="B4182" s="3" t="s">
        <v>56</v>
      </c>
      <c r="D4182" s="3" t="str">
        <f>IFERROR(__xludf.DUMMYFUNCTION("GOOGLETRANSLATE(A4182, ""nl"", ""en"")"),"Human Figures and Physicality")</f>
        <v>Human Figures and Physicality</v>
      </c>
      <c r="E4182" s="3" t="str">
        <f>IFERROR(__xludf.DUMMYFUNCTION("GOOGLETRANSLATE(B4182, ""nl"", ""en"")"),"A shadow that seems to move")</f>
        <v>A shadow that seems to move</v>
      </c>
    </row>
    <row r="4183" ht="15.75" customHeight="1">
      <c r="A4183" s="3" t="s">
        <v>9</v>
      </c>
      <c r="B4183" s="3" t="s">
        <v>17</v>
      </c>
      <c r="D4183" s="3" t="str">
        <f>IFERROR(__xludf.DUMMYFUNCTION("GOOGLETRANSLATE(A4183, ""nl"", ""en"")"),"Psychological and Emotional Interpretations")</f>
        <v>Psychological and Emotional Interpretations</v>
      </c>
      <c r="E4183" s="3" t="str">
        <f>IFERROR(__xludf.DUMMYFUNCTION("GOOGLETRANSLATE(B4183, ""nl"", ""en"")"),"A figure that seems to melt")</f>
        <v>A figure that seems to melt</v>
      </c>
    </row>
    <row r="4184" ht="15.75" customHeight="1">
      <c r="A4184" s="3" t="s">
        <v>7</v>
      </c>
      <c r="B4184" s="3" t="s">
        <v>34</v>
      </c>
      <c r="D4184" s="3" t="str">
        <f>IFERROR(__xludf.DUMMYFUNCTION("GOOGLETRANSLATE(A4184, ""nl"", ""en"")"),"Human Figures and Physicality")</f>
        <v>Human Figures and Physicality</v>
      </c>
      <c r="E4184" s="3" t="str">
        <f>IFERROR(__xludf.DUMMYFUNCTION("GOOGLETRANSLATE(B4184, ""nl"", ""en"")"),"Hands almost touching")</f>
        <v>Hands almost touching</v>
      </c>
    </row>
    <row r="4185" ht="15.75" customHeight="1">
      <c r="A4185" s="3" t="s">
        <v>4</v>
      </c>
      <c r="B4185" s="3" t="s">
        <v>20</v>
      </c>
      <c r="D4185" s="3" t="str">
        <f>IFERROR(__xludf.DUMMYFUNCTION("GOOGLETRANSLATE(A4185, ""nl"", ""en"")"),"Architectural and Structural Associations")</f>
        <v>Architectural and Structural Associations</v>
      </c>
      <c r="E4185" s="3" t="str">
        <f>IFERROR(__xludf.DUMMYFUNCTION("GOOGLETRANSLATE(B4185, ""nl"", ""en"")"),"A tower that grows by itself")</f>
        <v>A tower that grows by itself</v>
      </c>
    </row>
    <row r="4186" ht="15.75" customHeight="1">
      <c r="A4186" s="3" t="s">
        <v>9</v>
      </c>
      <c r="B4186" s="3" t="s">
        <v>14</v>
      </c>
      <c r="D4186" s="3" t="str">
        <f>IFERROR(__xludf.DUMMYFUNCTION("GOOGLETRANSLATE(A4186, ""nl"", ""en"")"),"Psychological and Emotional Interpretations")</f>
        <v>Psychological and Emotional Interpretations</v>
      </c>
      <c r="E4186" s="3" t="str">
        <f>IFERROR(__xludf.DUMMYFUNCTION("GOOGLETRANSLATE(B4186, ""nl"", ""en"")"),"An unclear hug")</f>
        <v>An unclear hug</v>
      </c>
    </row>
    <row r="4187" ht="15.75" customHeight="1">
      <c r="A4187" s="3" t="s">
        <v>7</v>
      </c>
      <c r="B4187" s="3" t="s">
        <v>28</v>
      </c>
      <c r="D4187" s="3" t="str">
        <f>IFERROR(__xludf.DUMMYFUNCTION("GOOGLETRANSLATE(A4187, ""nl"", ""en"")"),"Human Figures and Physicality")</f>
        <v>Human Figures and Physicality</v>
      </c>
      <c r="E4187" s="3" t="str">
        <f>IFERROR(__xludf.DUMMYFUNCTION("GOOGLETRANSLATE(B4187, ""nl"", ""en"")"),"A dancing silhouette")</f>
        <v>A dancing silhouette</v>
      </c>
    </row>
    <row r="4188" ht="15.75" customHeight="1">
      <c r="A4188" s="3" t="s">
        <v>9</v>
      </c>
      <c r="B4188" s="3" t="s">
        <v>49</v>
      </c>
      <c r="D4188" s="3" t="str">
        <f>IFERROR(__xludf.DUMMYFUNCTION("GOOGLETRANSLATE(A4188, ""nl"", ""en"")"),"Psychological and Emotional Interpretations")</f>
        <v>Psychological and Emotional Interpretations</v>
      </c>
      <c r="E4188" s="3" t="str">
        <f>IFERROR(__xludf.DUMMYFUNCTION("GOOGLETRANSLATE(B4188, ""nl"", ""en"")"),"A spiral that turns inward")</f>
        <v>A spiral that turns inward</v>
      </c>
    </row>
    <row r="4189" ht="15.75" customHeight="1">
      <c r="A4189" s="3" t="s">
        <v>12</v>
      </c>
      <c r="B4189" s="3" t="s">
        <v>51</v>
      </c>
      <c r="D4189" s="3" t="str">
        <f>IFERROR(__xludf.DUMMYFUNCTION("GOOGLETRANSLATE(A4189, ""nl"", ""en"")"),"Nature and Elements")</f>
        <v>Nature and Elements</v>
      </c>
      <c r="E4189" s="3" t="str">
        <f>IFERROR(__xludf.DUMMYFUNCTION("GOOGLETRANSLATE(B4189, ""nl"", ""en"")"),"An evaporating puddle of water")</f>
        <v>An evaporating puddle of water</v>
      </c>
    </row>
    <row r="4190" ht="15.75" customHeight="1">
      <c r="A4190" s="3" t="s">
        <v>24</v>
      </c>
      <c r="B4190" s="3" t="s">
        <v>32</v>
      </c>
      <c r="D4190" s="3" t="str">
        <f>IFERROR(__xludf.DUMMYFUNCTION("GOOGLETRANSLATE(A4190, ""nl"", ""en"")"),"Cosmic and Abstract Patterns")</f>
        <v>Cosmic and Abstract Patterns</v>
      </c>
      <c r="E4190" s="3" t="str">
        <f>IFERROR(__xludf.DUMMYFUNCTION("GOOGLETRANSLATE(B4190, ""nl"", ""en"")"),"A time loop captured in image")</f>
        <v>A time loop captured in image</v>
      </c>
    </row>
    <row r="4191" ht="15.75" customHeight="1">
      <c r="A4191" s="3" t="s">
        <v>7</v>
      </c>
      <c r="B4191" s="3" t="s">
        <v>53</v>
      </c>
      <c r="D4191" s="3" t="str">
        <f>IFERROR(__xludf.DUMMYFUNCTION("GOOGLETRANSLATE(A4191, ""nl"", ""en"")"),"Human Figures and Physicality")</f>
        <v>Human Figures and Physicality</v>
      </c>
      <c r="E4191" s="3" t="str">
        <f>IFERROR(__xludf.DUMMYFUNCTION("GOOGLETRANSLATE(B4191, ""nl"", ""en"")"),"A face that both smiles and cries")</f>
        <v>A face that both smiles and cries</v>
      </c>
    </row>
    <row r="4192" ht="15.75" customHeight="1">
      <c r="A4192" s="3" t="s">
        <v>7</v>
      </c>
      <c r="B4192" s="3" t="s">
        <v>34</v>
      </c>
      <c r="D4192" s="3" t="str">
        <f>IFERROR(__xludf.DUMMYFUNCTION("GOOGLETRANSLATE(A4192, ""nl"", ""en"")"),"Human Figures and Physicality")</f>
        <v>Human Figures and Physicality</v>
      </c>
      <c r="E4192" s="3" t="str">
        <f>IFERROR(__xludf.DUMMYFUNCTION("GOOGLETRANSLATE(B4192, ""nl"", ""en"")"),"Hands almost touching")</f>
        <v>Hands almost touching</v>
      </c>
    </row>
    <row r="4193" ht="15.75" customHeight="1">
      <c r="A4193" s="3" t="s">
        <v>9</v>
      </c>
      <c r="B4193" s="3" t="s">
        <v>57</v>
      </c>
      <c r="D4193" s="3" t="str">
        <f>IFERROR(__xludf.DUMMYFUNCTION("GOOGLETRANSLATE(A4193, ""nl"", ""en"")"),"Psychological and Emotional Interpretations")</f>
        <v>Psychological and Emotional Interpretations</v>
      </c>
      <c r="E4193" s="3" t="str">
        <f>IFERROR(__xludf.DUMMYFUNCTION("GOOGLETRANSLATE(B4193, ""nl"", ""en"")"),"An explosion of colours and feelings")</f>
        <v>An explosion of colours and feelings</v>
      </c>
    </row>
    <row r="4194" ht="15.75" customHeight="1">
      <c r="A4194" s="3" t="s">
        <v>4</v>
      </c>
      <c r="B4194" s="3" t="s">
        <v>21</v>
      </c>
      <c r="D4194" s="3" t="str">
        <f>IFERROR(__xludf.DUMMYFUNCTION("GOOGLETRANSLATE(A4194, ""nl"", ""en"")"),"Architectural and Structural Associations")</f>
        <v>Architectural and Structural Associations</v>
      </c>
      <c r="E4194" s="3" t="str">
        <f>IFERROR(__xludf.DUMMYFUNCTION("GOOGLETRANSLATE(B4194, ""nl"", ""en"")"),"A bridge that leads nowhere")</f>
        <v>A bridge that leads nowhere</v>
      </c>
    </row>
    <row r="4195" ht="15.75" customHeight="1">
      <c r="A4195" s="3" t="s">
        <v>24</v>
      </c>
      <c r="B4195" s="3" t="s">
        <v>48</v>
      </c>
      <c r="D4195" s="3" t="str">
        <f>IFERROR(__xludf.DUMMYFUNCTION("GOOGLETRANSLATE(A4195, ""nl"", ""en"")"),"Cosmic and Abstract Patterns")</f>
        <v>Cosmic and Abstract Patterns</v>
      </c>
      <c r="E4195" s="3" t="str">
        <f>IFERROR(__xludf.DUMMYFUNCTION("GOOGLETRANSLATE(B4195, ""nl"", ""en"")"),"A fractal that repeats itself")</f>
        <v>A fractal that repeats itself</v>
      </c>
    </row>
    <row r="4196" ht="15.75" customHeight="1">
      <c r="A4196" s="3" t="s">
        <v>24</v>
      </c>
      <c r="B4196" s="3" t="s">
        <v>32</v>
      </c>
      <c r="D4196" s="3" t="str">
        <f>IFERROR(__xludf.DUMMYFUNCTION("GOOGLETRANSLATE(A4196, ""nl"", ""en"")"),"Cosmic and Abstract Patterns")</f>
        <v>Cosmic and Abstract Patterns</v>
      </c>
      <c r="E4196" s="3" t="str">
        <f>IFERROR(__xludf.DUMMYFUNCTION("GOOGLETRANSLATE(B4196, ""nl"", ""en"")"),"A time loop captured in image")</f>
        <v>A time loop captured in image</v>
      </c>
    </row>
    <row r="4197" ht="15.75" customHeight="1">
      <c r="A4197" s="3" t="s">
        <v>7</v>
      </c>
      <c r="B4197" s="3" t="s">
        <v>40</v>
      </c>
      <c r="D4197" s="3" t="str">
        <f>IFERROR(__xludf.DUMMYFUNCTION("GOOGLETRANSLATE(A4197, ""nl"", ""en"")"),"Human Figures and Physicality")</f>
        <v>Human Figures and Physicality</v>
      </c>
      <c r="E4197" s="3" t="str">
        <f>IFERROR(__xludf.DUMMYFUNCTION("GOOGLETRANSLATE(B4197, ""nl"", ""en"")"),"A figure who is withdrawn into himself")</f>
        <v>A figure who is withdrawn into himself</v>
      </c>
    </row>
    <row r="4198" ht="15.75" customHeight="1">
      <c r="A4198" s="3" t="s">
        <v>12</v>
      </c>
      <c r="B4198" s="3" t="s">
        <v>18</v>
      </c>
      <c r="D4198" s="3" t="str">
        <f>IFERROR(__xludf.DUMMYFUNCTION("GOOGLETRANSLATE(A4198, ""nl"", ""en"")"),"Nature and Elements")</f>
        <v>Nature and Elements</v>
      </c>
      <c r="E4198" s="3" t="str">
        <f>IFERROR(__xludf.DUMMYFUNCTION("GOOGLETRANSLATE(B4198, ""nl"", ""en"")"),"A tree with endless branches")</f>
        <v>A tree with endless branches</v>
      </c>
    </row>
    <row r="4199" ht="15.75" customHeight="1">
      <c r="A4199" s="3" t="s">
        <v>15</v>
      </c>
      <c r="B4199" s="3" t="s">
        <v>45</v>
      </c>
      <c r="D4199" s="3" t="str">
        <f>IFERROR(__xludf.DUMMYFUNCTION("GOOGLETRANSLATE(A4199, ""nl"", ""en"")"),"Animals and Organic Forms")</f>
        <v>Animals and Organic Forms</v>
      </c>
      <c r="E4199" s="3" t="str">
        <f>IFERROR(__xludf.DUMMYFUNCTION("GOOGLETRANSLATE(B4199, ""nl"", ""en"")"),"A snake biting its own tail")</f>
        <v>A snake biting its own tail</v>
      </c>
    </row>
    <row r="4200" ht="15.75" customHeight="1">
      <c r="A4200" s="3" t="s">
        <v>15</v>
      </c>
      <c r="B4200" s="3" t="s">
        <v>52</v>
      </c>
      <c r="D4200" s="3" t="str">
        <f>IFERROR(__xludf.DUMMYFUNCTION("GOOGLETRANSLATE(A4200, ""nl"", ""en"")"),"Animals and Organic Forms")</f>
        <v>Animals and Organic Forms</v>
      </c>
      <c r="E4200" s="3" t="str">
        <f>IFERROR(__xludf.DUMMYFUNCTION("GOOGLETRANSLATE(B4200, ""nl"", ""en"")"),"A mask made of leaves")</f>
        <v>A mask made of leaves</v>
      </c>
    </row>
    <row r="4201" ht="15.75" customHeight="1">
      <c r="A4201" s="3" t="s">
        <v>24</v>
      </c>
      <c r="B4201" s="3" t="s">
        <v>48</v>
      </c>
      <c r="D4201" s="3" t="str">
        <f>IFERROR(__xludf.DUMMYFUNCTION("GOOGLETRANSLATE(A4201, ""nl"", ""en"")"),"Cosmic and Abstract Patterns")</f>
        <v>Cosmic and Abstract Patterns</v>
      </c>
      <c r="E4201" s="3" t="str">
        <f>IFERROR(__xludf.DUMMYFUNCTION("GOOGLETRANSLATE(B4201, ""nl"", ""en"")"),"A fractal that repeats itself")</f>
        <v>A fractal that repeats itself</v>
      </c>
    </row>
    <row r="4202" ht="15.75" customHeight="1">
      <c r="A4202" s="3" t="s">
        <v>4</v>
      </c>
      <c r="B4202" s="3" t="s">
        <v>55</v>
      </c>
      <c r="D4202" s="3" t="str">
        <f>IFERROR(__xludf.DUMMYFUNCTION("GOOGLETRANSLATE(A4202, ""nl"", ""en"")"),"Architectural and Structural Associations")</f>
        <v>Architectural and Structural Associations</v>
      </c>
      <c r="E4202" s="3" t="str">
        <f>IFERROR(__xludf.DUMMYFUNCTION("GOOGLETRANSLATE(B4202, ""nl"", ""en"")"),"A prism that splits light into colors")</f>
        <v>A prism that splits light into colors</v>
      </c>
    </row>
    <row r="4203" ht="15.75" customHeight="1">
      <c r="A4203" s="3" t="s">
        <v>9</v>
      </c>
      <c r="B4203" s="3" t="s">
        <v>14</v>
      </c>
      <c r="D4203" s="3" t="str">
        <f>IFERROR(__xludf.DUMMYFUNCTION("GOOGLETRANSLATE(A4203, ""nl"", ""en"")"),"Psychological and Emotional Interpretations")</f>
        <v>Psychological and Emotional Interpretations</v>
      </c>
      <c r="E4203" s="3" t="str">
        <f>IFERROR(__xludf.DUMMYFUNCTION("GOOGLETRANSLATE(B4203, ""nl"", ""en"")"),"An unclear hug")</f>
        <v>An unclear hug</v>
      </c>
    </row>
    <row r="4204" ht="15.75" customHeight="1">
      <c r="A4204" s="3" t="s">
        <v>4</v>
      </c>
      <c r="B4204" s="3" t="s">
        <v>6</v>
      </c>
      <c r="D4204" s="3" t="str">
        <f>IFERROR(__xludf.DUMMYFUNCTION("GOOGLETRANSLATE(A4204, ""nl"", ""en"")"),"Architectural and Structural Associations")</f>
        <v>Architectural and Structural Associations</v>
      </c>
      <c r="E4204" s="3" t="str">
        <f>IFERROR(__xludf.DUMMYFUNCTION("GOOGLETRANSLATE(B4204, ""nl"", ""en"")"),"An endless labyrinth")</f>
        <v>An endless labyrinth</v>
      </c>
    </row>
    <row r="4205" ht="15.75" customHeight="1">
      <c r="A4205" s="3" t="s">
        <v>12</v>
      </c>
      <c r="B4205" s="3" t="s">
        <v>13</v>
      </c>
      <c r="D4205" s="3" t="str">
        <f>IFERROR(__xludf.DUMMYFUNCTION("GOOGLETRANSLATE(A4205, ""nl"", ""en"")"),"Nature and Elements")</f>
        <v>Nature and Elements</v>
      </c>
      <c r="E4205" s="3" t="str">
        <f>IFERROR(__xludf.DUMMYFUNCTION("GOOGLETRANSLATE(B4205, ""nl"", ""en"")"),"A lightning strike in slow motion")</f>
        <v>A lightning strike in slow motion</v>
      </c>
    </row>
    <row r="4206" ht="15.75" customHeight="1">
      <c r="A4206" s="3" t="s">
        <v>7</v>
      </c>
      <c r="B4206" s="3" t="s">
        <v>8</v>
      </c>
      <c r="D4206" s="3" t="str">
        <f>IFERROR(__xludf.DUMMYFUNCTION("GOOGLETRANSLATE(A4206, ""nl"", ""en"")"),"Human Figures and Physicality")</f>
        <v>Human Figures and Physicality</v>
      </c>
      <c r="E4206" s="3" t="str">
        <f>IFERROR(__xludf.DUMMYFUNCTION("GOOGLETRANSLATE(B4206, ""nl"", ""en"")"),"Two figures mirroring each other")</f>
        <v>Two figures mirroring each other</v>
      </c>
    </row>
    <row r="4207" ht="15.75" customHeight="1">
      <c r="A4207" s="3" t="s">
        <v>7</v>
      </c>
      <c r="B4207" s="3" t="s">
        <v>53</v>
      </c>
      <c r="D4207" s="3" t="str">
        <f>IFERROR(__xludf.DUMMYFUNCTION("GOOGLETRANSLATE(A4207, ""nl"", ""en"")"),"Human Figures and Physicality")</f>
        <v>Human Figures and Physicality</v>
      </c>
      <c r="E4207" s="3" t="str">
        <f>IFERROR(__xludf.DUMMYFUNCTION("GOOGLETRANSLATE(B4207, ""nl"", ""en"")"),"A face that both smiles and cries")</f>
        <v>A face that both smiles and cries</v>
      </c>
    </row>
    <row r="4208" ht="15.75" customHeight="1">
      <c r="A4208" s="3" t="s">
        <v>7</v>
      </c>
      <c r="B4208" s="3" t="s">
        <v>34</v>
      </c>
      <c r="D4208" s="3" t="str">
        <f>IFERROR(__xludf.DUMMYFUNCTION("GOOGLETRANSLATE(A4208, ""nl"", ""en"")"),"Human Figures and Physicality")</f>
        <v>Human Figures and Physicality</v>
      </c>
      <c r="E4208" s="3" t="str">
        <f>IFERROR(__xludf.DUMMYFUNCTION("GOOGLETRANSLATE(B4208, ""nl"", ""en"")"),"Hands almost touching")</f>
        <v>Hands almost touching</v>
      </c>
    </row>
    <row r="4209" ht="15.75" customHeight="1">
      <c r="A4209" s="3" t="s">
        <v>24</v>
      </c>
      <c r="B4209" s="3" t="s">
        <v>31</v>
      </c>
      <c r="D4209" s="3" t="str">
        <f>IFERROR(__xludf.DUMMYFUNCTION("GOOGLETRANSLATE(A4209, ""nl"", ""en"")"),"Cosmic and Abstract Patterns")</f>
        <v>Cosmic and Abstract Patterns</v>
      </c>
      <c r="E4209" s="3" t="str">
        <f>IFERROR(__xludf.DUMMYFUNCTION("GOOGLETRANSLATE(B4209, ""nl"", ""en"")"),"A planet with unusual rings")</f>
        <v>A planet with unusual rings</v>
      </c>
    </row>
    <row r="4210" ht="15.75" customHeight="1">
      <c r="A4210" s="3" t="s">
        <v>24</v>
      </c>
      <c r="B4210" s="3" t="s">
        <v>48</v>
      </c>
      <c r="D4210" s="3" t="str">
        <f>IFERROR(__xludf.DUMMYFUNCTION("GOOGLETRANSLATE(A4210, ""nl"", ""en"")"),"Cosmic and Abstract Patterns")</f>
        <v>Cosmic and Abstract Patterns</v>
      </c>
      <c r="E4210" s="3" t="str">
        <f>IFERROR(__xludf.DUMMYFUNCTION("GOOGLETRANSLATE(B4210, ""nl"", ""en"")"),"A fractal that repeats itself")</f>
        <v>A fractal that repeats itself</v>
      </c>
    </row>
    <row r="4211" ht="15.75" customHeight="1">
      <c r="A4211" s="3" t="s">
        <v>12</v>
      </c>
      <c r="B4211" s="3" t="s">
        <v>36</v>
      </c>
      <c r="D4211" s="3" t="str">
        <f>IFERROR(__xludf.DUMMYFUNCTION("GOOGLETRANSLATE(A4211, ""nl"", ""en"")"),"Nature and Elements")</f>
        <v>Nature and Elements</v>
      </c>
      <c r="E4211" s="3" t="str">
        <f>IFERROR(__xludf.DUMMYFUNCTION("GOOGLETRANSLATE(B4211, ""nl"", ""en"")"),"A river delta from a bird's-eye view")</f>
        <v>A river delta from a bird's-eye view</v>
      </c>
    </row>
    <row r="4212" ht="15.75" customHeight="1">
      <c r="A4212" s="3" t="s">
        <v>24</v>
      </c>
      <c r="B4212" s="3" t="s">
        <v>32</v>
      </c>
      <c r="D4212" s="3" t="str">
        <f>IFERROR(__xludf.DUMMYFUNCTION("GOOGLETRANSLATE(A4212, ""nl"", ""en"")"),"Cosmic and Abstract Patterns")</f>
        <v>Cosmic and Abstract Patterns</v>
      </c>
      <c r="E4212" s="3" t="str">
        <f>IFERROR(__xludf.DUMMYFUNCTION("GOOGLETRANSLATE(B4212, ""nl"", ""en"")"),"A time loop captured in image")</f>
        <v>A time loop captured in image</v>
      </c>
    </row>
    <row r="4213" ht="15.75" customHeight="1">
      <c r="A4213" s="3" t="s">
        <v>4</v>
      </c>
      <c r="B4213" s="3" t="s">
        <v>55</v>
      </c>
      <c r="D4213" s="3" t="str">
        <f>IFERROR(__xludf.DUMMYFUNCTION("GOOGLETRANSLATE(A4213, ""nl"", ""en"")"),"Architectural and Structural Associations")</f>
        <v>Architectural and Structural Associations</v>
      </c>
      <c r="E4213" s="3" t="str">
        <f>IFERROR(__xludf.DUMMYFUNCTION("GOOGLETRANSLATE(B4213, ""nl"", ""en"")"),"A prism that splits light into colors")</f>
        <v>A prism that splits light into colors</v>
      </c>
    </row>
    <row r="4214" ht="15.75" customHeight="1">
      <c r="A4214" s="3" t="s">
        <v>7</v>
      </c>
      <c r="B4214" s="3" t="s">
        <v>41</v>
      </c>
      <c r="D4214" s="3" t="str">
        <f>IFERROR(__xludf.DUMMYFUNCTION("GOOGLETRANSLATE(A4214, ""nl"", ""en"")"),"Human Figures and Physicality")</f>
        <v>Human Figures and Physicality</v>
      </c>
      <c r="E4214" s="3" t="str">
        <f>IFERROR(__xludf.DUMMYFUNCTION("GOOGLETRANSLATE(B4214, ""nl"", ""en"")"),"A face that fades into abstraction")</f>
        <v>A face that fades into abstraction</v>
      </c>
    </row>
    <row r="4215" ht="15.75" customHeight="1">
      <c r="A4215" s="3" t="s">
        <v>12</v>
      </c>
      <c r="B4215" s="3" t="s">
        <v>23</v>
      </c>
      <c r="D4215" s="3" t="str">
        <f>IFERROR(__xludf.DUMMYFUNCTION("GOOGLETRANSLATE(A4215, ""nl"", ""en"")"),"Nature and Elements")</f>
        <v>Nature and Elements</v>
      </c>
      <c r="E4215" s="3" t="str">
        <f>IFERROR(__xludf.DUMMYFUNCTION("GOOGLETRANSLATE(B4215, ""nl"", ""en"")"),"A storm cloud splitting in two")</f>
        <v>A storm cloud splitting in two</v>
      </c>
    </row>
    <row r="4216" ht="15.75" customHeight="1">
      <c r="A4216" s="3" t="s">
        <v>4</v>
      </c>
      <c r="B4216" s="3" t="s">
        <v>44</v>
      </c>
      <c r="D4216" s="3" t="str">
        <f>IFERROR(__xludf.DUMMYFUNCTION("GOOGLETRANSLATE(A4216, ""nl"", ""en"")"),"Architectural and Structural Associations")</f>
        <v>Architectural and Structural Associations</v>
      </c>
      <c r="E4216" s="3" t="str">
        <f>IFERROR(__xludf.DUMMYFUNCTION("GOOGLETRANSLATE(B4216, ""nl"", ""en"")"),"A structure that pulsates in waves")</f>
        <v>A structure that pulsates in waves</v>
      </c>
    </row>
    <row r="4217" ht="15.75" customHeight="1">
      <c r="A4217" s="3" t="s">
        <v>7</v>
      </c>
      <c r="B4217" s="3" t="s">
        <v>28</v>
      </c>
      <c r="D4217" s="3" t="str">
        <f>IFERROR(__xludf.DUMMYFUNCTION("GOOGLETRANSLATE(A4217, ""nl"", ""en"")"),"Human Figures and Physicality")</f>
        <v>Human Figures and Physicality</v>
      </c>
      <c r="E4217" s="3" t="str">
        <f>IFERROR(__xludf.DUMMYFUNCTION("GOOGLETRANSLATE(B4217, ""nl"", ""en"")"),"A dancing silhouette")</f>
        <v>A dancing silhouette</v>
      </c>
    </row>
    <row r="4218" ht="15.75" customHeight="1">
      <c r="A4218" s="3" t="s">
        <v>7</v>
      </c>
      <c r="B4218" s="3" t="s">
        <v>39</v>
      </c>
      <c r="D4218" s="3" t="str">
        <f>IFERROR(__xludf.DUMMYFUNCTION("GOOGLETRANSLATE(A4218, ""nl"", ""en"")"),"Human Figures and Physicality")</f>
        <v>Human Figures and Physicality</v>
      </c>
      <c r="E4218" s="3" t="str">
        <f>IFERROR(__xludf.DUMMYFUNCTION("GOOGLETRANSLATE(B4218, ""nl"", ""en"")"),"A torso without a head")</f>
        <v>A torso without a head</v>
      </c>
    </row>
    <row r="4219" ht="15.75" customHeight="1">
      <c r="A4219" s="3" t="s">
        <v>15</v>
      </c>
      <c r="B4219" s="3" t="s">
        <v>26</v>
      </c>
      <c r="D4219" s="3" t="str">
        <f>IFERROR(__xludf.DUMMYFUNCTION("GOOGLETRANSLATE(A4219, ""nl"", ""en"")"),"Animals and Organic Forms")</f>
        <v>Animals and Organic Forms</v>
      </c>
      <c r="E4219" s="3" t="str">
        <f>IFERROR(__xludf.DUMMYFUNCTION("GOOGLETRANSLATE(B4219, ""nl"", ""en"")"),"A frog preparing to jump")</f>
        <v>A frog preparing to jump</v>
      </c>
    </row>
    <row r="4220" ht="15.75" customHeight="1">
      <c r="A4220" s="3" t="s">
        <v>7</v>
      </c>
      <c r="B4220" s="3" t="s">
        <v>56</v>
      </c>
      <c r="D4220" s="3" t="str">
        <f>IFERROR(__xludf.DUMMYFUNCTION("GOOGLETRANSLATE(A4220, ""nl"", ""en"")"),"Human Figures and Physicality")</f>
        <v>Human Figures and Physicality</v>
      </c>
      <c r="E4220" s="3" t="str">
        <f>IFERROR(__xludf.DUMMYFUNCTION("GOOGLETRANSLATE(B4220, ""nl"", ""en"")"),"A shadow that seems to move")</f>
        <v>A shadow that seems to move</v>
      </c>
    </row>
    <row r="4221" ht="15.75" customHeight="1">
      <c r="A4221" s="3" t="s">
        <v>4</v>
      </c>
      <c r="B4221" s="3" t="s">
        <v>55</v>
      </c>
      <c r="D4221" s="3" t="str">
        <f>IFERROR(__xludf.DUMMYFUNCTION("GOOGLETRANSLATE(A4221, ""nl"", ""en"")"),"Architectural and Structural Associations")</f>
        <v>Architectural and Structural Associations</v>
      </c>
      <c r="E4221" s="3" t="str">
        <f>IFERROR(__xludf.DUMMYFUNCTION("GOOGLETRANSLATE(B4221, ""nl"", ""en"")"),"A prism that splits light into colors")</f>
        <v>A prism that splits light into colors</v>
      </c>
    </row>
    <row r="4222" ht="15.75" customHeight="1">
      <c r="A4222" s="3" t="s">
        <v>7</v>
      </c>
      <c r="B4222" s="3" t="s">
        <v>28</v>
      </c>
      <c r="D4222" s="3" t="str">
        <f>IFERROR(__xludf.DUMMYFUNCTION("GOOGLETRANSLATE(A4222, ""nl"", ""en"")"),"Human Figures and Physicality")</f>
        <v>Human Figures and Physicality</v>
      </c>
      <c r="E4222" s="3" t="str">
        <f>IFERROR(__xludf.DUMMYFUNCTION("GOOGLETRANSLATE(B4222, ""nl"", ""en"")"),"A dancing silhouette")</f>
        <v>A dancing silhouette</v>
      </c>
    </row>
    <row r="4223" ht="15.75" customHeight="1">
      <c r="A4223" s="3" t="s">
        <v>4</v>
      </c>
      <c r="B4223" s="3" t="s">
        <v>35</v>
      </c>
      <c r="D4223" s="3" t="str">
        <f>IFERROR(__xludf.DUMMYFUNCTION("GOOGLETRANSLATE(A4223, ""nl"", ""en"")"),"Architectural and Structural Associations")</f>
        <v>Architectural and Structural Associations</v>
      </c>
      <c r="E4223" s="3" t="str">
        <f>IFERROR(__xludf.DUMMYFUNCTION("GOOGLETRANSLATE(B4223, ""nl"", ""en"")"),"A floating building without a base")</f>
        <v>A floating building without a base</v>
      </c>
    </row>
    <row r="4224" ht="15.75" customHeight="1">
      <c r="A4224" s="3" t="s">
        <v>9</v>
      </c>
      <c r="B4224" s="3" t="s">
        <v>49</v>
      </c>
      <c r="D4224" s="3" t="str">
        <f>IFERROR(__xludf.DUMMYFUNCTION("GOOGLETRANSLATE(A4224, ""nl"", ""en"")"),"Psychological and Emotional Interpretations")</f>
        <v>Psychological and Emotional Interpretations</v>
      </c>
      <c r="E4224" s="3" t="str">
        <f>IFERROR(__xludf.DUMMYFUNCTION("GOOGLETRANSLATE(B4224, ""nl"", ""en"")"),"A spiral that turns inward")</f>
        <v>A spiral that turns inward</v>
      </c>
    </row>
    <row r="4225" ht="15.75" customHeight="1">
      <c r="A4225" s="3" t="s">
        <v>7</v>
      </c>
      <c r="B4225" s="3" t="s">
        <v>39</v>
      </c>
      <c r="D4225" s="3" t="str">
        <f>IFERROR(__xludf.DUMMYFUNCTION("GOOGLETRANSLATE(A4225, ""nl"", ""en"")"),"Human Figures and Physicality")</f>
        <v>Human Figures and Physicality</v>
      </c>
      <c r="E4225" s="3" t="str">
        <f>IFERROR(__xludf.DUMMYFUNCTION("GOOGLETRANSLATE(B4225, ""nl"", ""en"")"),"A torso without a head")</f>
        <v>A torso without a head</v>
      </c>
    </row>
    <row r="4226" ht="15.75" customHeight="1">
      <c r="A4226" s="3" t="s">
        <v>12</v>
      </c>
      <c r="B4226" s="3" t="s">
        <v>51</v>
      </c>
      <c r="D4226" s="3" t="str">
        <f>IFERROR(__xludf.DUMMYFUNCTION("GOOGLETRANSLATE(A4226, ""nl"", ""en"")"),"Nature and Elements")</f>
        <v>Nature and Elements</v>
      </c>
      <c r="E4226" s="3" t="str">
        <f>IFERROR(__xludf.DUMMYFUNCTION("GOOGLETRANSLATE(B4226, ""nl"", ""en"")"),"An evaporating puddle of water")</f>
        <v>An evaporating puddle of water</v>
      </c>
    </row>
    <row r="4227" ht="15.75" customHeight="1">
      <c r="A4227" s="3" t="s">
        <v>24</v>
      </c>
      <c r="B4227" s="3" t="s">
        <v>32</v>
      </c>
      <c r="D4227" s="3" t="str">
        <f>IFERROR(__xludf.DUMMYFUNCTION("GOOGLETRANSLATE(A4227, ""nl"", ""en"")"),"Cosmic and Abstract Patterns")</f>
        <v>Cosmic and Abstract Patterns</v>
      </c>
      <c r="E4227" s="3" t="str">
        <f>IFERROR(__xludf.DUMMYFUNCTION("GOOGLETRANSLATE(B4227, ""nl"", ""en"")"),"A time loop captured in image")</f>
        <v>A time loop captured in image</v>
      </c>
    </row>
    <row r="4228" ht="15.75" customHeight="1">
      <c r="A4228" s="3" t="s">
        <v>4</v>
      </c>
      <c r="B4228" s="3" t="s">
        <v>43</v>
      </c>
      <c r="D4228" s="3" t="str">
        <f>IFERROR(__xludf.DUMMYFUNCTION("GOOGLETRANSLATE(A4228, ""nl"", ""en"")"),"Architectural and Structural Associations")</f>
        <v>Architectural and Structural Associations</v>
      </c>
      <c r="E4228" s="3" t="str">
        <f>IFERROR(__xludf.DUMMYFUNCTION("GOOGLETRANSLATE(B4228, ""nl"", ""en"")"),"A network of tunnels and passages")</f>
        <v>A network of tunnels and passages</v>
      </c>
    </row>
    <row r="4229" ht="15.75" customHeight="1">
      <c r="A4229" s="3" t="s">
        <v>15</v>
      </c>
      <c r="B4229" s="3" t="s">
        <v>26</v>
      </c>
      <c r="D4229" s="3" t="str">
        <f>IFERROR(__xludf.DUMMYFUNCTION("GOOGLETRANSLATE(A4229, ""nl"", ""en"")"),"Animals and Organic Forms")</f>
        <v>Animals and Organic Forms</v>
      </c>
      <c r="E4229" s="3" t="str">
        <f>IFERROR(__xludf.DUMMYFUNCTION("GOOGLETRANSLATE(B4229, ""nl"", ""en"")"),"A frog preparing to jump")</f>
        <v>A frog preparing to jump</v>
      </c>
    </row>
    <row r="4230" ht="15.75" customHeight="1">
      <c r="A4230" s="3" t="s">
        <v>4</v>
      </c>
      <c r="B4230" s="3" t="s">
        <v>6</v>
      </c>
      <c r="D4230" s="3" t="str">
        <f>IFERROR(__xludf.DUMMYFUNCTION("GOOGLETRANSLATE(A4230, ""nl"", ""en"")"),"Architectural and Structural Associations")</f>
        <v>Architectural and Structural Associations</v>
      </c>
      <c r="E4230" s="3" t="str">
        <f>IFERROR(__xludf.DUMMYFUNCTION("GOOGLETRANSLATE(B4230, ""nl"", ""en"")"),"An endless labyrinth")</f>
        <v>An endless labyrinth</v>
      </c>
    </row>
    <row r="4231" ht="15.75" customHeight="1">
      <c r="A4231" s="3" t="s">
        <v>4</v>
      </c>
      <c r="B4231" s="3" t="s">
        <v>35</v>
      </c>
      <c r="D4231" s="3" t="str">
        <f>IFERROR(__xludf.DUMMYFUNCTION("GOOGLETRANSLATE(A4231, ""nl"", ""en"")"),"Architectural and Structural Associations")</f>
        <v>Architectural and Structural Associations</v>
      </c>
      <c r="E4231" s="3" t="str">
        <f>IFERROR(__xludf.DUMMYFUNCTION("GOOGLETRANSLATE(B4231, ""nl"", ""en"")"),"A floating building without a base")</f>
        <v>A floating building without a base</v>
      </c>
    </row>
    <row r="4232" ht="15.75" customHeight="1">
      <c r="A4232" s="3" t="s">
        <v>4</v>
      </c>
      <c r="B4232" s="3" t="s">
        <v>5</v>
      </c>
      <c r="D4232" s="3" t="str">
        <f>IFERROR(__xludf.DUMMYFUNCTION("GOOGLETRANSLATE(A4232, ""nl"", ""en"")"),"Architectural and Structural Associations")</f>
        <v>Architectural and Structural Associations</v>
      </c>
      <c r="E4232" s="3" t="str">
        <f>IFERROR(__xludf.DUMMYFUNCTION("GOOGLETRANSLATE(B4232, ""nl"", ""en"")"),"A cathedral shaped from mist")</f>
        <v>A cathedral shaped from mist</v>
      </c>
    </row>
    <row r="4233" ht="15.75" customHeight="1">
      <c r="A4233" s="3" t="s">
        <v>15</v>
      </c>
      <c r="B4233" s="3" t="s">
        <v>26</v>
      </c>
      <c r="D4233" s="3" t="str">
        <f>IFERROR(__xludf.DUMMYFUNCTION("GOOGLETRANSLATE(A4233, ""nl"", ""en"")"),"Animals and Organic Forms")</f>
        <v>Animals and Organic Forms</v>
      </c>
      <c r="E4233" s="3" t="str">
        <f>IFERROR(__xludf.DUMMYFUNCTION("GOOGLETRANSLATE(B4233, ""nl"", ""en"")"),"A frog preparing to jump")</f>
        <v>A frog preparing to jump</v>
      </c>
    </row>
    <row r="4234" ht="15.75" customHeight="1">
      <c r="A4234" s="3" t="s">
        <v>9</v>
      </c>
      <c r="B4234" s="3" t="s">
        <v>37</v>
      </c>
      <c r="D4234" s="3" t="str">
        <f>IFERROR(__xludf.DUMMYFUNCTION("GOOGLETRANSLATE(A4234, ""nl"", ""en"")"),"Psychological and Emotional Interpretations")</f>
        <v>Psychological and Emotional Interpretations</v>
      </c>
      <c r="E4234" s="3" t="str">
        <f>IFERROR(__xludf.DUMMYFUNCTION("GOOGLETRANSLATE(B4234, ""nl"", ""en"")"),"A figure looking through itself")</f>
        <v>A figure looking through itself</v>
      </c>
    </row>
    <row r="4235" ht="15.75" customHeight="1">
      <c r="A4235" s="3" t="s">
        <v>15</v>
      </c>
      <c r="B4235" s="3" t="s">
        <v>46</v>
      </c>
      <c r="D4235" s="3" t="str">
        <f>IFERROR(__xludf.DUMMYFUNCTION("GOOGLETRANSLATE(A4235, ""nl"", ""en"")"),"Animals and Organic Forms")</f>
        <v>Animals and Organic Forms</v>
      </c>
      <c r="E4235" s="3" t="str">
        <f>IFERROR(__xludf.DUMMYFUNCTION("GOOGLETRANSLATE(B4235, ""nl"", ""en"")"),"A flock of fish moving as one")</f>
        <v>A flock of fish moving as one</v>
      </c>
    </row>
    <row r="4236" ht="15.75" customHeight="1">
      <c r="A4236" s="3" t="s">
        <v>9</v>
      </c>
      <c r="B4236" s="3" t="s">
        <v>42</v>
      </c>
      <c r="D4236" s="3" t="str">
        <f>IFERROR(__xludf.DUMMYFUNCTION("GOOGLETRANSLATE(A4236, ""nl"", ""en"")"),"Psychological and Emotional Interpretations")</f>
        <v>Psychological and Emotional Interpretations</v>
      </c>
      <c r="E4236" s="3" t="str">
        <f>IFERROR(__xludf.DUMMYFUNCTION("GOOGLETRANSLATE(B4236, ""nl"", ""en"")"),"A mask that slowly disappears")</f>
        <v>A mask that slowly disappears</v>
      </c>
    </row>
    <row r="4237" ht="15.75" customHeight="1">
      <c r="A4237" s="3" t="s">
        <v>7</v>
      </c>
      <c r="B4237" s="3" t="s">
        <v>34</v>
      </c>
      <c r="D4237" s="3" t="str">
        <f>IFERROR(__xludf.DUMMYFUNCTION("GOOGLETRANSLATE(A4237, ""nl"", ""en"")"),"Human Figures and Physicality")</f>
        <v>Human Figures and Physicality</v>
      </c>
      <c r="E4237" s="3" t="str">
        <f>IFERROR(__xludf.DUMMYFUNCTION("GOOGLETRANSLATE(B4237, ""nl"", ""en"")"),"Hands almost touching")</f>
        <v>Hands almost touching</v>
      </c>
    </row>
    <row r="4238" ht="15.75" customHeight="1">
      <c r="A4238" s="3" t="s">
        <v>12</v>
      </c>
      <c r="B4238" s="3" t="s">
        <v>51</v>
      </c>
      <c r="D4238" s="3" t="str">
        <f>IFERROR(__xludf.DUMMYFUNCTION("GOOGLETRANSLATE(A4238, ""nl"", ""en"")"),"Nature and Elements")</f>
        <v>Nature and Elements</v>
      </c>
      <c r="E4238" s="3" t="str">
        <f>IFERROR(__xludf.DUMMYFUNCTION("GOOGLETRANSLATE(B4238, ""nl"", ""en"")"),"An evaporating puddle of water")</f>
        <v>An evaporating puddle of water</v>
      </c>
    </row>
    <row r="4239" ht="15.75" customHeight="1">
      <c r="A4239" s="3" t="s">
        <v>9</v>
      </c>
      <c r="B4239" s="3" t="s">
        <v>57</v>
      </c>
      <c r="D4239" s="3" t="str">
        <f>IFERROR(__xludf.DUMMYFUNCTION("GOOGLETRANSLATE(A4239, ""nl"", ""en"")"),"Psychological and Emotional Interpretations")</f>
        <v>Psychological and Emotional Interpretations</v>
      </c>
      <c r="E4239" s="3" t="str">
        <f>IFERROR(__xludf.DUMMYFUNCTION("GOOGLETRANSLATE(B4239, ""nl"", ""en"")"),"An explosion of colours and feelings")</f>
        <v>An explosion of colours and feelings</v>
      </c>
    </row>
    <row r="4240" ht="15.75" customHeight="1">
      <c r="A4240" s="3" t="s">
        <v>24</v>
      </c>
      <c r="B4240" s="3" t="s">
        <v>27</v>
      </c>
      <c r="D4240" s="3" t="str">
        <f>IFERROR(__xludf.DUMMYFUNCTION("GOOGLETRANSLATE(A4240, ""nl"", ""en"")"),"Cosmic and Abstract Patterns")</f>
        <v>Cosmic and Abstract Patterns</v>
      </c>
      <c r="E4240" s="3" t="str">
        <f>IFERROR(__xludf.DUMMYFUNCTION("GOOGLETRANSLATE(B4240, ""nl"", ""en"")"),"A pair of black holes in dance")</f>
        <v>A pair of black holes in dance</v>
      </c>
    </row>
    <row r="4241" ht="15.75" customHeight="1">
      <c r="A4241" s="3" t="s">
        <v>12</v>
      </c>
      <c r="B4241" s="3" t="s">
        <v>23</v>
      </c>
      <c r="D4241" s="3" t="str">
        <f>IFERROR(__xludf.DUMMYFUNCTION("GOOGLETRANSLATE(A4241, ""nl"", ""en"")"),"Nature and Elements")</f>
        <v>Nature and Elements</v>
      </c>
      <c r="E4241" s="3" t="str">
        <f>IFERROR(__xludf.DUMMYFUNCTION("GOOGLETRANSLATE(B4241, ""nl"", ""en"")"),"A storm cloud splitting in two")</f>
        <v>A storm cloud splitting in two</v>
      </c>
    </row>
    <row r="4242" ht="15.75" customHeight="1">
      <c r="A4242" s="3" t="s">
        <v>7</v>
      </c>
      <c r="B4242" s="3" t="s">
        <v>8</v>
      </c>
      <c r="D4242" s="3" t="str">
        <f>IFERROR(__xludf.DUMMYFUNCTION("GOOGLETRANSLATE(A4242, ""nl"", ""en"")"),"Human Figures and Physicality")</f>
        <v>Human Figures and Physicality</v>
      </c>
      <c r="E4242" s="3" t="str">
        <f>IFERROR(__xludf.DUMMYFUNCTION("GOOGLETRANSLATE(B4242, ""nl"", ""en"")"),"Two figures mirroring each other")</f>
        <v>Two figures mirroring each other</v>
      </c>
    </row>
    <row r="4243" ht="15.75" customHeight="1">
      <c r="A4243" s="3" t="s">
        <v>7</v>
      </c>
      <c r="B4243" s="3" t="s">
        <v>8</v>
      </c>
      <c r="D4243" s="3" t="str">
        <f>IFERROR(__xludf.DUMMYFUNCTION("GOOGLETRANSLATE(A4243, ""nl"", ""en"")"),"Human Figures and Physicality")</f>
        <v>Human Figures and Physicality</v>
      </c>
      <c r="E4243" s="3" t="str">
        <f>IFERROR(__xludf.DUMMYFUNCTION("GOOGLETRANSLATE(B4243, ""nl"", ""en"")"),"Two figures mirroring each other")</f>
        <v>Two figures mirroring each other</v>
      </c>
    </row>
    <row r="4244" ht="15.75" customHeight="1">
      <c r="A4244" s="3" t="s">
        <v>12</v>
      </c>
      <c r="B4244" s="3" t="s">
        <v>30</v>
      </c>
      <c r="D4244" s="3" t="str">
        <f>IFERROR(__xludf.DUMMYFUNCTION("GOOGLETRANSLATE(A4244, ""nl"", ""en"")"),"Nature and Elements")</f>
        <v>Nature and Elements</v>
      </c>
      <c r="E4244" s="3" t="str">
        <f>IFERROR(__xludf.DUMMYFUNCTION("GOOGLETRANSLATE(B4244, ""nl"", ""en"")"),"Waves breaking in fractal patterns")</f>
        <v>Waves breaking in fractal patterns</v>
      </c>
    </row>
    <row r="4245" ht="15.75" customHeight="1">
      <c r="A4245" s="3" t="s">
        <v>12</v>
      </c>
      <c r="B4245" s="3" t="s">
        <v>36</v>
      </c>
      <c r="D4245" s="3" t="str">
        <f>IFERROR(__xludf.DUMMYFUNCTION("GOOGLETRANSLATE(A4245, ""nl"", ""en"")"),"Nature and Elements")</f>
        <v>Nature and Elements</v>
      </c>
      <c r="E4245" s="3" t="str">
        <f>IFERROR(__xludf.DUMMYFUNCTION("GOOGLETRANSLATE(B4245, ""nl"", ""en"")"),"A river delta from a bird's-eye view")</f>
        <v>A river delta from a bird's-eye view</v>
      </c>
    </row>
    <row r="4246" ht="15.75" customHeight="1">
      <c r="A4246" s="3" t="s">
        <v>24</v>
      </c>
      <c r="B4246" s="3" t="s">
        <v>32</v>
      </c>
      <c r="D4246" s="3" t="str">
        <f>IFERROR(__xludf.DUMMYFUNCTION("GOOGLETRANSLATE(A4246, ""nl"", ""en"")"),"Cosmic and Abstract Patterns")</f>
        <v>Cosmic and Abstract Patterns</v>
      </c>
      <c r="E4246" s="3" t="str">
        <f>IFERROR(__xludf.DUMMYFUNCTION("GOOGLETRANSLATE(B4246, ""nl"", ""en"")"),"A time loop captured in image")</f>
        <v>A time loop captured in image</v>
      </c>
    </row>
    <row r="4247" ht="15.75" customHeight="1">
      <c r="A4247" s="3" t="s">
        <v>7</v>
      </c>
      <c r="B4247" s="3" t="s">
        <v>56</v>
      </c>
      <c r="D4247" s="3" t="str">
        <f>IFERROR(__xludf.DUMMYFUNCTION("GOOGLETRANSLATE(A4247, ""nl"", ""en"")"),"Human Figures and Physicality")</f>
        <v>Human Figures and Physicality</v>
      </c>
      <c r="E4247" s="3" t="str">
        <f>IFERROR(__xludf.DUMMYFUNCTION("GOOGLETRANSLATE(B4247, ""nl"", ""en"")"),"A shadow that seems to move")</f>
        <v>A shadow that seems to move</v>
      </c>
    </row>
    <row r="4248" ht="15.75" customHeight="1">
      <c r="A4248" s="3" t="s">
        <v>12</v>
      </c>
      <c r="B4248" s="3" t="s">
        <v>13</v>
      </c>
      <c r="D4248" s="3" t="str">
        <f>IFERROR(__xludf.DUMMYFUNCTION("GOOGLETRANSLATE(A4248, ""nl"", ""en"")"),"Nature and Elements")</f>
        <v>Nature and Elements</v>
      </c>
      <c r="E4248" s="3" t="str">
        <f>IFERROR(__xludf.DUMMYFUNCTION("GOOGLETRANSLATE(B4248, ""nl"", ""en"")"),"A lightning strike in slow motion")</f>
        <v>A lightning strike in slow motion</v>
      </c>
    </row>
    <row r="4249" ht="15.75" customHeight="1">
      <c r="A4249" s="3" t="s">
        <v>12</v>
      </c>
      <c r="B4249" s="3" t="s">
        <v>18</v>
      </c>
      <c r="D4249" s="3" t="str">
        <f>IFERROR(__xludf.DUMMYFUNCTION("GOOGLETRANSLATE(A4249, ""nl"", ""en"")"),"Nature and Elements")</f>
        <v>Nature and Elements</v>
      </c>
      <c r="E4249" s="3" t="str">
        <f>IFERROR(__xludf.DUMMYFUNCTION("GOOGLETRANSLATE(B4249, ""nl"", ""en"")"),"A tree with endless branches")</f>
        <v>A tree with endless branches</v>
      </c>
    </row>
    <row r="4250" ht="15.75" customHeight="1">
      <c r="A4250" s="3" t="s">
        <v>7</v>
      </c>
      <c r="B4250" s="3" t="s">
        <v>8</v>
      </c>
      <c r="D4250" s="3" t="str">
        <f>IFERROR(__xludf.DUMMYFUNCTION("GOOGLETRANSLATE(A4250, ""nl"", ""en"")"),"Human Figures and Physicality")</f>
        <v>Human Figures and Physicality</v>
      </c>
      <c r="E4250" s="3" t="str">
        <f>IFERROR(__xludf.DUMMYFUNCTION("GOOGLETRANSLATE(B4250, ""nl"", ""en"")"),"Two figures mirroring each other")</f>
        <v>Two figures mirroring each other</v>
      </c>
    </row>
    <row r="4251" ht="15.75" customHeight="1">
      <c r="A4251" s="3" t="s">
        <v>4</v>
      </c>
      <c r="B4251" s="3" t="s">
        <v>5</v>
      </c>
      <c r="D4251" s="3" t="str">
        <f>IFERROR(__xludf.DUMMYFUNCTION("GOOGLETRANSLATE(A4251, ""nl"", ""en"")"),"Architectural and Structural Associations")</f>
        <v>Architectural and Structural Associations</v>
      </c>
      <c r="E4251" s="3" t="str">
        <f>IFERROR(__xludf.DUMMYFUNCTION("GOOGLETRANSLATE(B4251, ""nl"", ""en"")"),"A cathedral shaped from mist")</f>
        <v>A cathedral shaped from mist</v>
      </c>
    </row>
    <row r="4252" ht="15.75" customHeight="1">
      <c r="A4252" s="3" t="s">
        <v>12</v>
      </c>
      <c r="B4252" s="3" t="s">
        <v>18</v>
      </c>
      <c r="D4252" s="3" t="str">
        <f>IFERROR(__xludf.DUMMYFUNCTION("GOOGLETRANSLATE(A4252, ""nl"", ""en"")"),"Nature and Elements")</f>
        <v>Nature and Elements</v>
      </c>
      <c r="E4252" s="3" t="str">
        <f>IFERROR(__xludf.DUMMYFUNCTION("GOOGLETRANSLATE(B4252, ""nl"", ""en"")"),"A tree with endless branches")</f>
        <v>A tree with endless branches</v>
      </c>
    </row>
    <row r="4253" ht="15.75" customHeight="1">
      <c r="A4253" s="3" t="s">
        <v>24</v>
      </c>
      <c r="B4253" s="3" t="s">
        <v>29</v>
      </c>
      <c r="D4253" s="3" t="str">
        <f>IFERROR(__xludf.DUMMYFUNCTION("GOOGLETRANSLATE(A4253, ""nl"", ""en"")"),"Cosmic and Abstract Patterns")</f>
        <v>Cosmic and Abstract Patterns</v>
      </c>
      <c r="E4253" s="3" t="str">
        <f>IFERROR(__xludf.DUMMYFUNCTION("GOOGLETRANSLATE(B4253, ""nl"", ""en"")"),"A galaxy unfolding")</f>
        <v>A galaxy unfolding</v>
      </c>
    </row>
    <row r="4254" ht="15.75" customHeight="1">
      <c r="A4254" s="3" t="s">
        <v>7</v>
      </c>
      <c r="B4254" s="3" t="s">
        <v>8</v>
      </c>
      <c r="D4254" s="3" t="str">
        <f>IFERROR(__xludf.DUMMYFUNCTION("GOOGLETRANSLATE(A4254, ""nl"", ""en"")"),"Human Figures and Physicality")</f>
        <v>Human Figures and Physicality</v>
      </c>
      <c r="E4254" s="3" t="str">
        <f>IFERROR(__xludf.DUMMYFUNCTION("GOOGLETRANSLATE(B4254, ""nl"", ""en"")"),"Two figures mirroring each other")</f>
        <v>Two figures mirroring each other</v>
      </c>
    </row>
    <row r="4255" ht="15.75" customHeight="1">
      <c r="A4255" s="3" t="s">
        <v>12</v>
      </c>
      <c r="B4255" s="3" t="s">
        <v>47</v>
      </c>
      <c r="D4255" s="3" t="str">
        <f>IFERROR(__xludf.DUMMYFUNCTION("GOOGLETRANSLATE(A4255, ""nl"", ""en"")"),"Nature and Elements")</f>
        <v>Nature and Elements</v>
      </c>
      <c r="E4255" s="3" t="str">
        <f>IFERROR(__xludf.DUMMYFUNCTION("GOOGLETRANSLATE(B4255, ""nl"", ""en"")"),"A desert landscape that slowly changes")</f>
        <v>A desert landscape that slowly changes</v>
      </c>
    </row>
    <row r="4256" ht="15.75" customHeight="1">
      <c r="A4256" s="3" t="s">
        <v>15</v>
      </c>
      <c r="B4256" s="3" t="s">
        <v>46</v>
      </c>
      <c r="D4256" s="3" t="str">
        <f>IFERROR(__xludf.DUMMYFUNCTION("GOOGLETRANSLATE(A4256, ""nl"", ""en"")"),"Animals and Organic Forms")</f>
        <v>Animals and Organic Forms</v>
      </c>
      <c r="E4256" s="3" t="str">
        <f>IFERROR(__xludf.DUMMYFUNCTION("GOOGLETRANSLATE(B4256, ""nl"", ""en"")"),"A flock of fish moving as one")</f>
        <v>A flock of fish moving as one</v>
      </c>
    </row>
    <row r="4257" ht="15.75" customHeight="1">
      <c r="A4257" s="3" t="s">
        <v>4</v>
      </c>
      <c r="B4257" s="3" t="s">
        <v>35</v>
      </c>
      <c r="D4257" s="3" t="str">
        <f>IFERROR(__xludf.DUMMYFUNCTION("GOOGLETRANSLATE(A4257, ""nl"", ""en"")"),"Architectural and Structural Associations")</f>
        <v>Architectural and Structural Associations</v>
      </c>
      <c r="E4257" s="3" t="str">
        <f>IFERROR(__xludf.DUMMYFUNCTION("GOOGLETRANSLATE(B4257, ""nl"", ""en"")"),"A floating building without a base")</f>
        <v>A floating building without a base</v>
      </c>
    </row>
    <row r="4258" ht="15.75" customHeight="1">
      <c r="A4258" s="3" t="s">
        <v>9</v>
      </c>
      <c r="B4258" s="3" t="s">
        <v>14</v>
      </c>
      <c r="D4258" s="3" t="str">
        <f>IFERROR(__xludf.DUMMYFUNCTION("GOOGLETRANSLATE(A4258, ""nl"", ""en"")"),"Psychological and Emotional Interpretations")</f>
        <v>Psychological and Emotional Interpretations</v>
      </c>
      <c r="E4258" s="3" t="str">
        <f>IFERROR(__xludf.DUMMYFUNCTION("GOOGLETRANSLATE(B4258, ""nl"", ""en"")"),"An unclear hug")</f>
        <v>An unclear hug</v>
      </c>
    </row>
    <row r="4259" ht="15.75" customHeight="1">
      <c r="A4259" s="3" t="s">
        <v>9</v>
      </c>
      <c r="B4259" s="3" t="s">
        <v>10</v>
      </c>
      <c r="D4259" s="3" t="str">
        <f>IFERROR(__xludf.DUMMYFUNCTION("GOOGLETRANSLATE(A4259, ""nl"", ""en"")"),"Psychological and Emotional Interpretations")</f>
        <v>Psychological and Emotional Interpretations</v>
      </c>
      <c r="E4259" s="3" t="str">
        <f>IFERROR(__xludf.DUMMYFUNCTION("GOOGLETRANSLATE(B4259, ""nl"", ""en"")"),"A face transforming in light")</f>
        <v>A face transforming in light</v>
      </c>
    </row>
    <row r="4260" ht="15.75" customHeight="1">
      <c r="A4260" s="3" t="s">
        <v>9</v>
      </c>
      <c r="B4260" s="3" t="s">
        <v>49</v>
      </c>
      <c r="D4260" s="3" t="str">
        <f>IFERROR(__xludf.DUMMYFUNCTION("GOOGLETRANSLATE(A4260, ""nl"", ""en"")"),"Psychological and Emotional Interpretations")</f>
        <v>Psychological and Emotional Interpretations</v>
      </c>
      <c r="E4260" s="3" t="str">
        <f>IFERROR(__xludf.DUMMYFUNCTION("GOOGLETRANSLATE(B4260, ""nl"", ""en"")"),"A spiral that turns inward")</f>
        <v>A spiral that turns inward</v>
      </c>
    </row>
    <row r="4261" ht="15.75" customHeight="1">
      <c r="A4261" s="3" t="s">
        <v>9</v>
      </c>
      <c r="B4261" s="3" t="s">
        <v>57</v>
      </c>
      <c r="D4261" s="3" t="str">
        <f>IFERROR(__xludf.DUMMYFUNCTION("GOOGLETRANSLATE(A4261, ""nl"", ""en"")"),"Psychological and Emotional Interpretations")</f>
        <v>Psychological and Emotional Interpretations</v>
      </c>
      <c r="E4261" s="3" t="str">
        <f>IFERROR(__xludf.DUMMYFUNCTION("GOOGLETRANSLATE(B4261, ""nl"", ""en"")"),"An explosion of colours and feelings")</f>
        <v>An explosion of colours and feelings</v>
      </c>
    </row>
    <row r="4262" ht="15.75" customHeight="1">
      <c r="A4262" s="3" t="s">
        <v>4</v>
      </c>
      <c r="B4262" s="3" t="s">
        <v>20</v>
      </c>
      <c r="D4262" s="3" t="str">
        <f>IFERROR(__xludf.DUMMYFUNCTION("GOOGLETRANSLATE(A4262, ""nl"", ""en"")"),"Architectural and Structural Associations")</f>
        <v>Architectural and Structural Associations</v>
      </c>
      <c r="E4262" s="3" t="str">
        <f>IFERROR(__xludf.DUMMYFUNCTION("GOOGLETRANSLATE(B4262, ""nl"", ""en"")"),"A tower that grows by itself")</f>
        <v>A tower that grows by itself</v>
      </c>
    </row>
    <row r="4263" ht="15.75" customHeight="1">
      <c r="A4263" s="3" t="s">
        <v>9</v>
      </c>
      <c r="B4263" s="3" t="s">
        <v>37</v>
      </c>
      <c r="D4263" s="3" t="str">
        <f>IFERROR(__xludf.DUMMYFUNCTION("GOOGLETRANSLATE(A4263, ""nl"", ""en"")"),"Psychological and Emotional Interpretations")</f>
        <v>Psychological and Emotional Interpretations</v>
      </c>
      <c r="E4263" s="3" t="str">
        <f>IFERROR(__xludf.DUMMYFUNCTION("GOOGLETRANSLATE(B4263, ""nl"", ""en"")"),"A figure looking through itself")</f>
        <v>A figure looking through itself</v>
      </c>
    </row>
    <row r="4264" ht="15.75" customHeight="1">
      <c r="A4264" s="3" t="s">
        <v>7</v>
      </c>
      <c r="B4264" s="3" t="s">
        <v>28</v>
      </c>
      <c r="D4264" s="3" t="str">
        <f>IFERROR(__xludf.DUMMYFUNCTION("GOOGLETRANSLATE(A4264, ""nl"", ""en"")"),"Human Figures and Physicality")</f>
        <v>Human Figures and Physicality</v>
      </c>
      <c r="E4264" s="3" t="str">
        <f>IFERROR(__xludf.DUMMYFUNCTION("GOOGLETRANSLATE(B4264, ""nl"", ""en"")"),"A dancing silhouette")</f>
        <v>A dancing silhouette</v>
      </c>
    </row>
    <row r="4265" ht="15.75" customHeight="1">
      <c r="A4265" s="3" t="s">
        <v>7</v>
      </c>
      <c r="B4265" s="3" t="s">
        <v>56</v>
      </c>
      <c r="D4265" s="3" t="str">
        <f>IFERROR(__xludf.DUMMYFUNCTION("GOOGLETRANSLATE(A4265, ""nl"", ""en"")"),"Human Figures and Physicality")</f>
        <v>Human Figures and Physicality</v>
      </c>
      <c r="E4265" s="3" t="str">
        <f>IFERROR(__xludf.DUMMYFUNCTION("GOOGLETRANSLATE(B4265, ""nl"", ""en"")"),"A shadow that seems to move")</f>
        <v>A shadow that seems to move</v>
      </c>
    </row>
    <row r="4266" ht="15.75" customHeight="1">
      <c r="A4266" s="3" t="s">
        <v>24</v>
      </c>
      <c r="B4266" s="3" t="s">
        <v>33</v>
      </c>
      <c r="D4266" s="3" t="str">
        <f>IFERROR(__xludf.DUMMYFUNCTION("GOOGLETRANSLATE(A4266, ""nl"", ""en"")"),"Cosmic and Abstract Patterns")</f>
        <v>Cosmic and Abstract Patterns</v>
      </c>
      <c r="E4266" s="3" t="str">
        <f>IFERROR(__xludf.DUMMYFUNCTION("GOOGLETRANSLATE(B4266, ""nl"", ""en"")"),"An eye that repeats itself in endless patterns")</f>
        <v>An eye that repeats itself in endless patterns</v>
      </c>
    </row>
    <row r="4267" ht="15.75" customHeight="1">
      <c r="A4267" s="3" t="s">
        <v>24</v>
      </c>
      <c r="B4267" s="3" t="s">
        <v>54</v>
      </c>
      <c r="D4267" s="3" t="str">
        <f>IFERROR(__xludf.DUMMYFUNCTION("GOOGLETRANSLATE(A4267, ""nl"", ""en"")"),"Cosmic and Abstract Patterns")</f>
        <v>Cosmic and Abstract Patterns</v>
      </c>
      <c r="E4267" s="3" t="str">
        <f>IFERROR(__xludf.DUMMYFUNCTION("GOOGLETRANSLATE(B4267, ""nl"", ""en"")"),"A quantum particle in superposition")</f>
        <v>A quantum particle in superposition</v>
      </c>
    </row>
    <row r="4268" ht="15.75" customHeight="1">
      <c r="A4268" s="3" t="s">
        <v>12</v>
      </c>
      <c r="B4268" s="3" t="s">
        <v>19</v>
      </c>
      <c r="D4268" s="3" t="str">
        <f>IFERROR(__xludf.DUMMYFUNCTION("GOOGLETRANSLATE(A4268, ""nl"", ""en"")"),"Nature and Elements")</f>
        <v>Nature and Elements</v>
      </c>
      <c r="E4268" s="3" t="str">
        <f>IFERROR(__xludf.DUMMYFUNCTION("GOOGLETRANSLATE(B4268, ""nl"", ""en"")"),"A mountain range that seems to breathe")</f>
        <v>A mountain range that seems to breathe</v>
      </c>
    </row>
    <row r="4269" ht="15.75" customHeight="1">
      <c r="A4269" s="3" t="s">
        <v>24</v>
      </c>
      <c r="B4269" s="3" t="s">
        <v>29</v>
      </c>
      <c r="D4269" s="3" t="str">
        <f>IFERROR(__xludf.DUMMYFUNCTION("GOOGLETRANSLATE(A4269, ""nl"", ""en"")"),"Cosmic and Abstract Patterns")</f>
        <v>Cosmic and Abstract Patterns</v>
      </c>
      <c r="E4269" s="3" t="str">
        <f>IFERROR(__xludf.DUMMYFUNCTION("GOOGLETRANSLATE(B4269, ""nl"", ""en"")"),"A galaxy unfolding")</f>
        <v>A galaxy unfolding</v>
      </c>
    </row>
    <row r="4270" ht="15.75" customHeight="1">
      <c r="A4270" s="3" t="s">
        <v>15</v>
      </c>
      <c r="B4270" s="3" t="s">
        <v>45</v>
      </c>
      <c r="D4270" s="3" t="str">
        <f>IFERROR(__xludf.DUMMYFUNCTION("GOOGLETRANSLATE(A4270, ""nl"", ""en"")"),"Animals and Organic Forms")</f>
        <v>Animals and Organic Forms</v>
      </c>
      <c r="E4270" s="3" t="str">
        <f>IFERROR(__xludf.DUMMYFUNCTION("GOOGLETRANSLATE(B4270, ""nl"", ""en"")"),"A snake biting its own tail")</f>
        <v>A snake biting its own tail</v>
      </c>
    </row>
    <row r="4271" ht="15.75" customHeight="1">
      <c r="A4271" s="3" t="s">
        <v>7</v>
      </c>
      <c r="B4271" s="3" t="s">
        <v>39</v>
      </c>
      <c r="D4271" s="3" t="str">
        <f>IFERROR(__xludf.DUMMYFUNCTION("GOOGLETRANSLATE(A4271, ""nl"", ""en"")"),"Human Figures and Physicality")</f>
        <v>Human Figures and Physicality</v>
      </c>
      <c r="E4271" s="3" t="str">
        <f>IFERROR(__xludf.DUMMYFUNCTION("GOOGLETRANSLATE(B4271, ""nl"", ""en"")"),"A torso without a head")</f>
        <v>A torso without a head</v>
      </c>
    </row>
    <row r="4272" ht="15.75" customHeight="1">
      <c r="A4272" s="3" t="s">
        <v>12</v>
      </c>
      <c r="B4272" s="3" t="s">
        <v>30</v>
      </c>
      <c r="D4272" s="3" t="str">
        <f>IFERROR(__xludf.DUMMYFUNCTION("GOOGLETRANSLATE(A4272, ""nl"", ""en"")"),"Nature and Elements")</f>
        <v>Nature and Elements</v>
      </c>
      <c r="E4272" s="3" t="str">
        <f>IFERROR(__xludf.DUMMYFUNCTION("GOOGLETRANSLATE(B4272, ""nl"", ""en"")"),"Waves breaking in fractal patterns")</f>
        <v>Waves breaking in fractal patterns</v>
      </c>
    </row>
    <row r="4273" ht="15.75" customHeight="1">
      <c r="A4273" s="3" t="s">
        <v>7</v>
      </c>
      <c r="B4273" s="3" t="s">
        <v>39</v>
      </c>
      <c r="D4273" s="3" t="str">
        <f>IFERROR(__xludf.DUMMYFUNCTION("GOOGLETRANSLATE(A4273, ""nl"", ""en"")"),"Human Figures and Physicality")</f>
        <v>Human Figures and Physicality</v>
      </c>
      <c r="E4273" s="3" t="str">
        <f>IFERROR(__xludf.DUMMYFUNCTION("GOOGLETRANSLATE(B4273, ""nl"", ""en"")"),"A torso without a head")</f>
        <v>A torso without a head</v>
      </c>
    </row>
    <row r="4274" ht="15.75" customHeight="1">
      <c r="A4274" s="3" t="s">
        <v>4</v>
      </c>
      <c r="B4274" s="3" t="s">
        <v>55</v>
      </c>
      <c r="D4274" s="3" t="str">
        <f>IFERROR(__xludf.DUMMYFUNCTION("GOOGLETRANSLATE(A4274, ""nl"", ""en"")"),"Architectural and Structural Associations")</f>
        <v>Architectural and Structural Associations</v>
      </c>
      <c r="E4274" s="3" t="str">
        <f>IFERROR(__xludf.DUMMYFUNCTION("GOOGLETRANSLATE(B4274, ""nl"", ""en"")"),"A prism that splits light into colors")</f>
        <v>A prism that splits light into colors</v>
      </c>
    </row>
    <row r="4275" ht="15.75" customHeight="1">
      <c r="A4275" s="3" t="s">
        <v>12</v>
      </c>
      <c r="B4275" s="3" t="s">
        <v>19</v>
      </c>
      <c r="D4275" s="3" t="str">
        <f>IFERROR(__xludf.DUMMYFUNCTION("GOOGLETRANSLATE(A4275, ""nl"", ""en"")"),"Nature and Elements")</f>
        <v>Nature and Elements</v>
      </c>
      <c r="E4275" s="3" t="str">
        <f>IFERROR(__xludf.DUMMYFUNCTION("GOOGLETRANSLATE(B4275, ""nl"", ""en"")"),"A mountain range that seems to breathe")</f>
        <v>A mountain range that seems to breathe</v>
      </c>
    </row>
    <row r="4276" ht="15.75" customHeight="1">
      <c r="A4276" s="3" t="s">
        <v>4</v>
      </c>
      <c r="B4276" s="3" t="s">
        <v>44</v>
      </c>
      <c r="D4276" s="3" t="str">
        <f>IFERROR(__xludf.DUMMYFUNCTION("GOOGLETRANSLATE(A4276, ""nl"", ""en"")"),"Architectural and Structural Associations")</f>
        <v>Architectural and Structural Associations</v>
      </c>
      <c r="E4276" s="3" t="str">
        <f>IFERROR(__xludf.DUMMYFUNCTION("GOOGLETRANSLATE(B4276, ""nl"", ""en"")"),"A structure that pulsates in waves")</f>
        <v>A structure that pulsates in waves</v>
      </c>
    </row>
    <row r="4277" ht="15.75" customHeight="1">
      <c r="A4277" s="3" t="s">
        <v>15</v>
      </c>
      <c r="B4277" s="3" t="s">
        <v>16</v>
      </c>
      <c r="D4277" s="3" t="str">
        <f>IFERROR(__xludf.DUMMYFUNCTION("GOOGLETRANSLATE(A4277, ""nl"", ""en"")"),"Animals and Organic Forms")</f>
        <v>Animals and Organic Forms</v>
      </c>
      <c r="E4277" s="3" t="str">
        <f>IFERROR(__xludf.DUMMYFUNCTION("GOOGLETRANSLATE(B4277, ""nl"", ""en"")"),"A butterfly in transformation")</f>
        <v>A butterfly in transformation</v>
      </c>
    </row>
    <row r="4278" ht="15.75" customHeight="1">
      <c r="A4278" s="3" t="s">
        <v>24</v>
      </c>
      <c r="B4278" s="3" t="s">
        <v>32</v>
      </c>
      <c r="D4278" s="3" t="str">
        <f>IFERROR(__xludf.DUMMYFUNCTION("GOOGLETRANSLATE(A4278, ""nl"", ""en"")"),"Cosmic and Abstract Patterns")</f>
        <v>Cosmic and Abstract Patterns</v>
      </c>
      <c r="E4278" s="3" t="str">
        <f>IFERROR(__xludf.DUMMYFUNCTION("GOOGLETRANSLATE(B4278, ""nl"", ""en"")"),"A time loop captured in image")</f>
        <v>A time loop captured in image</v>
      </c>
    </row>
    <row r="4279" ht="15.75" customHeight="1">
      <c r="A4279" s="3" t="s">
        <v>9</v>
      </c>
      <c r="B4279" s="3" t="s">
        <v>42</v>
      </c>
      <c r="D4279" s="3" t="str">
        <f>IFERROR(__xludf.DUMMYFUNCTION("GOOGLETRANSLATE(A4279, ""nl"", ""en"")"),"Psychological and Emotional Interpretations")</f>
        <v>Psychological and Emotional Interpretations</v>
      </c>
      <c r="E4279" s="3" t="str">
        <f>IFERROR(__xludf.DUMMYFUNCTION("GOOGLETRANSLATE(B4279, ""nl"", ""en"")"),"A mask that slowly disappears")</f>
        <v>A mask that slowly disappears</v>
      </c>
    </row>
    <row r="4280" ht="15.75" customHeight="1">
      <c r="A4280" s="3" t="s">
        <v>4</v>
      </c>
      <c r="B4280" s="3" t="s">
        <v>43</v>
      </c>
      <c r="D4280" s="3" t="str">
        <f>IFERROR(__xludf.DUMMYFUNCTION("GOOGLETRANSLATE(A4280, ""nl"", ""en"")"),"Architectural and Structural Associations")</f>
        <v>Architectural and Structural Associations</v>
      </c>
      <c r="E4280" s="3" t="str">
        <f>IFERROR(__xludf.DUMMYFUNCTION("GOOGLETRANSLATE(B4280, ""nl"", ""en"")"),"A network of tunnels and passages")</f>
        <v>A network of tunnels and passages</v>
      </c>
    </row>
    <row r="4281" ht="15.75" customHeight="1">
      <c r="A4281" s="3" t="s">
        <v>15</v>
      </c>
      <c r="B4281" s="3" t="s">
        <v>46</v>
      </c>
      <c r="D4281" s="3" t="str">
        <f>IFERROR(__xludf.DUMMYFUNCTION("GOOGLETRANSLATE(A4281, ""nl"", ""en"")"),"Animals and Organic Forms")</f>
        <v>Animals and Organic Forms</v>
      </c>
      <c r="E4281" s="3" t="str">
        <f>IFERROR(__xludf.DUMMYFUNCTION("GOOGLETRANSLATE(B4281, ""nl"", ""en"")"),"A flock of fish moving as one")</f>
        <v>A flock of fish moving as one</v>
      </c>
    </row>
    <row r="4282" ht="15.75" customHeight="1">
      <c r="A4282" s="3" t="s">
        <v>9</v>
      </c>
      <c r="B4282" s="3" t="s">
        <v>42</v>
      </c>
      <c r="D4282" s="3" t="str">
        <f>IFERROR(__xludf.DUMMYFUNCTION("GOOGLETRANSLATE(A4282, ""nl"", ""en"")"),"Psychological and Emotional Interpretations")</f>
        <v>Psychological and Emotional Interpretations</v>
      </c>
      <c r="E4282" s="3" t="str">
        <f>IFERROR(__xludf.DUMMYFUNCTION("GOOGLETRANSLATE(B4282, ""nl"", ""en"")"),"A mask that slowly disappears")</f>
        <v>A mask that slowly disappears</v>
      </c>
    </row>
    <row r="4283" ht="15.75" customHeight="1">
      <c r="A4283" s="3" t="s">
        <v>12</v>
      </c>
      <c r="B4283" s="3" t="s">
        <v>18</v>
      </c>
      <c r="D4283" s="3" t="str">
        <f>IFERROR(__xludf.DUMMYFUNCTION("GOOGLETRANSLATE(A4283, ""nl"", ""en"")"),"Nature and Elements")</f>
        <v>Nature and Elements</v>
      </c>
      <c r="E4283" s="3" t="str">
        <f>IFERROR(__xludf.DUMMYFUNCTION("GOOGLETRANSLATE(B4283, ""nl"", ""en"")"),"A tree with endless branches")</f>
        <v>A tree with endless branches</v>
      </c>
    </row>
    <row r="4284" ht="15.75" customHeight="1">
      <c r="A4284" s="3" t="s">
        <v>12</v>
      </c>
      <c r="B4284" s="3" t="s">
        <v>47</v>
      </c>
      <c r="D4284" s="3" t="str">
        <f>IFERROR(__xludf.DUMMYFUNCTION("GOOGLETRANSLATE(A4284, ""nl"", ""en"")"),"Nature and Elements")</f>
        <v>Nature and Elements</v>
      </c>
      <c r="E4284" s="3" t="str">
        <f>IFERROR(__xludf.DUMMYFUNCTION("GOOGLETRANSLATE(B4284, ""nl"", ""en"")"),"A desert landscape that slowly changes")</f>
        <v>A desert landscape that slowly changes</v>
      </c>
    </row>
    <row r="4285" ht="15.75" customHeight="1">
      <c r="A4285" s="3" t="s">
        <v>7</v>
      </c>
      <c r="B4285" s="3" t="s">
        <v>39</v>
      </c>
      <c r="D4285" s="3" t="str">
        <f>IFERROR(__xludf.DUMMYFUNCTION("GOOGLETRANSLATE(A4285, ""nl"", ""en"")"),"Human Figures and Physicality")</f>
        <v>Human Figures and Physicality</v>
      </c>
      <c r="E4285" s="3" t="str">
        <f>IFERROR(__xludf.DUMMYFUNCTION("GOOGLETRANSLATE(B4285, ""nl"", ""en"")"),"A torso without a head")</f>
        <v>A torso without a head</v>
      </c>
    </row>
    <row r="4286" ht="15.75" customHeight="1">
      <c r="A4286" s="3" t="s">
        <v>7</v>
      </c>
      <c r="B4286" s="3" t="s">
        <v>41</v>
      </c>
      <c r="D4286" s="3" t="str">
        <f>IFERROR(__xludf.DUMMYFUNCTION("GOOGLETRANSLATE(A4286, ""nl"", ""en"")"),"Human Figures and Physicality")</f>
        <v>Human Figures and Physicality</v>
      </c>
      <c r="E4286" s="3" t="str">
        <f>IFERROR(__xludf.DUMMYFUNCTION("GOOGLETRANSLATE(B4286, ""nl"", ""en"")"),"A face that fades into abstraction")</f>
        <v>A face that fades into abstraction</v>
      </c>
    </row>
    <row r="4287" ht="15.75" customHeight="1">
      <c r="A4287" s="3" t="s">
        <v>4</v>
      </c>
      <c r="B4287" s="3" t="s">
        <v>5</v>
      </c>
      <c r="D4287" s="3" t="str">
        <f>IFERROR(__xludf.DUMMYFUNCTION("GOOGLETRANSLATE(A4287, ""nl"", ""en"")"),"Architectural and Structural Associations")</f>
        <v>Architectural and Structural Associations</v>
      </c>
      <c r="E4287" s="3" t="str">
        <f>IFERROR(__xludf.DUMMYFUNCTION("GOOGLETRANSLATE(B4287, ""nl"", ""en"")"),"A cathedral shaped from mist")</f>
        <v>A cathedral shaped from mist</v>
      </c>
    </row>
    <row r="4288" ht="15.75" customHeight="1">
      <c r="A4288" s="3" t="s">
        <v>7</v>
      </c>
      <c r="B4288" s="3" t="s">
        <v>40</v>
      </c>
      <c r="D4288" s="3" t="str">
        <f>IFERROR(__xludf.DUMMYFUNCTION("GOOGLETRANSLATE(A4288, ""nl"", ""en"")"),"Human Figures and Physicality")</f>
        <v>Human Figures and Physicality</v>
      </c>
      <c r="E4288" s="3" t="str">
        <f>IFERROR(__xludf.DUMMYFUNCTION("GOOGLETRANSLATE(B4288, ""nl"", ""en"")"),"A figure who is withdrawn into himself")</f>
        <v>A figure who is withdrawn into himself</v>
      </c>
    </row>
    <row r="4289" ht="15.75" customHeight="1">
      <c r="A4289" s="3" t="s">
        <v>4</v>
      </c>
      <c r="B4289" s="3" t="s">
        <v>55</v>
      </c>
      <c r="D4289" s="3" t="str">
        <f>IFERROR(__xludf.DUMMYFUNCTION("GOOGLETRANSLATE(A4289, ""nl"", ""en"")"),"Architectural and Structural Associations")</f>
        <v>Architectural and Structural Associations</v>
      </c>
      <c r="E4289" s="3" t="str">
        <f>IFERROR(__xludf.DUMMYFUNCTION("GOOGLETRANSLATE(B4289, ""nl"", ""en"")"),"A prism that splits light into colors")</f>
        <v>A prism that splits light into colors</v>
      </c>
    </row>
    <row r="4290" ht="15.75" customHeight="1">
      <c r="A4290" s="3" t="s">
        <v>7</v>
      </c>
      <c r="B4290" s="3" t="s">
        <v>28</v>
      </c>
      <c r="D4290" s="3" t="str">
        <f>IFERROR(__xludf.DUMMYFUNCTION("GOOGLETRANSLATE(A4290, ""nl"", ""en"")"),"Human Figures and Physicality")</f>
        <v>Human Figures and Physicality</v>
      </c>
      <c r="E4290" s="3" t="str">
        <f>IFERROR(__xludf.DUMMYFUNCTION("GOOGLETRANSLATE(B4290, ""nl"", ""en"")"),"A dancing silhouette")</f>
        <v>A dancing silhouette</v>
      </c>
    </row>
    <row r="4291" ht="15.75" customHeight="1">
      <c r="A4291" s="3" t="s">
        <v>12</v>
      </c>
      <c r="B4291" s="3" t="s">
        <v>30</v>
      </c>
      <c r="D4291" s="3" t="str">
        <f>IFERROR(__xludf.DUMMYFUNCTION("GOOGLETRANSLATE(A4291, ""nl"", ""en"")"),"Nature and Elements")</f>
        <v>Nature and Elements</v>
      </c>
      <c r="E4291" s="3" t="str">
        <f>IFERROR(__xludf.DUMMYFUNCTION("GOOGLETRANSLATE(B4291, ""nl"", ""en"")"),"Waves breaking in fractal patterns")</f>
        <v>Waves breaking in fractal patterns</v>
      </c>
    </row>
    <row r="4292" ht="15.75" customHeight="1">
      <c r="A4292" s="3" t="s">
        <v>4</v>
      </c>
      <c r="B4292" s="3" t="s">
        <v>6</v>
      </c>
      <c r="D4292" s="3" t="str">
        <f>IFERROR(__xludf.DUMMYFUNCTION("GOOGLETRANSLATE(A4292, ""nl"", ""en"")"),"Architectural and Structural Associations")</f>
        <v>Architectural and Structural Associations</v>
      </c>
      <c r="E4292" s="3" t="str">
        <f>IFERROR(__xludf.DUMMYFUNCTION("GOOGLETRANSLATE(B4292, ""nl"", ""en"")"),"An endless labyrinth")</f>
        <v>An endless labyrinth</v>
      </c>
    </row>
    <row r="4293" ht="15.75" customHeight="1">
      <c r="A4293" s="3" t="s">
        <v>9</v>
      </c>
      <c r="B4293" s="3" t="s">
        <v>42</v>
      </c>
      <c r="D4293" s="3" t="str">
        <f>IFERROR(__xludf.DUMMYFUNCTION("GOOGLETRANSLATE(A4293, ""nl"", ""en"")"),"Psychological and Emotional Interpretations")</f>
        <v>Psychological and Emotional Interpretations</v>
      </c>
      <c r="E4293" s="3" t="str">
        <f>IFERROR(__xludf.DUMMYFUNCTION("GOOGLETRANSLATE(B4293, ""nl"", ""en"")"),"A mask that slowly disappears")</f>
        <v>A mask that slowly disappears</v>
      </c>
    </row>
    <row r="4294" ht="15.75" customHeight="1">
      <c r="A4294" s="3" t="s">
        <v>9</v>
      </c>
      <c r="B4294" s="3" t="s">
        <v>14</v>
      </c>
      <c r="D4294" s="3" t="str">
        <f>IFERROR(__xludf.DUMMYFUNCTION("GOOGLETRANSLATE(A4294, ""nl"", ""en"")"),"Psychological and Emotional Interpretations")</f>
        <v>Psychological and Emotional Interpretations</v>
      </c>
      <c r="E4294" s="3" t="str">
        <f>IFERROR(__xludf.DUMMYFUNCTION("GOOGLETRANSLATE(B4294, ""nl"", ""en"")"),"An unclear hug")</f>
        <v>An unclear hug</v>
      </c>
    </row>
    <row r="4295" ht="15.75" customHeight="1">
      <c r="A4295" s="3" t="s">
        <v>4</v>
      </c>
      <c r="B4295" s="3" t="s">
        <v>21</v>
      </c>
      <c r="D4295" s="3" t="str">
        <f>IFERROR(__xludf.DUMMYFUNCTION("GOOGLETRANSLATE(A4295, ""nl"", ""en"")"),"Architectural and Structural Associations")</f>
        <v>Architectural and Structural Associations</v>
      </c>
      <c r="E4295" s="3" t="str">
        <f>IFERROR(__xludf.DUMMYFUNCTION("GOOGLETRANSLATE(B4295, ""nl"", ""en"")"),"A bridge that leads nowhere")</f>
        <v>A bridge that leads nowhere</v>
      </c>
    </row>
    <row r="4296" ht="15.75" customHeight="1">
      <c r="A4296" s="3" t="s">
        <v>24</v>
      </c>
      <c r="B4296" s="3" t="s">
        <v>31</v>
      </c>
      <c r="D4296" s="3" t="str">
        <f>IFERROR(__xludf.DUMMYFUNCTION("GOOGLETRANSLATE(A4296, ""nl"", ""en"")"),"Cosmic and Abstract Patterns")</f>
        <v>Cosmic and Abstract Patterns</v>
      </c>
      <c r="E4296" s="3" t="str">
        <f>IFERROR(__xludf.DUMMYFUNCTION("GOOGLETRANSLATE(B4296, ""nl"", ""en"")"),"A planet with unusual rings")</f>
        <v>A planet with unusual rings</v>
      </c>
    </row>
    <row r="4297" ht="15.75" customHeight="1">
      <c r="A4297" s="3" t="s">
        <v>15</v>
      </c>
      <c r="B4297" s="3" t="s">
        <v>52</v>
      </c>
      <c r="D4297" s="3" t="str">
        <f>IFERROR(__xludf.DUMMYFUNCTION("GOOGLETRANSLATE(A4297, ""nl"", ""en"")"),"Animals and Organic Forms")</f>
        <v>Animals and Organic Forms</v>
      </c>
      <c r="E4297" s="3" t="str">
        <f>IFERROR(__xludf.DUMMYFUNCTION("GOOGLETRANSLATE(B4297, ""nl"", ""en"")"),"A mask made of leaves")</f>
        <v>A mask made of leaves</v>
      </c>
    </row>
    <row r="4298" ht="15.75" customHeight="1">
      <c r="A4298" s="3" t="s">
        <v>4</v>
      </c>
      <c r="B4298" s="3" t="s">
        <v>44</v>
      </c>
      <c r="D4298" s="3" t="str">
        <f>IFERROR(__xludf.DUMMYFUNCTION("GOOGLETRANSLATE(A4298, ""nl"", ""en"")"),"Architectural and Structural Associations")</f>
        <v>Architectural and Structural Associations</v>
      </c>
      <c r="E4298" s="3" t="str">
        <f>IFERROR(__xludf.DUMMYFUNCTION("GOOGLETRANSLATE(B4298, ""nl"", ""en"")"),"A structure that pulsates in waves")</f>
        <v>A structure that pulsates in waves</v>
      </c>
    </row>
    <row r="4299" ht="15.75" customHeight="1">
      <c r="A4299" s="3" t="s">
        <v>15</v>
      </c>
      <c r="B4299" s="3" t="s">
        <v>22</v>
      </c>
      <c r="D4299" s="3" t="str">
        <f>IFERROR(__xludf.DUMMYFUNCTION("GOOGLETRANSLATE(A4299, ""nl"", ""en"")"),"Animals and Organic Forms")</f>
        <v>Animals and Organic Forms</v>
      </c>
      <c r="E4299" s="3" t="str">
        <f>IFERROR(__xludf.DUMMYFUNCTION("GOOGLETRANSLATE(B4299, ""nl"", ""en"")"),"A bird taking off")</f>
        <v>A bird taking off</v>
      </c>
    </row>
    <row r="4300" ht="15.75" customHeight="1">
      <c r="A4300" s="3" t="s">
        <v>7</v>
      </c>
      <c r="B4300" s="3" t="s">
        <v>28</v>
      </c>
      <c r="D4300" s="3" t="str">
        <f>IFERROR(__xludf.DUMMYFUNCTION("GOOGLETRANSLATE(A4300, ""nl"", ""en"")"),"Human Figures and Physicality")</f>
        <v>Human Figures and Physicality</v>
      </c>
      <c r="E4300" s="3" t="str">
        <f>IFERROR(__xludf.DUMMYFUNCTION("GOOGLETRANSLATE(B4300, ""nl"", ""en"")"),"A dancing silhouette")</f>
        <v>A dancing silhouette</v>
      </c>
    </row>
    <row r="4301" ht="15.75" customHeight="1">
      <c r="A4301" s="3" t="s">
        <v>9</v>
      </c>
      <c r="B4301" s="3" t="s">
        <v>57</v>
      </c>
      <c r="D4301" s="3" t="str">
        <f>IFERROR(__xludf.DUMMYFUNCTION("GOOGLETRANSLATE(A4301, ""nl"", ""en"")"),"Psychological and Emotional Interpretations")</f>
        <v>Psychological and Emotional Interpretations</v>
      </c>
      <c r="E4301" s="3" t="str">
        <f>IFERROR(__xludf.DUMMYFUNCTION("GOOGLETRANSLATE(B4301, ""nl"", ""en"")"),"An explosion of colours and feelings")</f>
        <v>An explosion of colours and feelings</v>
      </c>
    </row>
    <row r="4302" ht="15.75" customHeight="1">
      <c r="A4302" s="3" t="s">
        <v>7</v>
      </c>
      <c r="B4302" s="3" t="s">
        <v>41</v>
      </c>
      <c r="D4302" s="3" t="str">
        <f>IFERROR(__xludf.DUMMYFUNCTION("GOOGLETRANSLATE(A4302, ""nl"", ""en"")"),"Human Figures and Physicality")</f>
        <v>Human Figures and Physicality</v>
      </c>
      <c r="E4302" s="3" t="str">
        <f>IFERROR(__xludf.DUMMYFUNCTION("GOOGLETRANSLATE(B4302, ""nl"", ""en"")"),"A face that fades into abstraction")</f>
        <v>A face that fades into abstraction</v>
      </c>
    </row>
    <row r="4303" ht="15.75" customHeight="1">
      <c r="A4303" s="3" t="s">
        <v>24</v>
      </c>
      <c r="B4303" s="3" t="s">
        <v>29</v>
      </c>
      <c r="D4303" s="3" t="str">
        <f>IFERROR(__xludf.DUMMYFUNCTION("GOOGLETRANSLATE(A4303, ""nl"", ""en"")"),"Cosmic and Abstract Patterns")</f>
        <v>Cosmic and Abstract Patterns</v>
      </c>
      <c r="E4303" s="3" t="str">
        <f>IFERROR(__xludf.DUMMYFUNCTION("GOOGLETRANSLATE(B4303, ""nl"", ""en"")"),"A galaxy unfolding")</f>
        <v>A galaxy unfolding</v>
      </c>
    </row>
    <row r="4304" ht="15.75" customHeight="1">
      <c r="A4304" s="3" t="s">
        <v>24</v>
      </c>
      <c r="B4304" s="3" t="s">
        <v>32</v>
      </c>
      <c r="D4304" s="3" t="str">
        <f>IFERROR(__xludf.DUMMYFUNCTION("GOOGLETRANSLATE(A4304, ""nl"", ""en"")"),"Cosmic and Abstract Patterns")</f>
        <v>Cosmic and Abstract Patterns</v>
      </c>
      <c r="E4304" s="3" t="str">
        <f>IFERROR(__xludf.DUMMYFUNCTION("GOOGLETRANSLATE(B4304, ""nl"", ""en"")"),"A time loop captured in image")</f>
        <v>A time loop captured in image</v>
      </c>
    </row>
    <row r="4305" ht="15.75" customHeight="1">
      <c r="A4305" s="3" t="s">
        <v>12</v>
      </c>
      <c r="B4305" s="3" t="s">
        <v>23</v>
      </c>
      <c r="D4305" s="3" t="str">
        <f>IFERROR(__xludf.DUMMYFUNCTION("GOOGLETRANSLATE(A4305, ""nl"", ""en"")"),"Nature and Elements")</f>
        <v>Nature and Elements</v>
      </c>
      <c r="E4305" s="3" t="str">
        <f>IFERROR(__xludf.DUMMYFUNCTION("GOOGLETRANSLATE(B4305, ""nl"", ""en"")"),"A storm cloud splitting in two")</f>
        <v>A storm cloud splitting in two</v>
      </c>
    </row>
    <row r="4306" ht="15.75" customHeight="1">
      <c r="A4306" s="3" t="s">
        <v>9</v>
      </c>
      <c r="B4306" s="3" t="s">
        <v>57</v>
      </c>
      <c r="D4306" s="3" t="str">
        <f>IFERROR(__xludf.DUMMYFUNCTION("GOOGLETRANSLATE(A4306, ""nl"", ""en"")"),"Psychological and Emotional Interpretations")</f>
        <v>Psychological and Emotional Interpretations</v>
      </c>
      <c r="E4306" s="3" t="str">
        <f>IFERROR(__xludf.DUMMYFUNCTION("GOOGLETRANSLATE(B4306, ""nl"", ""en"")"),"An explosion of colours and feelings")</f>
        <v>An explosion of colours and feelings</v>
      </c>
    </row>
    <row r="4307" ht="15.75" customHeight="1">
      <c r="A4307" s="3" t="s">
        <v>4</v>
      </c>
      <c r="B4307" s="3" t="s">
        <v>5</v>
      </c>
      <c r="D4307" s="3" t="str">
        <f>IFERROR(__xludf.DUMMYFUNCTION("GOOGLETRANSLATE(A4307, ""nl"", ""en"")"),"Architectural and Structural Associations")</f>
        <v>Architectural and Structural Associations</v>
      </c>
      <c r="E4307" s="3" t="str">
        <f>IFERROR(__xludf.DUMMYFUNCTION("GOOGLETRANSLATE(B4307, ""nl"", ""en"")"),"A cathedral shaped from mist")</f>
        <v>A cathedral shaped from mist</v>
      </c>
    </row>
    <row r="4308" ht="15.75" customHeight="1">
      <c r="A4308" s="3" t="s">
        <v>15</v>
      </c>
      <c r="B4308" s="3" t="s">
        <v>50</v>
      </c>
      <c r="D4308" s="3" t="str">
        <f>IFERROR(__xludf.DUMMYFUNCTION("GOOGLETRANSLATE(A4308, ""nl"", ""en"")"),"Animals and Organic Forms")</f>
        <v>Animals and Organic Forms</v>
      </c>
      <c r="E4308" s="3" t="str">
        <f>IFERROR(__xludf.DUMMYFUNCTION("GOOGLETRANSLATE(B4308, ""nl"", ""en"")"),"A squid with extended tentacles")</f>
        <v>A squid with extended tentacles</v>
      </c>
    </row>
    <row r="4309" ht="15.75" customHeight="1">
      <c r="A4309" s="3" t="s">
        <v>7</v>
      </c>
      <c r="B4309" s="3" t="s">
        <v>53</v>
      </c>
      <c r="D4309" s="3" t="str">
        <f>IFERROR(__xludf.DUMMYFUNCTION("GOOGLETRANSLATE(A4309, ""nl"", ""en"")"),"Human Figures and Physicality")</f>
        <v>Human Figures and Physicality</v>
      </c>
      <c r="E4309" s="3" t="str">
        <f>IFERROR(__xludf.DUMMYFUNCTION("GOOGLETRANSLATE(B4309, ""nl"", ""en"")"),"A face that both smiles and cries")</f>
        <v>A face that both smiles and cries</v>
      </c>
    </row>
    <row r="4310" ht="15.75" customHeight="1">
      <c r="A4310" s="3" t="s">
        <v>4</v>
      </c>
      <c r="B4310" s="3" t="s">
        <v>20</v>
      </c>
      <c r="D4310" s="3" t="str">
        <f>IFERROR(__xludf.DUMMYFUNCTION("GOOGLETRANSLATE(A4310, ""nl"", ""en"")"),"Architectural and Structural Associations")</f>
        <v>Architectural and Structural Associations</v>
      </c>
      <c r="E4310" s="3" t="str">
        <f>IFERROR(__xludf.DUMMYFUNCTION("GOOGLETRANSLATE(B4310, ""nl"", ""en"")"),"A tower that grows by itself")</f>
        <v>A tower that grows by itself</v>
      </c>
    </row>
    <row r="4311" ht="15.75" customHeight="1">
      <c r="A4311" s="3" t="s">
        <v>15</v>
      </c>
      <c r="B4311" s="3" t="s">
        <v>16</v>
      </c>
      <c r="D4311" s="3" t="str">
        <f>IFERROR(__xludf.DUMMYFUNCTION("GOOGLETRANSLATE(A4311, ""nl"", ""en"")"),"Animals and Organic Forms")</f>
        <v>Animals and Organic Forms</v>
      </c>
      <c r="E4311" s="3" t="str">
        <f>IFERROR(__xludf.DUMMYFUNCTION("GOOGLETRANSLATE(B4311, ""nl"", ""en"")"),"A butterfly in transformation")</f>
        <v>A butterfly in transformation</v>
      </c>
    </row>
    <row r="4312" ht="15.75" customHeight="1">
      <c r="A4312" s="3" t="s">
        <v>12</v>
      </c>
      <c r="B4312" s="3" t="s">
        <v>23</v>
      </c>
      <c r="D4312" s="3" t="str">
        <f>IFERROR(__xludf.DUMMYFUNCTION("GOOGLETRANSLATE(A4312, ""nl"", ""en"")"),"Nature and Elements")</f>
        <v>Nature and Elements</v>
      </c>
      <c r="E4312" s="3" t="str">
        <f>IFERROR(__xludf.DUMMYFUNCTION("GOOGLETRANSLATE(B4312, ""nl"", ""en"")"),"A storm cloud splitting in two")</f>
        <v>A storm cloud splitting in two</v>
      </c>
    </row>
    <row r="4313" ht="15.75" customHeight="1">
      <c r="A4313" s="3" t="s">
        <v>24</v>
      </c>
      <c r="B4313" s="3" t="s">
        <v>31</v>
      </c>
      <c r="D4313" s="3" t="str">
        <f>IFERROR(__xludf.DUMMYFUNCTION("GOOGLETRANSLATE(A4313, ""nl"", ""en"")"),"Cosmic and Abstract Patterns")</f>
        <v>Cosmic and Abstract Patterns</v>
      </c>
      <c r="E4313" s="3" t="str">
        <f>IFERROR(__xludf.DUMMYFUNCTION("GOOGLETRANSLATE(B4313, ""nl"", ""en"")"),"A planet with unusual rings")</f>
        <v>A planet with unusual rings</v>
      </c>
    </row>
    <row r="4314" ht="15.75" customHeight="1">
      <c r="A4314" s="3" t="s">
        <v>24</v>
      </c>
      <c r="B4314" s="3" t="s">
        <v>32</v>
      </c>
      <c r="D4314" s="3" t="str">
        <f>IFERROR(__xludf.DUMMYFUNCTION("GOOGLETRANSLATE(A4314, ""nl"", ""en"")"),"Cosmic and Abstract Patterns")</f>
        <v>Cosmic and Abstract Patterns</v>
      </c>
      <c r="E4314" s="3" t="str">
        <f>IFERROR(__xludf.DUMMYFUNCTION("GOOGLETRANSLATE(B4314, ""nl"", ""en"")"),"A time loop captured in image")</f>
        <v>A time loop captured in image</v>
      </c>
    </row>
    <row r="4315" ht="15.75" customHeight="1">
      <c r="A4315" s="3" t="s">
        <v>24</v>
      </c>
      <c r="B4315" s="3" t="s">
        <v>33</v>
      </c>
      <c r="D4315" s="3" t="str">
        <f>IFERROR(__xludf.DUMMYFUNCTION("GOOGLETRANSLATE(A4315, ""nl"", ""en"")"),"Cosmic and Abstract Patterns")</f>
        <v>Cosmic and Abstract Patterns</v>
      </c>
      <c r="E4315" s="3" t="str">
        <f>IFERROR(__xludf.DUMMYFUNCTION("GOOGLETRANSLATE(B4315, ""nl"", ""en"")"),"An eye that repeats itself in endless patterns")</f>
        <v>An eye that repeats itself in endless patterns</v>
      </c>
    </row>
    <row r="4316" ht="15.75" customHeight="1">
      <c r="A4316" s="3" t="s">
        <v>7</v>
      </c>
      <c r="B4316" s="3" t="s">
        <v>28</v>
      </c>
      <c r="D4316" s="3" t="str">
        <f>IFERROR(__xludf.DUMMYFUNCTION("GOOGLETRANSLATE(A4316, ""nl"", ""en"")"),"Human Figures and Physicality")</f>
        <v>Human Figures and Physicality</v>
      </c>
      <c r="E4316" s="3" t="str">
        <f>IFERROR(__xludf.DUMMYFUNCTION("GOOGLETRANSLATE(B4316, ""nl"", ""en"")"),"A dancing silhouette")</f>
        <v>A dancing silhouette</v>
      </c>
    </row>
    <row r="4317" ht="15.75" customHeight="1">
      <c r="A4317" s="3" t="s">
        <v>24</v>
      </c>
      <c r="B4317" s="3" t="s">
        <v>29</v>
      </c>
      <c r="D4317" s="3" t="str">
        <f>IFERROR(__xludf.DUMMYFUNCTION("GOOGLETRANSLATE(A4317, ""nl"", ""en"")"),"Cosmic and Abstract Patterns")</f>
        <v>Cosmic and Abstract Patterns</v>
      </c>
      <c r="E4317" s="3" t="str">
        <f>IFERROR(__xludf.DUMMYFUNCTION("GOOGLETRANSLATE(B4317, ""nl"", ""en"")"),"A galaxy unfolding")</f>
        <v>A galaxy unfolding</v>
      </c>
    </row>
    <row r="4318" ht="15.75" customHeight="1">
      <c r="A4318" s="3" t="s">
        <v>24</v>
      </c>
      <c r="B4318" s="3" t="s">
        <v>54</v>
      </c>
      <c r="D4318" s="3" t="str">
        <f>IFERROR(__xludf.DUMMYFUNCTION("GOOGLETRANSLATE(A4318, ""nl"", ""en"")"),"Cosmic and Abstract Patterns")</f>
        <v>Cosmic and Abstract Patterns</v>
      </c>
      <c r="E4318" s="3" t="str">
        <f>IFERROR(__xludf.DUMMYFUNCTION("GOOGLETRANSLATE(B4318, ""nl"", ""en"")"),"A quantum particle in superposition")</f>
        <v>A quantum particle in superposition</v>
      </c>
    </row>
    <row r="4319" ht="15.75" customHeight="1">
      <c r="A4319" s="3" t="s">
        <v>24</v>
      </c>
      <c r="B4319" s="3" t="s">
        <v>33</v>
      </c>
      <c r="D4319" s="3" t="str">
        <f>IFERROR(__xludf.DUMMYFUNCTION("GOOGLETRANSLATE(A4319, ""nl"", ""en"")"),"Cosmic and Abstract Patterns")</f>
        <v>Cosmic and Abstract Patterns</v>
      </c>
      <c r="E4319" s="3" t="str">
        <f>IFERROR(__xludf.DUMMYFUNCTION("GOOGLETRANSLATE(B4319, ""nl"", ""en"")"),"An eye that repeats itself in endless patterns")</f>
        <v>An eye that repeats itself in endless patterns</v>
      </c>
    </row>
    <row r="4320" ht="15.75" customHeight="1">
      <c r="A4320" s="3" t="s">
        <v>24</v>
      </c>
      <c r="B4320" s="3" t="s">
        <v>48</v>
      </c>
      <c r="D4320" s="3" t="str">
        <f>IFERROR(__xludf.DUMMYFUNCTION("GOOGLETRANSLATE(A4320, ""nl"", ""en"")"),"Cosmic and Abstract Patterns")</f>
        <v>Cosmic and Abstract Patterns</v>
      </c>
      <c r="E4320" s="3" t="str">
        <f>IFERROR(__xludf.DUMMYFUNCTION("GOOGLETRANSLATE(B4320, ""nl"", ""en"")"),"A fractal that repeats itself")</f>
        <v>A fractal that repeats itself</v>
      </c>
    </row>
    <row r="4321" ht="15.75" customHeight="1">
      <c r="A4321" s="3" t="s">
        <v>24</v>
      </c>
      <c r="B4321" s="3" t="s">
        <v>31</v>
      </c>
      <c r="D4321" s="3" t="str">
        <f>IFERROR(__xludf.DUMMYFUNCTION("GOOGLETRANSLATE(A4321, ""nl"", ""en"")"),"Cosmic and Abstract Patterns")</f>
        <v>Cosmic and Abstract Patterns</v>
      </c>
      <c r="E4321" s="3" t="str">
        <f>IFERROR(__xludf.DUMMYFUNCTION("GOOGLETRANSLATE(B4321, ""nl"", ""en"")"),"A planet with unusual rings")</f>
        <v>A planet with unusual rings</v>
      </c>
    </row>
    <row r="4322" ht="15.75" customHeight="1">
      <c r="A4322" s="3" t="s">
        <v>15</v>
      </c>
      <c r="B4322" s="3" t="s">
        <v>52</v>
      </c>
      <c r="D4322" s="3" t="str">
        <f>IFERROR(__xludf.DUMMYFUNCTION("GOOGLETRANSLATE(A4322, ""nl"", ""en"")"),"Animals and Organic Forms")</f>
        <v>Animals and Organic Forms</v>
      </c>
      <c r="E4322" s="3" t="str">
        <f>IFERROR(__xludf.DUMMYFUNCTION("GOOGLETRANSLATE(B4322, ""nl"", ""en"")"),"A mask made of leaves")</f>
        <v>A mask made of leaves</v>
      </c>
    </row>
    <row r="4323" ht="15.75" customHeight="1">
      <c r="A4323" s="3" t="s">
        <v>4</v>
      </c>
      <c r="B4323" s="3" t="s">
        <v>55</v>
      </c>
      <c r="D4323" s="3" t="str">
        <f>IFERROR(__xludf.DUMMYFUNCTION("GOOGLETRANSLATE(A4323, ""nl"", ""en"")"),"Architectural and Structural Associations")</f>
        <v>Architectural and Structural Associations</v>
      </c>
      <c r="E4323" s="3" t="str">
        <f>IFERROR(__xludf.DUMMYFUNCTION("GOOGLETRANSLATE(B4323, ""nl"", ""en"")"),"A prism that splits light into colors")</f>
        <v>A prism that splits light into colors</v>
      </c>
    </row>
    <row r="4324" ht="15.75" customHeight="1">
      <c r="A4324" s="3" t="s">
        <v>9</v>
      </c>
      <c r="B4324" s="3" t="s">
        <v>17</v>
      </c>
      <c r="D4324" s="3" t="str">
        <f>IFERROR(__xludf.DUMMYFUNCTION("GOOGLETRANSLATE(A4324, ""nl"", ""en"")"),"Psychological and Emotional Interpretations")</f>
        <v>Psychological and Emotional Interpretations</v>
      </c>
      <c r="E4324" s="3" t="str">
        <f>IFERROR(__xludf.DUMMYFUNCTION("GOOGLETRANSLATE(B4324, ""nl"", ""en"")"),"A figure that seems to melt")</f>
        <v>A figure that seems to melt</v>
      </c>
    </row>
    <row r="4325" ht="15.75" customHeight="1">
      <c r="A4325" s="3" t="s">
        <v>24</v>
      </c>
      <c r="B4325" s="3" t="s">
        <v>32</v>
      </c>
      <c r="D4325" s="3" t="str">
        <f>IFERROR(__xludf.DUMMYFUNCTION("GOOGLETRANSLATE(A4325, ""nl"", ""en"")"),"Cosmic and Abstract Patterns")</f>
        <v>Cosmic and Abstract Patterns</v>
      </c>
      <c r="E4325" s="3" t="str">
        <f>IFERROR(__xludf.DUMMYFUNCTION("GOOGLETRANSLATE(B4325, ""nl"", ""en"")"),"A time loop captured in image")</f>
        <v>A time loop captured in image</v>
      </c>
    </row>
    <row r="4326" ht="15.75" customHeight="1">
      <c r="A4326" s="3" t="s">
        <v>12</v>
      </c>
      <c r="B4326" s="3" t="s">
        <v>23</v>
      </c>
      <c r="D4326" s="3" t="str">
        <f>IFERROR(__xludf.DUMMYFUNCTION("GOOGLETRANSLATE(A4326, ""nl"", ""en"")"),"Nature and Elements")</f>
        <v>Nature and Elements</v>
      </c>
      <c r="E4326" s="3" t="str">
        <f>IFERROR(__xludf.DUMMYFUNCTION("GOOGLETRANSLATE(B4326, ""nl"", ""en"")"),"A storm cloud splitting in two")</f>
        <v>A storm cloud splitting in two</v>
      </c>
    </row>
    <row r="4327" ht="15.75" customHeight="1">
      <c r="A4327" s="3" t="s">
        <v>9</v>
      </c>
      <c r="B4327" s="3" t="s">
        <v>17</v>
      </c>
      <c r="D4327" s="3" t="str">
        <f>IFERROR(__xludf.DUMMYFUNCTION("GOOGLETRANSLATE(A4327, ""nl"", ""en"")"),"Psychological and Emotional Interpretations")</f>
        <v>Psychological and Emotional Interpretations</v>
      </c>
      <c r="E4327" s="3" t="str">
        <f>IFERROR(__xludf.DUMMYFUNCTION("GOOGLETRANSLATE(B4327, ""nl"", ""en"")"),"A figure that seems to melt")</f>
        <v>A figure that seems to melt</v>
      </c>
    </row>
    <row r="4328" ht="15.75" customHeight="1">
      <c r="A4328" s="3" t="s">
        <v>9</v>
      </c>
      <c r="B4328" s="3" t="s">
        <v>49</v>
      </c>
      <c r="D4328" s="3" t="str">
        <f>IFERROR(__xludf.DUMMYFUNCTION("GOOGLETRANSLATE(A4328, ""nl"", ""en"")"),"Psychological and Emotional Interpretations")</f>
        <v>Psychological and Emotional Interpretations</v>
      </c>
      <c r="E4328" s="3" t="str">
        <f>IFERROR(__xludf.DUMMYFUNCTION("GOOGLETRANSLATE(B4328, ""nl"", ""en"")"),"A spiral that turns inward")</f>
        <v>A spiral that turns inward</v>
      </c>
    </row>
    <row r="4329" ht="15.75" customHeight="1">
      <c r="A4329" s="3" t="s">
        <v>7</v>
      </c>
      <c r="B4329" s="3" t="s">
        <v>41</v>
      </c>
      <c r="D4329" s="3" t="str">
        <f>IFERROR(__xludf.DUMMYFUNCTION("GOOGLETRANSLATE(A4329, ""nl"", ""en"")"),"Human Figures and Physicality")</f>
        <v>Human Figures and Physicality</v>
      </c>
      <c r="E4329" s="3" t="str">
        <f>IFERROR(__xludf.DUMMYFUNCTION("GOOGLETRANSLATE(B4329, ""nl"", ""en"")"),"A face that fades into abstraction")</f>
        <v>A face that fades into abstraction</v>
      </c>
    </row>
    <row r="4330" ht="15.75" customHeight="1">
      <c r="A4330" s="3" t="s">
        <v>12</v>
      </c>
      <c r="B4330" s="3" t="s">
        <v>51</v>
      </c>
      <c r="D4330" s="3" t="str">
        <f>IFERROR(__xludf.DUMMYFUNCTION("GOOGLETRANSLATE(A4330, ""nl"", ""en"")"),"Nature and Elements")</f>
        <v>Nature and Elements</v>
      </c>
      <c r="E4330" s="3" t="str">
        <f>IFERROR(__xludf.DUMMYFUNCTION("GOOGLETRANSLATE(B4330, ""nl"", ""en"")"),"An evaporating puddle of water")</f>
        <v>An evaporating puddle of water</v>
      </c>
    </row>
    <row r="4331" ht="15.75" customHeight="1">
      <c r="A4331" s="3" t="s">
        <v>9</v>
      </c>
      <c r="B4331" s="3" t="s">
        <v>37</v>
      </c>
      <c r="D4331" s="3" t="str">
        <f>IFERROR(__xludf.DUMMYFUNCTION("GOOGLETRANSLATE(A4331, ""nl"", ""en"")"),"Psychological and Emotional Interpretations")</f>
        <v>Psychological and Emotional Interpretations</v>
      </c>
      <c r="E4331" s="3" t="str">
        <f>IFERROR(__xludf.DUMMYFUNCTION("GOOGLETRANSLATE(B4331, ""nl"", ""en"")"),"A figure looking through itself")</f>
        <v>A figure looking through itself</v>
      </c>
    </row>
    <row r="4332" ht="15.75" customHeight="1">
      <c r="A4332" s="3" t="s">
        <v>15</v>
      </c>
      <c r="B4332" s="3" t="s">
        <v>52</v>
      </c>
      <c r="D4332" s="3" t="str">
        <f>IFERROR(__xludf.DUMMYFUNCTION("GOOGLETRANSLATE(A4332, ""nl"", ""en"")"),"Animals and Organic Forms")</f>
        <v>Animals and Organic Forms</v>
      </c>
      <c r="E4332" s="3" t="str">
        <f>IFERROR(__xludf.DUMMYFUNCTION("GOOGLETRANSLATE(B4332, ""nl"", ""en"")"),"A mask made of leaves")</f>
        <v>A mask made of leaves</v>
      </c>
    </row>
    <row r="4333" ht="15.75" customHeight="1">
      <c r="A4333" s="3" t="s">
        <v>15</v>
      </c>
      <c r="B4333" s="3" t="s">
        <v>45</v>
      </c>
      <c r="D4333" s="3" t="str">
        <f>IFERROR(__xludf.DUMMYFUNCTION("GOOGLETRANSLATE(A4333, ""nl"", ""en"")"),"Animals and Organic Forms")</f>
        <v>Animals and Organic Forms</v>
      </c>
      <c r="E4333" s="3" t="str">
        <f>IFERROR(__xludf.DUMMYFUNCTION("GOOGLETRANSLATE(B4333, ""nl"", ""en"")"),"A snake biting its own tail")</f>
        <v>A snake biting its own tail</v>
      </c>
    </row>
    <row r="4334" ht="15.75" customHeight="1">
      <c r="A4334" s="3" t="s">
        <v>7</v>
      </c>
      <c r="B4334" s="3" t="s">
        <v>40</v>
      </c>
      <c r="D4334" s="3" t="str">
        <f>IFERROR(__xludf.DUMMYFUNCTION("GOOGLETRANSLATE(A4334, ""nl"", ""en"")"),"Human Figures and Physicality")</f>
        <v>Human Figures and Physicality</v>
      </c>
      <c r="E4334" s="3" t="str">
        <f>IFERROR(__xludf.DUMMYFUNCTION("GOOGLETRANSLATE(B4334, ""nl"", ""en"")"),"A figure who is withdrawn into himself")</f>
        <v>A figure who is withdrawn into himself</v>
      </c>
    </row>
    <row r="4335" ht="15.75" customHeight="1">
      <c r="A4335" s="3" t="s">
        <v>12</v>
      </c>
      <c r="B4335" s="3" t="s">
        <v>36</v>
      </c>
      <c r="D4335" s="3" t="str">
        <f>IFERROR(__xludf.DUMMYFUNCTION("GOOGLETRANSLATE(A4335, ""nl"", ""en"")"),"Nature and Elements")</f>
        <v>Nature and Elements</v>
      </c>
      <c r="E4335" s="3" t="str">
        <f>IFERROR(__xludf.DUMMYFUNCTION("GOOGLETRANSLATE(B4335, ""nl"", ""en"")"),"A river delta from a bird's-eye view")</f>
        <v>A river delta from a bird's-eye view</v>
      </c>
    </row>
    <row r="4336" ht="15.75" customHeight="1">
      <c r="A4336" s="3" t="s">
        <v>4</v>
      </c>
      <c r="B4336" s="3" t="s">
        <v>55</v>
      </c>
      <c r="D4336" s="3" t="str">
        <f>IFERROR(__xludf.DUMMYFUNCTION("GOOGLETRANSLATE(A4336, ""nl"", ""en"")"),"Architectural and Structural Associations")</f>
        <v>Architectural and Structural Associations</v>
      </c>
      <c r="E4336" s="3" t="str">
        <f>IFERROR(__xludf.DUMMYFUNCTION("GOOGLETRANSLATE(B4336, ""nl"", ""en"")"),"A prism that splits light into colors")</f>
        <v>A prism that splits light into colors</v>
      </c>
    </row>
    <row r="4337" ht="15.75" customHeight="1">
      <c r="A4337" s="3" t="s">
        <v>12</v>
      </c>
      <c r="B4337" s="3" t="s">
        <v>13</v>
      </c>
      <c r="D4337" s="3" t="str">
        <f>IFERROR(__xludf.DUMMYFUNCTION("GOOGLETRANSLATE(A4337, ""nl"", ""en"")"),"Nature and Elements")</f>
        <v>Nature and Elements</v>
      </c>
      <c r="E4337" s="3" t="str">
        <f>IFERROR(__xludf.DUMMYFUNCTION("GOOGLETRANSLATE(B4337, ""nl"", ""en"")"),"A lightning strike in slow motion")</f>
        <v>A lightning strike in slow motion</v>
      </c>
    </row>
    <row r="4338" ht="15.75" customHeight="1">
      <c r="A4338" s="3" t="s">
        <v>12</v>
      </c>
      <c r="B4338" s="3" t="s">
        <v>30</v>
      </c>
      <c r="D4338" s="3" t="str">
        <f>IFERROR(__xludf.DUMMYFUNCTION("GOOGLETRANSLATE(A4338, ""nl"", ""en"")"),"Nature and Elements")</f>
        <v>Nature and Elements</v>
      </c>
      <c r="E4338" s="3" t="str">
        <f>IFERROR(__xludf.DUMMYFUNCTION("GOOGLETRANSLATE(B4338, ""nl"", ""en"")"),"Waves breaking in fractal patterns")</f>
        <v>Waves breaking in fractal patterns</v>
      </c>
    </row>
    <row r="4339" ht="15.75" customHeight="1">
      <c r="A4339" s="3" t="s">
        <v>24</v>
      </c>
      <c r="B4339" s="3" t="s">
        <v>29</v>
      </c>
      <c r="D4339" s="3" t="str">
        <f>IFERROR(__xludf.DUMMYFUNCTION("GOOGLETRANSLATE(A4339, ""nl"", ""en"")"),"Cosmic and Abstract Patterns")</f>
        <v>Cosmic and Abstract Patterns</v>
      </c>
      <c r="E4339" s="3" t="str">
        <f>IFERROR(__xludf.DUMMYFUNCTION("GOOGLETRANSLATE(B4339, ""nl"", ""en"")"),"A galaxy unfolding")</f>
        <v>A galaxy unfolding</v>
      </c>
    </row>
    <row r="4340" ht="15.75" customHeight="1">
      <c r="A4340" s="3" t="s">
        <v>15</v>
      </c>
      <c r="B4340" s="3" t="s">
        <v>22</v>
      </c>
      <c r="D4340" s="3" t="str">
        <f>IFERROR(__xludf.DUMMYFUNCTION("GOOGLETRANSLATE(A4340, ""nl"", ""en"")"),"Animals and Organic Forms")</f>
        <v>Animals and Organic Forms</v>
      </c>
      <c r="E4340" s="3" t="str">
        <f>IFERROR(__xludf.DUMMYFUNCTION("GOOGLETRANSLATE(B4340, ""nl"", ""en"")"),"A bird taking off")</f>
        <v>A bird taking off</v>
      </c>
    </row>
    <row r="4341" ht="15.75" customHeight="1">
      <c r="A4341" s="3" t="s">
        <v>24</v>
      </c>
      <c r="B4341" s="3" t="s">
        <v>25</v>
      </c>
      <c r="D4341" s="3" t="str">
        <f>IFERROR(__xludf.DUMMYFUNCTION("GOOGLETRANSLATE(A4341, ""nl"", ""en"")"),"Cosmic and Abstract Patterns")</f>
        <v>Cosmic and Abstract Patterns</v>
      </c>
      <c r="E4341" s="3" t="str">
        <f>IFERROR(__xludf.DUMMYFUNCTION("GOOGLETRANSLATE(B4341, ""nl"", ""en"")"),"A meteor shower dissolving into each other")</f>
        <v>A meteor shower dissolving into each other</v>
      </c>
    </row>
    <row r="4342" ht="15.75" customHeight="1">
      <c r="A4342" s="3" t="s">
        <v>9</v>
      </c>
      <c r="B4342" s="3" t="s">
        <v>11</v>
      </c>
      <c r="D4342" s="3" t="str">
        <f>IFERROR(__xludf.DUMMYFUNCTION("GOOGLETRANSLATE(A4342, ""nl"", ""en"")"),"Psychological and Emotional Interpretations")</f>
        <v>Psychological and Emotional Interpretations</v>
      </c>
      <c r="E4342" s="3" t="str">
        <f>IFERROR(__xludf.DUMMYFUNCTION("GOOGLETRANSLATE(B4342, ""nl"", ""en"")"),"An emotion captured in abstraction")</f>
        <v>An emotion captured in abstraction</v>
      </c>
    </row>
    <row r="4343" ht="15.75" customHeight="1">
      <c r="A4343" s="3" t="s">
        <v>12</v>
      </c>
      <c r="B4343" s="3" t="s">
        <v>47</v>
      </c>
      <c r="D4343" s="3" t="str">
        <f>IFERROR(__xludf.DUMMYFUNCTION("GOOGLETRANSLATE(A4343, ""nl"", ""en"")"),"Nature and Elements")</f>
        <v>Nature and Elements</v>
      </c>
      <c r="E4343" s="3" t="str">
        <f>IFERROR(__xludf.DUMMYFUNCTION("GOOGLETRANSLATE(B4343, ""nl"", ""en"")"),"A desert landscape that slowly changes")</f>
        <v>A desert landscape that slowly changes</v>
      </c>
    </row>
    <row r="4344" ht="15.75" customHeight="1">
      <c r="A4344" s="3" t="s">
        <v>12</v>
      </c>
      <c r="B4344" s="3" t="s">
        <v>19</v>
      </c>
      <c r="D4344" s="3" t="str">
        <f>IFERROR(__xludf.DUMMYFUNCTION("GOOGLETRANSLATE(A4344, ""nl"", ""en"")"),"Nature and Elements")</f>
        <v>Nature and Elements</v>
      </c>
      <c r="E4344" s="3" t="str">
        <f>IFERROR(__xludf.DUMMYFUNCTION("GOOGLETRANSLATE(B4344, ""nl"", ""en"")"),"A mountain range that seems to breathe")</f>
        <v>A mountain range that seems to breathe</v>
      </c>
    </row>
    <row r="4345" ht="15.75" customHeight="1">
      <c r="A4345" s="3" t="s">
        <v>7</v>
      </c>
      <c r="B4345" s="3" t="s">
        <v>28</v>
      </c>
      <c r="D4345" s="3" t="str">
        <f>IFERROR(__xludf.DUMMYFUNCTION("GOOGLETRANSLATE(A4345, ""nl"", ""en"")"),"Human Figures and Physicality")</f>
        <v>Human Figures and Physicality</v>
      </c>
      <c r="E4345" s="3" t="str">
        <f>IFERROR(__xludf.DUMMYFUNCTION("GOOGLETRANSLATE(B4345, ""nl"", ""en"")"),"A dancing silhouette")</f>
        <v>A dancing silhouette</v>
      </c>
    </row>
    <row r="4346" ht="15.75" customHeight="1">
      <c r="A4346" s="3" t="s">
        <v>9</v>
      </c>
      <c r="B4346" s="3" t="s">
        <v>17</v>
      </c>
      <c r="D4346" s="3" t="str">
        <f>IFERROR(__xludf.DUMMYFUNCTION("GOOGLETRANSLATE(A4346, ""nl"", ""en"")"),"Psychological and Emotional Interpretations")</f>
        <v>Psychological and Emotional Interpretations</v>
      </c>
      <c r="E4346" s="3" t="str">
        <f>IFERROR(__xludf.DUMMYFUNCTION("GOOGLETRANSLATE(B4346, ""nl"", ""en"")"),"A figure that seems to melt")</f>
        <v>A figure that seems to melt</v>
      </c>
    </row>
    <row r="4347" ht="15.75" customHeight="1">
      <c r="A4347" s="3" t="s">
        <v>9</v>
      </c>
      <c r="B4347" s="3" t="s">
        <v>37</v>
      </c>
      <c r="D4347" s="3" t="str">
        <f>IFERROR(__xludf.DUMMYFUNCTION("GOOGLETRANSLATE(A4347, ""nl"", ""en"")"),"Psychological and Emotional Interpretations")</f>
        <v>Psychological and Emotional Interpretations</v>
      </c>
      <c r="E4347" s="3" t="str">
        <f>IFERROR(__xludf.DUMMYFUNCTION("GOOGLETRANSLATE(B4347, ""nl"", ""en"")"),"A figure looking through itself")</f>
        <v>A figure looking through itself</v>
      </c>
    </row>
    <row r="4348" ht="15.75" customHeight="1">
      <c r="A4348" s="3" t="s">
        <v>12</v>
      </c>
      <c r="B4348" s="3" t="s">
        <v>36</v>
      </c>
      <c r="D4348" s="3" t="str">
        <f>IFERROR(__xludf.DUMMYFUNCTION("GOOGLETRANSLATE(A4348, ""nl"", ""en"")"),"Nature and Elements")</f>
        <v>Nature and Elements</v>
      </c>
      <c r="E4348" s="3" t="str">
        <f>IFERROR(__xludf.DUMMYFUNCTION("GOOGLETRANSLATE(B4348, ""nl"", ""en"")"),"A river delta from a bird's-eye view")</f>
        <v>A river delta from a bird's-eye view</v>
      </c>
    </row>
    <row r="4349" ht="15.75" customHeight="1">
      <c r="A4349" s="3" t="s">
        <v>12</v>
      </c>
      <c r="B4349" s="3" t="s">
        <v>47</v>
      </c>
      <c r="D4349" s="3" t="str">
        <f>IFERROR(__xludf.DUMMYFUNCTION("GOOGLETRANSLATE(A4349, ""nl"", ""en"")"),"Nature and Elements")</f>
        <v>Nature and Elements</v>
      </c>
      <c r="E4349" s="3" t="str">
        <f>IFERROR(__xludf.DUMMYFUNCTION("GOOGLETRANSLATE(B4349, ""nl"", ""en"")"),"A desert landscape that slowly changes")</f>
        <v>A desert landscape that slowly changes</v>
      </c>
    </row>
    <row r="4350" ht="15.75" customHeight="1">
      <c r="A4350" s="3" t="s">
        <v>9</v>
      </c>
      <c r="B4350" s="3" t="s">
        <v>49</v>
      </c>
      <c r="D4350" s="3" t="str">
        <f>IFERROR(__xludf.DUMMYFUNCTION("GOOGLETRANSLATE(A4350, ""nl"", ""en"")"),"Psychological and Emotional Interpretations")</f>
        <v>Psychological and Emotional Interpretations</v>
      </c>
      <c r="E4350" s="3" t="str">
        <f>IFERROR(__xludf.DUMMYFUNCTION("GOOGLETRANSLATE(B4350, ""nl"", ""en"")"),"A spiral that turns inward")</f>
        <v>A spiral that turns inward</v>
      </c>
    </row>
    <row r="4351" ht="15.75" customHeight="1">
      <c r="A4351" s="3" t="s">
        <v>4</v>
      </c>
      <c r="B4351" s="3" t="s">
        <v>5</v>
      </c>
      <c r="D4351" s="3" t="str">
        <f>IFERROR(__xludf.DUMMYFUNCTION("GOOGLETRANSLATE(A4351, ""nl"", ""en"")"),"Architectural and Structural Associations")</f>
        <v>Architectural and Structural Associations</v>
      </c>
      <c r="E4351" s="3" t="str">
        <f>IFERROR(__xludf.DUMMYFUNCTION("GOOGLETRANSLATE(B4351, ""nl"", ""en"")"),"A cathedral shaped from mist")</f>
        <v>A cathedral shaped from mist</v>
      </c>
    </row>
    <row r="4352" ht="15.75" customHeight="1">
      <c r="A4352" s="3" t="s">
        <v>9</v>
      </c>
      <c r="B4352" s="3" t="s">
        <v>11</v>
      </c>
      <c r="D4352" s="3" t="str">
        <f>IFERROR(__xludf.DUMMYFUNCTION("GOOGLETRANSLATE(A4352, ""nl"", ""en"")"),"Psychological and Emotional Interpretations")</f>
        <v>Psychological and Emotional Interpretations</v>
      </c>
      <c r="E4352" s="3" t="str">
        <f>IFERROR(__xludf.DUMMYFUNCTION("GOOGLETRANSLATE(B4352, ""nl"", ""en"")"),"An emotion captured in abstraction")</f>
        <v>An emotion captured in abstraction</v>
      </c>
    </row>
    <row r="4353" ht="15.75" customHeight="1">
      <c r="A4353" s="3" t="s">
        <v>4</v>
      </c>
      <c r="B4353" s="3" t="s">
        <v>55</v>
      </c>
      <c r="D4353" s="3" t="str">
        <f>IFERROR(__xludf.DUMMYFUNCTION("GOOGLETRANSLATE(A4353, ""nl"", ""en"")"),"Architectural and Structural Associations")</f>
        <v>Architectural and Structural Associations</v>
      </c>
      <c r="E4353" s="3" t="str">
        <f>IFERROR(__xludf.DUMMYFUNCTION("GOOGLETRANSLATE(B4353, ""nl"", ""en"")"),"A prism that splits light into colors")</f>
        <v>A prism that splits light into colors</v>
      </c>
    </row>
    <row r="4354" ht="15.75" customHeight="1">
      <c r="A4354" s="3" t="s">
        <v>24</v>
      </c>
      <c r="B4354" s="3" t="s">
        <v>33</v>
      </c>
      <c r="D4354" s="3" t="str">
        <f>IFERROR(__xludf.DUMMYFUNCTION("GOOGLETRANSLATE(A4354, ""nl"", ""en"")"),"Cosmic and Abstract Patterns")</f>
        <v>Cosmic and Abstract Patterns</v>
      </c>
      <c r="E4354" s="3" t="str">
        <f>IFERROR(__xludf.DUMMYFUNCTION("GOOGLETRANSLATE(B4354, ""nl"", ""en"")"),"An eye that repeats itself in endless patterns")</f>
        <v>An eye that repeats itself in endless patterns</v>
      </c>
    </row>
    <row r="4355" ht="15.75" customHeight="1">
      <c r="A4355" s="3" t="s">
        <v>9</v>
      </c>
      <c r="B4355" s="3" t="s">
        <v>17</v>
      </c>
      <c r="D4355" s="3" t="str">
        <f>IFERROR(__xludf.DUMMYFUNCTION("GOOGLETRANSLATE(A4355, ""nl"", ""en"")"),"Psychological and Emotional Interpretations")</f>
        <v>Psychological and Emotional Interpretations</v>
      </c>
      <c r="E4355" s="3" t="str">
        <f>IFERROR(__xludf.DUMMYFUNCTION("GOOGLETRANSLATE(B4355, ""nl"", ""en"")"),"A figure that seems to melt")</f>
        <v>A figure that seems to melt</v>
      </c>
    </row>
    <row r="4356" ht="15.75" customHeight="1">
      <c r="A4356" s="3" t="s">
        <v>24</v>
      </c>
      <c r="B4356" s="3" t="s">
        <v>31</v>
      </c>
      <c r="D4356" s="3" t="str">
        <f>IFERROR(__xludf.DUMMYFUNCTION("GOOGLETRANSLATE(A4356, ""nl"", ""en"")"),"Cosmic and Abstract Patterns")</f>
        <v>Cosmic and Abstract Patterns</v>
      </c>
      <c r="E4356" s="3" t="str">
        <f>IFERROR(__xludf.DUMMYFUNCTION("GOOGLETRANSLATE(B4356, ""nl"", ""en"")"),"A planet with unusual rings")</f>
        <v>A planet with unusual rings</v>
      </c>
    </row>
    <row r="4357" ht="15.75" customHeight="1">
      <c r="A4357" s="3" t="s">
        <v>12</v>
      </c>
      <c r="B4357" s="3" t="s">
        <v>51</v>
      </c>
      <c r="D4357" s="3" t="str">
        <f>IFERROR(__xludf.DUMMYFUNCTION("GOOGLETRANSLATE(A4357, ""nl"", ""en"")"),"Nature and Elements")</f>
        <v>Nature and Elements</v>
      </c>
      <c r="E4357" s="3" t="str">
        <f>IFERROR(__xludf.DUMMYFUNCTION("GOOGLETRANSLATE(B4357, ""nl"", ""en"")"),"An evaporating puddle of water")</f>
        <v>An evaporating puddle of water</v>
      </c>
    </row>
    <row r="4358" ht="15.75" customHeight="1">
      <c r="A4358" s="3" t="s">
        <v>12</v>
      </c>
      <c r="B4358" s="3" t="s">
        <v>36</v>
      </c>
      <c r="D4358" s="3" t="str">
        <f>IFERROR(__xludf.DUMMYFUNCTION("GOOGLETRANSLATE(A4358, ""nl"", ""en"")"),"Nature and Elements")</f>
        <v>Nature and Elements</v>
      </c>
      <c r="E4358" s="3" t="str">
        <f>IFERROR(__xludf.DUMMYFUNCTION("GOOGLETRANSLATE(B4358, ""nl"", ""en"")"),"A river delta from a bird's-eye view")</f>
        <v>A river delta from a bird's-eye view</v>
      </c>
    </row>
    <row r="4359" ht="15.75" customHeight="1">
      <c r="A4359" s="3" t="s">
        <v>4</v>
      </c>
      <c r="B4359" s="3" t="s">
        <v>21</v>
      </c>
      <c r="D4359" s="3" t="str">
        <f>IFERROR(__xludf.DUMMYFUNCTION("GOOGLETRANSLATE(A4359, ""nl"", ""en"")"),"Architectural and Structural Associations")</f>
        <v>Architectural and Structural Associations</v>
      </c>
      <c r="E4359" s="3" t="str">
        <f>IFERROR(__xludf.DUMMYFUNCTION("GOOGLETRANSLATE(B4359, ""nl"", ""en"")"),"A bridge that leads nowhere")</f>
        <v>A bridge that leads nowhere</v>
      </c>
    </row>
    <row r="4360" ht="15.75" customHeight="1">
      <c r="A4360" s="3" t="s">
        <v>9</v>
      </c>
      <c r="B4360" s="3" t="s">
        <v>10</v>
      </c>
      <c r="D4360" s="3" t="str">
        <f>IFERROR(__xludf.DUMMYFUNCTION("GOOGLETRANSLATE(A4360, ""nl"", ""en"")"),"Psychological and Emotional Interpretations")</f>
        <v>Psychological and Emotional Interpretations</v>
      </c>
      <c r="E4360" s="3" t="str">
        <f>IFERROR(__xludf.DUMMYFUNCTION("GOOGLETRANSLATE(B4360, ""nl"", ""en"")"),"A face transforming in light")</f>
        <v>A face transforming in light</v>
      </c>
    </row>
    <row r="4361" ht="15.75" customHeight="1">
      <c r="A4361" s="3" t="s">
        <v>15</v>
      </c>
      <c r="B4361" s="3" t="s">
        <v>45</v>
      </c>
      <c r="D4361" s="3" t="str">
        <f>IFERROR(__xludf.DUMMYFUNCTION("GOOGLETRANSLATE(A4361, ""nl"", ""en"")"),"Animals and Organic Forms")</f>
        <v>Animals and Organic Forms</v>
      </c>
      <c r="E4361" s="3" t="str">
        <f>IFERROR(__xludf.DUMMYFUNCTION("GOOGLETRANSLATE(B4361, ""nl"", ""en"")"),"A snake biting its own tail")</f>
        <v>A snake biting its own tail</v>
      </c>
    </row>
    <row r="4362" ht="15.75" customHeight="1">
      <c r="A4362" s="3" t="s">
        <v>15</v>
      </c>
      <c r="B4362" s="3" t="s">
        <v>46</v>
      </c>
      <c r="D4362" s="3" t="str">
        <f>IFERROR(__xludf.DUMMYFUNCTION("GOOGLETRANSLATE(A4362, ""nl"", ""en"")"),"Animals and Organic Forms")</f>
        <v>Animals and Organic Forms</v>
      </c>
      <c r="E4362" s="3" t="str">
        <f>IFERROR(__xludf.DUMMYFUNCTION("GOOGLETRANSLATE(B4362, ""nl"", ""en"")"),"A flock of fish moving as one")</f>
        <v>A flock of fish moving as one</v>
      </c>
    </row>
    <row r="4363" ht="15.75" customHeight="1">
      <c r="A4363" s="3" t="s">
        <v>7</v>
      </c>
      <c r="B4363" s="3" t="s">
        <v>40</v>
      </c>
      <c r="D4363" s="3" t="str">
        <f>IFERROR(__xludf.DUMMYFUNCTION("GOOGLETRANSLATE(A4363, ""nl"", ""en"")"),"Human Figures and Physicality")</f>
        <v>Human Figures and Physicality</v>
      </c>
      <c r="E4363" s="3" t="str">
        <f>IFERROR(__xludf.DUMMYFUNCTION("GOOGLETRANSLATE(B4363, ""nl"", ""en"")"),"A figure who is withdrawn into himself")</f>
        <v>A figure who is withdrawn into himself</v>
      </c>
    </row>
    <row r="4364" ht="15.75" customHeight="1">
      <c r="A4364" s="3" t="s">
        <v>24</v>
      </c>
      <c r="B4364" s="3" t="s">
        <v>25</v>
      </c>
      <c r="D4364" s="3" t="str">
        <f>IFERROR(__xludf.DUMMYFUNCTION("GOOGLETRANSLATE(A4364, ""nl"", ""en"")"),"Cosmic and Abstract Patterns")</f>
        <v>Cosmic and Abstract Patterns</v>
      </c>
      <c r="E4364" s="3" t="str">
        <f>IFERROR(__xludf.DUMMYFUNCTION("GOOGLETRANSLATE(B4364, ""nl"", ""en"")"),"A meteor shower dissolving into each other")</f>
        <v>A meteor shower dissolving into each other</v>
      </c>
    </row>
    <row r="4365" ht="15.75" customHeight="1">
      <c r="A4365" s="3" t="s">
        <v>24</v>
      </c>
      <c r="B4365" s="3" t="s">
        <v>27</v>
      </c>
      <c r="D4365" s="3" t="str">
        <f>IFERROR(__xludf.DUMMYFUNCTION("GOOGLETRANSLATE(A4365, ""nl"", ""en"")"),"Cosmic and Abstract Patterns")</f>
        <v>Cosmic and Abstract Patterns</v>
      </c>
      <c r="E4365" s="3" t="str">
        <f>IFERROR(__xludf.DUMMYFUNCTION("GOOGLETRANSLATE(B4365, ""nl"", ""en"")"),"A pair of black holes in dance")</f>
        <v>A pair of black holes in dance</v>
      </c>
    </row>
    <row r="4366" ht="15.75" customHeight="1">
      <c r="A4366" s="3" t="s">
        <v>24</v>
      </c>
      <c r="B4366" s="3" t="s">
        <v>33</v>
      </c>
      <c r="D4366" s="3" t="str">
        <f>IFERROR(__xludf.DUMMYFUNCTION("GOOGLETRANSLATE(A4366, ""nl"", ""en"")"),"Cosmic and Abstract Patterns")</f>
        <v>Cosmic and Abstract Patterns</v>
      </c>
      <c r="E4366" s="3" t="str">
        <f>IFERROR(__xludf.DUMMYFUNCTION("GOOGLETRANSLATE(B4366, ""nl"", ""en"")"),"An eye that repeats itself in endless patterns")</f>
        <v>An eye that repeats itself in endless patterns</v>
      </c>
    </row>
    <row r="4367" ht="15.75" customHeight="1">
      <c r="A4367" s="3" t="s">
        <v>24</v>
      </c>
      <c r="B4367" s="3" t="s">
        <v>27</v>
      </c>
      <c r="D4367" s="3" t="str">
        <f>IFERROR(__xludf.DUMMYFUNCTION("GOOGLETRANSLATE(A4367, ""nl"", ""en"")"),"Cosmic and Abstract Patterns")</f>
        <v>Cosmic and Abstract Patterns</v>
      </c>
      <c r="E4367" s="3" t="str">
        <f>IFERROR(__xludf.DUMMYFUNCTION("GOOGLETRANSLATE(B4367, ""nl"", ""en"")"),"A pair of black holes in dance")</f>
        <v>A pair of black holes in dance</v>
      </c>
    </row>
    <row r="4368" ht="15.75" customHeight="1">
      <c r="A4368" s="3" t="s">
        <v>12</v>
      </c>
      <c r="B4368" s="3" t="s">
        <v>18</v>
      </c>
      <c r="D4368" s="3" t="str">
        <f>IFERROR(__xludf.DUMMYFUNCTION("GOOGLETRANSLATE(A4368, ""nl"", ""en"")"),"Nature and Elements")</f>
        <v>Nature and Elements</v>
      </c>
      <c r="E4368" s="3" t="str">
        <f>IFERROR(__xludf.DUMMYFUNCTION("GOOGLETRANSLATE(B4368, ""nl"", ""en"")"),"A tree with endless branches")</f>
        <v>A tree with endless branches</v>
      </c>
    </row>
    <row r="4369" ht="15.75" customHeight="1">
      <c r="A4369" s="3" t="s">
        <v>12</v>
      </c>
      <c r="B4369" s="3" t="s">
        <v>51</v>
      </c>
      <c r="D4369" s="3" t="str">
        <f>IFERROR(__xludf.DUMMYFUNCTION("GOOGLETRANSLATE(A4369, ""nl"", ""en"")"),"Nature and Elements")</f>
        <v>Nature and Elements</v>
      </c>
      <c r="E4369" s="3" t="str">
        <f>IFERROR(__xludf.DUMMYFUNCTION("GOOGLETRANSLATE(B4369, ""nl"", ""en"")"),"An evaporating puddle of water")</f>
        <v>An evaporating puddle of water</v>
      </c>
    </row>
    <row r="4370" ht="15.75" customHeight="1">
      <c r="A4370" s="3" t="s">
        <v>7</v>
      </c>
      <c r="B4370" s="3" t="s">
        <v>28</v>
      </c>
      <c r="D4370" s="3" t="str">
        <f>IFERROR(__xludf.DUMMYFUNCTION("GOOGLETRANSLATE(A4370, ""nl"", ""en"")"),"Human Figures and Physicality")</f>
        <v>Human Figures and Physicality</v>
      </c>
      <c r="E4370" s="3" t="str">
        <f>IFERROR(__xludf.DUMMYFUNCTION("GOOGLETRANSLATE(B4370, ""nl"", ""en"")"),"A dancing silhouette")</f>
        <v>A dancing silhouette</v>
      </c>
    </row>
    <row r="4371" ht="15.75" customHeight="1">
      <c r="A4371" s="3" t="s">
        <v>4</v>
      </c>
      <c r="B4371" s="3" t="s">
        <v>20</v>
      </c>
      <c r="D4371" s="3" t="str">
        <f>IFERROR(__xludf.DUMMYFUNCTION("GOOGLETRANSLATE(A4371, ""nl"", ""en"")"),"Architectural and Structural Associations")</f>
        <v>Architectural and Structural Associations</v>
      </c>
      <c r="E4371" s="3" t="str">
        <f>IFERROR(__xludf.DUMMYFUNCTION("GOOGLETRANSLATE(B4371, ""nl"", ""en"")"),"A tower that grows by itself")</f>
        <v>A tower that grows by itself</v>
      </c>
    </row>
    <row r="4372" ht="15.75" customHeight="1">
      <c r="A4372" s="3" t="s">
        <v>12</v>
      </c>
      <c r="B4372" s="3" t="s">
        <v>18</v>
      </c>
      <c r="D4372" s="3" t="str">
        <f>IFERROR(__xludf.DUMMYFUNCTION("GOOGLETRANSLATE(A4372, ""nl"", ""en"")"),"Nature and Elements")</f>
        <v>Nature and Elements</v>
      </c>
      <c r="E4372" s="3" t="str">
        <f>IFERROR(__xludf.DUMMYFUNCTION("GOOGLETRANSLATE(B4372, ""nl"", ""en"")"),"A tree with endless branches")</f>
        <v>A tree with endless branches</v>
      </c>
    </row>
    <row r="4373" ht="15.75" customHeight="1">
      <c r="A4373" s="3" t="s">
        <v>9</v>
      </c>
      <c r="B4373" s="3" t="s">
        <v>11</v>
      </c>
      <c r="D4373" s="3" t="str">
        <f>IFERROR(__xludf.DUMMYFUNCTION("GOOGLETRANSLATE(A4373, ""nl"", ""en"")"),"Psychological and Emotional Interpretations")</f>
        <v>Psychological and Emotional Interpretations</v>
      </c>
      <c r="E4373" s="3" t="str">
        <f>IFERROR(__xludf.DUMMYFUNCTION("GOOGLETRANSLATE(B4373, ""nl"", ""en"")"),"An emotion captured in abstraction")</f>
        <v>An emotion captured in abstraction</v>
      </c>
    </row>
    <row r="4374" ht="15.75" customHeight="1">
      <c r="A4374" s="3" t="s">
        <v>9</v>
      </c>
      <c r="B4374" s="3" t="s">
        <v>11</v>
      </c>
      <c r="D4374" s="3" t="str">
        <f>IFERROR(__xludf.DUMMYFUNCTION("GOOGLETRANSLATE(A4374, ""nl"", ""en"")"),"Psychological and Emotional Interpretations")</f>
        <v>Psychological and Emotional Interpretations</v>
      </c>
      <c r="E4374" s="3" t="str">
        <f>IFERROR(__xludf.DUMMYFUNCTION("GOOGLETRANSLATE(B4374, ""nl"", ""en"")"),"An emotion captured in abstraction")</f>
        <v>An emotion captured in abstraction</v>
      </c>
    </row>
    <row r="4375" ht="15.75" customHeight="1">
      <c r="A4375" s="3" t="s">
        <v>7</v>
      </c>
      <c r="B4375" s="3" t="s">
        <v>53</v>
      </c>
      <c r="D4375" s="3" t="str">
        <f>IFERROR(__xludf.DUMMYFUNCTION("GOOGLETRANSLATE(A4375, ""nl"", ""en"")"),"Human Figures and Physicality")</f>
        <v>Human Figures and Physicality</v>
      </c>
      <c r="E4375" s="3" t="str">
        <f>IFERROR(__xludf.DUMMYFUNCTION("GOOGLETRANSLATE(B4375, ""nl"", ""en"")"),"A face that both smiles and cries")</f>
        <v>A face that both smiles and cries</v>
      </c>
    </row>
    <row r="4376" ht="15.75" customHeight="1">
      <c r="A4376" s="3" t="s">
        <v>9</v>
      </c>
      <c r="B4376" s="3" t="s">
        <v>57</v>
      </c>
      <c r="D4376" s="3" t="str">
        <f>IFERROR(__xludf.DUMMYFUNCTION("GOOGLETRANSLATE(A4376, ""nl"", ""en"")"),"Psychological and Emotional Interpretations")</f>
        <v>Psychological and Emotional Interpretations</v>
      </c>
      <c r="E4376" s="3" t="str">
        <f>IFERROR(__xludf.DUMMYFUNCTION("GOOGLETRANSLATE(B4376, ""nl"", ""en"")"),"An explosion of colours and feelings")</f>
        <v>An explosion of colours and feelings</v>
      </c>
    </row>
    <row r="4377" ht="15.75" customHeight="1">
      <c r="A4377" s="3" t="s">
        <v>9</v>
      </c>
      <c r="B4377" s="3" t="s">
        <v>10</v>
      </c>
      <c r="D4377" s="3" t="str">
        <f>IFERROR(__xludf.DUMMYFUNCTION("GOOGLETRANSLATE(A4377, ""nl"", ""en"")"),"Psychological and Emotional Interpretations")</f>
        <v>Psychological and Emotional Interpretations</v>
      </c>
      <c r="E4377" s="3" t="str">
        <f>IFERROR(__xludf.DUMMYFUNCTION("GOOGLETRANSLATE(B4377, ""nl"", ""en"")"),"A face transforming in light")</f>
        <v>A face transforming in light</v>
      </c>
    </row>
    <row r="4378" ht="15.75" customHeight="1">
      <c r="A4378" s="3" t="s">
        <v>24</v>
      </c>
      <c r="B4378" s="3" t="s">
        <v>32</v>
      </c>
      <c r="D4378" s="3" t="str">
        <f>IFERROR(__xludf.DUMMYFUNCTION("GOOGLETRANSLATE(A4378, ""nl"", ""en"")"),"Cosmic and Abstract Patterns")</f>
        <v>Cosmic and Abstract Patterns</v>
      </c>
      <c r="E4378" s="3" t="str">
        <f>IFERROR(__xludf.DUMMYFUNCTION("GOOGLETRANSLATE(B4378, ""nl"", ""en"")"),"A time loop captured in image")</f>
        <v>A time loop captured in image</v>
      </c>
    </row>
    <row r="4379" ht="15.75" customHeight="1">
      <c r="A4379" s="3" t="s">
        <v>15</v>
      </c>
      <c r="B4379" s="3" t="s">
        <v>50</v>
      </c>
      <c r="D4379" s="3" t="str">
        <f>IFERROR(__xludf.DUMMYFUNCTION("GOOGLETRANSLATE(A4379, ""nl"", ""en"")"),"Animals and Organic Forms")</f>
        <v>Animals and Organic Forms</v>
      </c>
      <c r="E4379" s="3" t="str">
        <f>IFERROR(__xludf.DUMMYFUNCTION("GOOGLETRANSLATE(B4379, ""nl"", ""en"")"),"A squid with extended tentacles")</f>
        <v>A squid with extended tentacles</v>
      </c>
    </row>
    <row r="4380" ht="15.75" customHeight="1">
      <c r="A4380" s="3" t="s">
        <v>4</v>
      </c>
      <c r="B4380" s="3" t="s">
        <v>5</v>
      </c>
      <c r="D4380" s="3" t="str">
        <f>IFERROR(__xludf.DUMMYFUNCTION("GOOGLETRANSLATE(A4380, ""nl"", ""en"")"),"Architectural and Structural Associations")</f>
        <v>Architectural and Structural Associations</v>
      </c>
      <c r="E4380" s="3" t="str">
        <f>IFERROR(__xludf.DUMMYFUNCTION("GOOGLETRANSLATE(B4380, ""nl"", ""en"")"),"A cathedral shaped from mist")</f>
        <v>A cathedral shaped from mist</v>
      </c>
    </row>
    <row r="4381" ht="15.75" customHeight="1">
      <c r="A4381" s="3" t="s">
        <v>7</v>
      </c>
      <c r="B4381" s="3" t="s">
        <v>8</v>
      </c>
      <c r="D4381" s="3" t="str">
        <f>IFERROR(__xludf.DUMMYFUNCTION("GOOGLETRANSLATE(A4381, ""nl"", ""en"")"),"Human Figures and Physicality")</f>
        <v>Human Figures and Physicality</v>
      </c>
      <c r="E4381" s="3" t="str">
        <f>IFERROR(__xludf.DUMMYFUNCTION("GOOGLETRANSLATE(B4381, ""nl"", ""en"")"),"Two figures mirroring each other")</f>
        <v>Two figures mirroring each other</v>
      </c>
    </row>
    <row r="4382" ht="15.75" customHeight="1">
      <c r="A4382" s="3" t="s">
        <v>9</v>
      </c>
      <c r="B4382" s="3" t="s">
        <v>57</v>
      </c>
      <c r="D4382" s="3" t="str">
        <f>IFERROR(__xludf.DUMMYFUNCTION("GOOGLETRANSLATE(A4382, ""nl"", ""en"")"),"Psychological and Emotional Interpretations")</f>
        <v>Psychological and Emotional Interpretations</v>
      </c>
      <c r="E4382" s="3" t="str">
        <f>IFERROR(__xludf.DUMMYFUNCTION("GOOGLETRANSLATE(B4382, ""nl"", ""en"")"),"An explosion of colours and feelings")</f>
        <v>An explosion of colours and feelings</v>
      </c>
    </row>
    <row r="4383" ht="15.75" customHeight="1">
      <c r="A4383" s="3" t="s">
        <v>15</v>
      </c>
      <c r="B4383" s="3" t="s">
        <v>16</v>
      </c>
      <c r="D4383" s="3" t="str">
        <f>IFERROR(__xludf.DUMMYFUNCTION("GOOGLETRANSLATE(A4383, ""nl"", ""en"")"),"Animals and Organic Forms")</f>
        <v>Animals and Organic Forms</v>
      </c>
      <c r="E4383" s="3" t="str">
        <f>IFERROR(__xludf.DUMMYFUNCTION("GOOGLETRANSLATE(B4383, ""nl"", ""en"")"),"A butterfly in transformation")</f>
        <v>A butterfly in transformation</v>
      </c>
    </row>
    <row r="4384" ht="15.75" customHeight="1">
      <c r="A4384" s="3" t="s">
        <v>7</v>
      </c>
      <c r="B4384" s="3" t="s">
        <v>40</v>
      </c>
      <c r="D4384" s="3" t="str">
        <f>IFERROR(__xludf.DUMMYFUNCTION("GOOGLETRANSLATE(A4384, ""nl"", ""en"")"),"Human Figures and Physicality")</f>
        <v>Human Figures and Physicality</v>
      </c>
      <c r="E4384" s="3" t="str">
        <f>IFERROR(__xludf.DUMMYFUNCTION("GOOGLETRANSLATE(B4384, ""nl"", ""en"")"),"A figure who is withdrawn into himself")</f>
        <v>A figure who is withdrawn into himself</v>
      </c>
    </row>
    <row r="4385" ht="15.75" customHeight="1">
      <c r="A4385" s="3" t="s">
        <v>24</v>
      </c>
      <c r="B4385" s="3" t="s">
        <v>48</v>
      </c>
      <c r="D4385" s="3" t="str">
        <f>IFERROR(__xludf.DUMMYFUNCTION("GOOGLETRANSLATE(A4385, ""nl"", ""en"")"),"Cosmic and Abstract Patterns")</f>
        <v>Cosmic and Abstract Patterns</v>
      </c>
      <c r="E4385" s="3" t="str">
        <f>IFERROR(__xludf.DUMMYFUNCTION("GOOGLETRANSLATE(B4385, ""nl"", ""en"")"),"A fractal that repeats itself")</f>
        <v>A fractal that repeats itself</v>
      </c>
    </row>
    <row r="4386" ht="15.75" customHeight="1">
      <c r="A4386" s="3" t="s">
        <v>7</v>
      </c>
      <c r="B4386" s="3" t="s">
        <v>39</v>
      </c>
      <c r="D4386" s="3" t="str">
        <f>IFERROR(__xludf.DUMMYFUNCTION("GOOGLETRANSLATE(A4386, ""nl"", ""en"")"),"Human Figures and Physicality")</f>
        <v>Human Figures and Physicality</v>
      </c>
      <c r="E4386" s="3" t="str">
        <f>IFERROR(__xludf.DUMMYFUNCTION("GOOGLETRANSLATE(B4386, ""nl"", ""en"")"),"A torso without a head")</f>
        <v>A torso without a head</v>
      </c>
    </row>
    <row r="4387" ht="15.75" customHeight="1">
      <c r="A4387" s="3" t="s">
        <v>4</v>
      </c>
      <c r="B4387" s="3" t="s">
        <v>6</v>
      </c>
      <c r="D4387" s="3" t="str">
        <f>IFERROR(__xludf.DUMMYFUNCTION("GOOGLETRANSLATE(A4387, ""nl"", ""en"")"),"Architectural and Structural Associations")</f>
        <v>Architectural and Structural Associations</v>
      </c>
      <c r="E4387" s="3" t="str">
        <f>IFERROR(__xludf.DUMMYFUNCTION("GOOGLETRANSLATE(B4387, ""nl"", ""en"")"),"An endless labyrinth")</f>
        <v>An endless labyrinth</v>
      </c>
    </row>
    <row r="4388" ht="15.75" customHeight="1">
      <c r="A4388" s="3" t="s">
        <v>9</v>
      </c>
      <c r="B4388" s="3" t="s">
        <v>17</v>
      </c>
      <c r="D4388" s="3" t="str">
        <f>IFERROR(__xludf.DUMMYFUNCTION("GOOGLETRANSLATE(A4388, ""nl"", ""en"")"),"Psychological and Emotional Interpretations")</f>
        <v>Psychological and Emotional Interpretations</v>
      </c>
      <c r="E4388" s="3" t="str">
        <f>IFERROR(__xludf.DUMMYFUNCTION("GOOGLETRANSLATE(B4388, ""nl"", ""en"")"),"A figure that seems to melt")</f>
        <v>A figure that seems to melt</v>
      </c>
    </row>
    <row r="4389" ht="15.75" customHeight="1">
      <c r="A4389" s="3" t="s">
        <v>4</v>
      </c>
      <c r="B4389" s="3" t="s">
        <v>55</v>
      </c>
      <c r="D4389" s="3" t="str">
        <f>IFERROR(__xludf.DUMMYFUNCTION("GOOGLETRANSLATE(A4389, ""nl"", ""en"")"),"Architectural and Structural Associations")</f>
        <v>Architectural and Structural Associations</v>
      </c>
      <c r="E4389" s="3" t="str">
        <f>IFERROR(__xludf.DUMMYFUNCTION("GOOGLETRANSLATE(B4389, ""nl"", ""en"")"),"A prism that splits light into colors")</f>
        <v>A prism that splits light into colors</v>
      </c>
    </row>
    <row r="4390" ht="15.75" customHeight="1">
      <c r="A4390" s="3" t="s">
        <v>9</v>
      </c>
      <c r="B4390" s="3" t="s">
        <v>10</v>
      </c>
      <c r="D4390" s="3" t="str">
        <f>IFERROR(__xludf.DUMMYFUNCTION("GOOGLETRANSLATE(A4390, ""nl"", ""en"")"),"Psychological and Emotional Interpretations")</f>
        <v>Psychological and Emotional Interpretations</v>
      </c>
      <c r="E4390" s="3" t="str">
        <f>IFERROR(__xludf.DUMMYFUNCTION("GOOGLETRANSLATE(B4390, ""nl"", ""en"")"),"A face transforming in light")</f>
        <v>A face transforming in light</v>
      </c>
    </row>
    <row r="4391" ht="15.75" customHeight="1">
      <c r="A4391" s="3" t="s">
        <v>12</v>
      </c>
      <c r="B4391" s="3" t="s">
        <v>13</v>
      </c>
      <c r="D4391" s="3" t="str">
        <f>IFERROR(__xludf.DUMMYFUNCTION("GOOGLETRANSLATE(A4391, ""nl"", ""en"")"),"Nature and Elements")</f>
        <v>Nature and Elements</v>
      </c>
      <c r="E4391" s="3" t="str">
        <f>IFERROR(__xludf.DUMMYFUNCTION("GOOGLETRANSLATE(B4391, ""nl"", ""en"")"),"A lightning strike in slow motion")</f>
        <v>A lightning strike in slow motion</v>
      </c>
    </row>
    <row r="4392" ht="15.75" customHeight="1">
      <c r="A4392" s="3" t="s">
        <v>7</v>
      </c>
      <c r="B4392" s="3" t="s">
        <v>40</v>
      </c>
      <c r="D4392" s="3" t="str">
        <f>IFERROR(__xludf.DUMMYFUNCTION("GOOGLETRANSLATE(A4392, ""nl"", ""en"")"),"Human Figures and Physicality")</f>
        <v>Human Figures and Physicality</v>
      </c>
      <c r="E4392" s="3" t="str">
        <f>IFERROR(__xludf.DUMMYFUNCTION("GOOGLETRANSLATE(B4392, ""nl"", ""en"")"),"A figure who is withdrawn into himself")</f>
        <v>A figure who is withdrawn into himself</v>
      </c>
    </row>
    <row r="4393" ht="15.75" customHeight="1">
      <c r="A4393" s="3" t="s">
        <v>15</v>
      </c>
      <c r="B4393" s="3" t="s">
        <v>22</v>
      </c>
      <c r="D4393" s="3" t="str">
        <f>IFERROR(__xludf.DUMMYFUNCTION("GOOGLETRANSLATE(A4393, ""nl"", ""en"")"),"Animals and Organic Forms")</f>
        <v>Animals and Organic Forms</v>
      </c>
      <c r="E4393" s="3" t="str">
        <f>IFERROR(__xludf.DUMMYFUNCTION("GOOGLETRANSLATE(B4393, ""nl"", ""en"")"),"A bird taking off")</f>
        <v>A bird taking off</v>
      </c>
    </row>
    <row r="4394" ht="15.75" customHeight="1">
      <c r="A4394" s="3" t="s">
        <v>4</v>
      </c>
      <c r="B4394" s="3" t="s">
        <v>6</v>
      </c>
      <c r="D4394" s="3" t="str">
        <f>IFERROR(__xludf.DUMMYFUNCTION("GOOGLETRANSLATE(A4394, ""nl"", ""en"")"),"Architectural and Structural Associations")</f>
        <v>Architectural and Structural Associations</v>
      </c>
      <c r="E4394" s="3" t="str">
        <f>IFERROR(__xludf.DUMMYFUNCTION("GOOGLETRANSLATE(B4394, ""nl"", ""en"")"),"An endless labyrinth")</f>
        <v>An endless labyrinth</v>
      </c>
    </row>
    <row r="4395" ht="15.75" customHeight="1">
      <c r="A4395" s="3" t="s">
        <v>12</v>
      </c>
      <c r="B4395" s="3" t="s">
        <v>47</v>
      </c>
      <c r="D4395" s="3" t="str">
        <f>IFERROR(__xludf.DUMMYFUNCTION("GOOGLETRANSLATE(A4395, ""nl"", ""en"")"),"Nature and Elements")</f>
        <v>Nature and Elements</v>
      </c>
      <c r="E4395" s="3" t="str">
        <f>IFERROR(__xludf.DUMMYFUNCTION("GOOGLETRANSLATE(B4395, ""nl"", ""en"")"),"A desert landscape that slowly changes")</f>
        <v>A desert landscape that slowly changes</v>
      </c>
    </row>
    <row r="4396" ht="15.75" customHeight="1">
      <c r="A4396" s="3" t="s">
        <v>9</v>
      </c>
      <c r="B4396" s="3" t="s">
        <v>57</v>
      </c>
      <c r="D4396" s="3" t="str">
        <f>IFERROR(__xludf.DUMMYFUNCTION("GOOGLETRANSLATE(A4396, ""nl"", ""en"")"),"Psychological and Emotional Interpretations")</f>
        <v>Psychological and Emotional Interpretations</v>
      </c>
      <c r="E4396" s="3" t="str">
        <f>IFERROR(__xludf.DUMMYFUNCTION("GOOGLETRANSLATE(B4396, ""nl"", ""en"")"),"An explosion of colours and feelings")</f>
        <v>An explosion of colours and feelings</v>
      </c>
    </row>
    <row r="4397" ht="15.75" customHeight="1">
      <c r="A4397" s="3" t="s">
        <v>7</v>
      </c>
      <c r="B4397" s="3" t="s">
        <v>34</v>
      </c>
      <c r="D4397" s="3" t="str">
        <f>IFERROR(__xludf.DUMMYFUNCTION("GOOGLETRANSLATE(A4397, ""nl"", ""en"")"),"Human Figures and Physicality")</f>
        <v>Human Figures and Physicality</v>
      </c>
      <c r="E4397" s="3" t="str">
        <f>IFERROR(__xludf.DUMMYFUNCTION("GOOGLETRANSLATE(B4397, ""nl"", ""en"")"),"Hands almost touching")</f>
        <v>Hands almost touching</v>
      </c>
    </row>
    <row r="4398" ht="15.75" customHeight="1">
      <c r="A4398" s="3" t="s">
        <v>24</v>
      </c>
      <c r="B4398" s="3" t="s">
        <v>32</v>
      </c>
      <c r="D4398" s="3" t="str">
        <f>IFERROR(__xludf.DUMMYFUNCTION("GOOGLETRANSLATE(A4398, ""nl"", ""en"")"),"Cosmic and Abstract Patterns")</f>
        <v>Cosmic and Abstract Patterns</v>
      </c>
      <c r="E4398" s="3" t="str">
        <f>IFERROR(__xludf.DUMMYFUNCTION("GOOGLETRANSLATE(B4398, ""nl"", ""en"")"),"A time loop captured in image")</f>
        <v>A time loop captured in image</v>
      </c>
    </row>
    <row r="4399" ht="15.75" customHeight="1">
      <c r="A4399" s="3" t="s">
        <v>7</v>
      </c>
      <c r="B4399" s="3" t="s">
        <v>41</v>
      </c>
      <c r="D4399" s="3" t="str">
        <f>IFERROR(__xludf.DUMMYFUNCTION("GOOGLETRANSLATE(A4399, ""nl"", ""en"")"),"Human Figures and Physicality")</f>
        <v>Human Figures and Physicality</v>
      </c>
      <c r="E4399" s="3" t="str">
        <f>IFERROR(__xludf.DUMMYFUNCTION("GOOGLETRANSLATE(B4399, ""nl"", ""en"")"),"A face that fades into abstraction")</f>
        <v>A face that fades into abstraction</v>
      </c>
    </row>
    <row r="4400" ht="15.75" customHeight="1">
      <c r="A4400" s="3" t="s">
        <v>4</v>
      </c>
      <c r="B4400" s="3" t="s">
        <v>20</v>
      </c>
      <c r="D4400" s="3" t="str">
        <f>IFERROR(__xludf.DUMMYFUNCTION("GOOGLETRANSLATE(A4400, ""nl"", ""en"")"),"Architectural and Structural Associations")</f>
        <v>Architectural and Structural Associations</v>
      </c>
      <c r="E4400" s="3" t="str">
        <f>IFERROR(__xludf.DUMMYFUNCTION("GOOGLETRANSLATE(B4400, ""nl"", ""en"")"),"A tower that grows by itself")</f>
        <v>A tower that grows by itself</v>
      </c>
    </row>
    <row r="4401" ht="15.75" customHeight="1">
      <c r="A4401" s="3" t="s">
        <v>7</v>
      </c>
      <c r="B4401" s="3" t="s">
        <v>56</v>
      </c>
      <c r="D4401" s="3" t="str">
        <f>IFERROR(__xludf.DUMMYFUNCTION("GOOGLETRANSLATE(A4401, ""nl"", ""en"")"),"Human Figures and Physicality")</f>
        <v>Human Figures and Physicality</v>
      </c>
      <c r="E4401" s="3" t="str">
        <f>IFERROR(__xludf.DUMMYFUNCTION("GOOGLETRANSLATE(B4401, ""nl"", ""en"")"),"A shadow that seems to move")</f>
        <v>A shadow that seems to move</v>
      </c>
    </row>
    <row r="4402" ht="15.75" customHeight="1">
      <c r="A4402" s="3" t="s">
        <v>9</v>
      </c>
      <c r="B4402" s="3" t="s">
        <v>14</v>
      </c>
      <c r="D4402" s="3" t="str">
        <f>IFERROR(__xludf.DUMMYFUNCTION("GOOGLETRANSLATE(A4402, ""nl"", ""en"")"),"Psychological and Emotional Interpretations")</f>
        <v>Psychological and Emotional Interpretations</v>
      </c>
      <c r="E4402" s="3" t="str">
        <f>IFERROR(__xludf.DUMMYFUNCTION("GOOGLETRANSLATE(B4402, ""nl"", ""en"")"),"An unclear hug")</f>
        <v>An unclear hug</v>
      </c>
    </row>
    <row r="4403" ht="15.75" customHeight="1">
      <c r="A4403" s="3" t="s">
        <v>15</v>
      </c>
      <c r="B4403" s="3" t="s">
        <v>38</v>
      </c>
      <c r="D4403" s="3" t="str">
        <f>IFERROR(__xludf.DUMMYFUNCTION("GOOGLETRANSLATE(A4403, ""nl"", ""en"")"),"Animals and Organic Forms")</f>
        <v>Animals and Organic Forms</v>
      </c>
      <c r="E4403" s="3" t="str">
        <f>IFERROR(__xludf.DUMMYFUNCTION("GOOGLETRANSLATE(B4403, ""nl"", ""en"")"),"A lion with an open mouth")</f>
        <v>A lion with an open mouth</v>
      </c>
    </row>
    <row r="4404" ht="15.75" customHeight="1">
      <c r="A4404" s="3" t="s">
        <v>24</v>
      </c>
      <c r="B4404" s="3" t="s">
        <v>25</v>
      </c>
      <c r="D4404" s="3" t="str">
        <f>IFERROR(__xludf.DUMMYFUNCTION("GOOGLETRANSLATE(A4404, ""nl"", ""en"")"),"Cosmic and Abstract Patterns")</f>
        <v>Cosmic and Abstract Patterns</v>
      </c>
      <c r="E4404" s="3" t="str">
        <f>IFERROR(__xludf.DUMMYFUNCTION("GOOGLETRANSLATE(B4404, ""nl"", ""en"")"),"A meteor shower dissolving into each other")</f>
        <v>A meteor shower dissolving into each other</v>
      </c>
    </row>
    <row r="4405" ht="15.75" customHeight="1">
      <c r="A4405" s="3" t="s">
        <v>4</v>
      </c>
      <c r="B4405" s="3" t="s">
        <v>21</v>
      </c>
      <c r="D4405" s="3" t="str">
        <f>IFERROR(__xludf.DUMMYFUNCTION("GOOGLETRANSLATE(A4405, ""nl"", ""en"")"),"Architectural and Structural Associations")</f>
        <v>Architectural and Structural Associations</v>
      </c>
      <c r="E4405" s="3" t="str">
        <f>IFERROR(__xludf.DUMMYFUNCTION("GOOGLETRANSLATE(B4405, ""nl"", ""en"")"),"A bridge that leads nowhere")</f>
        <v>A bridge that leads nowhere</v>
      </c>
    </row>
    <row r="4406" ht="15.75" customHeight="1">
      <c r="A4406" s="3" t="s">
        <v>15</v>
      </c>
      <c r="B4406" s="3" t="s">
        <v>46</v>
      </c>
      <c r="D4406" s="3" t="str">
        <f>IFERROR(__xludf.DUMMYFUNCTION("GOOGLETRANSLATE(A4406, ""nl"", ""en"")"),"Animals and Organic Forms")</f>
        <v>Animals and Organic Forms</v>
      </c>
      <c r="E4406" s="3" t="str">
        <f>IFERROR(__xludf.DUMMYFUNCTION("GOOGLETRANSLATE(B4406, ""nl"", ""en"")"),"A flock of fish moving as one")</f>
        <v>A flock of fish moving as one</v>
      </c>
    </row>
    <row r="4407" ht="15.75" customHeight="1">
      <c r="A4407" s="3" t="s">
        <v>9</v>
      </c>
      <c r="B4407" s="3" t="s">
        <v>11</v>
      </c>
      <c r="D4407" s="3" t="str">
        <f>IFERROR(__xludf.DUMMYFUNCTION("GOOGLETRANSLATE(A4407, ""nl"", ""en"")"),"Psychological and Emotional Interpretations")</f>
        <v>Psychological and Emotional Interpretations</v>
      </c>
      <c r="E4407" s="3" t="str">
        <f>IFERROR(__xludf.DUMMYFUNCTION("GOOGLETRANSLATE(B4407, ""nl"", ""en"")"),"An emotion captured in abstraction")</f>
        <v>An emotion captured in abstraction</v>
      </c>
    </row>
    <row r="4408" ht="15.75" customHeight="1">
      <c r="A4408" s="3" t="s">
        <v>24</v>
      </c>
      <c r="B4408" s="3" t="s">
        <v>27</v>
      </c>
      <c r="D4408" s="3" t="str">
        <f>IFERROR(__xludf.DUMMYFUNCTION("GOOGLETRANSLATE(A4408, ""nl"", ""en"")"),"Cosmic and Abstract Patterns")</f>
        <v>Cosmic and Abstract Patterns</v>
      </c>
      <c r="E4408" s="3" t="str">
        <f>IFERROR(__xludf.DUMMYFUNCTION("GOOGLETRANSLATE(B4408, ""nl"", ""en"")"),"A pair of black holes in dance")</f>
        <v>A pair of black holes in dance</v>
      </c>
    </row>
    <row r="4409" ht="15.75" customHeight="1">
      <c r="A4409" s="3" t="s">
        <v>24</v>
      </c>
      <c r="B4409" s="3" t="s">
        <v>54</v>
      </c>
      <c r="D4409" s="3" t="str">
        <f>IFERROR(__xludf.DUMMYFUNCTION("GOOGLETRANSLATE(A4409, ""nl"", ""en"")"),"Cosmic and Abstract Patterns")</f>
        <v>Cosmic and Abstract Patterns</v>
      </c>
      <c r="E4409" s="3" t="str">
        <f>IFERROR(__xludf.DUMMYFUNCTION("GOOGLETRANSLATE(B4409, ""nl"", ""en"")"),"A quantum particle in superposition")</f>
        <v>A quantum particle in superposition</v>
      </c>
    </row>
    <row r="4410" ht="15.75" customHeight="1">
      <c r="A4410" s="3" t="s">
        <v>4</v>
      </c>
      <c r="B4410" s="3" t="s">
        <v>55</v>
      </c>
      <c r="D4410" s="3" t="str">
        <f>IFERROR(__xludf.DUMMYFUNCTION("GOOGLETRANSLATE(A4410, ""nl"", ""en"")"),"Architectural and Structural Associations")</f>
        <v>Architectural and Structural Associations</v>
      </c>
      <c r="E4410" s="3" t="str">
        <f>IFERROR(__xludf.DUMMYFUNCTION("GOOGLETRANSLATE(B4410, ""nl"", ""en"")"),"A prism that splits light into colors")</f>
        <v>A prism that splits light into colors</v>
      </c>
    </row>
    <row r="4411" ht="15.75" customHeight="1">
      <c r="A4411" s="3" t="s">
        <v>24</v>
      </c>
      <c r="B4411" s="3" t="s">
        <v>27</v>
      </c>
      <c r="D4411" s="3" t="str">
        <f>IFERROR(__xludf.DUMMYFUNCTION("GOOGLETRANSLATE(A4411, ""nl"", ""en"")"),"Cosmic and Abstract Patterns")</f>
        <v>Cosmic and Abstract Patterns</v>
      </c>
      <c r="E4411" s="3" t="str">
        <f>IFERROR(__xludf.DUMMYFUNCTION("GOOGLETRANSLATE(B4411, ""nl"", ""en"")"),"A pair of black holes in dance")</f>
        <v>A pair of black holes in dance</v>
      </c>
    </row>
    <row r="4412" ht="15.75" customHeight="1">
      <c r="A4412" s="3" t="s">
        <v>24</v>
      </c>
      <c r="B4412" s="3" t="s">
        <v>33</v>
      </c>
      <c r="D4412" s="3" t="str">
        <f>IFERROR(__xludf.DUMMYFUNCTION("GOOGLETRANSLATE(A4412, ""nl"", ""en"")"),"Cosmic and Abstract Patterns")</f>
        <v>Cosmic and Abstract Patterns</v>
      </c>
      <c r="E4412" s="3" t="str">
        <f>IFERROR(__xludf.DUMMYFUNCTION("GOOGLETRANSLATE(B4412, ""nl"", ""en"")"),"An eye that repeats itself in endless patterns")</f>
        <v>An eye that repeats itself in endless patterns</v>
      </c>
    </row>
    <row r="4413" ht="15.75" customHeight="1">
      <c r="A4413" s="3" t="s">
        <v>15</v>
      </c>
      <c r="B4413" s="3" t="s">
        <v>26</v>
      </c>
      <c r="D4413" s="3" t="str">
        <f>IFERROR(__xludf.DUMMYFUNCTION("GOOGLETRANSLATE(A4413, ""nl"", ""en"")"),"Animals and Organic Forms")</f>
        <v>Animals and Organic Forms</v>
      </c>
      <c r="E4413" s="3" t="str">
        <f>IFERROR(__xludf.DUMMYFUNCTION("GOOGLETRANSLATE(B4413, ""nl"", ""en"")"),"A frog preparing to jump")</f>
        <v>A frog preparing to jump</v>
      </c>
    </row>
    <row r="4414" ht="15.75" customHeight="1">
      <c r="A4414" s="3" t="s">
        <v>24</v>
      </c>
      <c r="B4414" s="3" t="s">
        <v>27</v>
      </c>
      <c r="D4414" s="3" t="str">
        <f>IFERROR(__xludf.DUMMYFUNCTION("GOOGLETRANSLATE(A4414, ""nl"", ""en"")"),"Cosmic and Abstract Patterns")</f>
        <v>Cosmic and Abstract Patterns</v>
      </c>
      <c r="E4414" s="3" t="str">
        <f>IFERROR(__xludf.DUMMYFUNCTION("GOOGLETRANSLATE(B4414, ""nl"", ""en"")"),"A pair of black holes in dance")</f>
        <v>A pair of black holes in dance</v>
      </c>
    </row>
    <row r="4415" ht="15.75" customHeight="1">
      <c r="A4415" s="3" t="s">
        <v>15</v>
      </c>
      <c r="B4415" s="3" t="s">
        <v>50</v>
      </c>
      <c r="D4415" s="3" t="str">
        <f>IFERROR(__xludf.DUMMYFUNCTION("GOOGLETRANSLATE(A4415, ""nl"", ""en"")"),"Animals and Organic Forms")</f>
        <v>Animals and Organic Forms</v>
      </c>
      <c r="E4415" s="3" t="str">
        <f>IFERROR(__xludf.DUMMYFUNCTION("GOOGLETRANSLATE(B4415, ""nl"", ""en"")"),"A squid with extended tentacles")</f>
        <v>A squid with extended tentacles</v>
      </c>
    </row>
    <row r="4416" ht="15.75" customHeight="1">
      <c r="A4416" s="3" t="s">
        <v>24</v>
      </c>
      <c r="B4416" s="3" t="s">
        <v>27</v>
      </c>
      <c r="D4416" s="3" t="str">
        <f>IFERROR(__xludf.DUMMYFUNCTION("GOOGLETRANSLATE(A4416, ""nl"", ""en"")"),"Cosmic and Abstract Patterns")</f>
        <v>Cosmic and Abstract Patterns</v>
      </c>
      <c r="E4416" s="3" t="str">
        <f>IFERROR(__xludf.DUMMYFUNCTION("GOOGLETRANSLATE(B4416, ""nl"", ""en"")"),"A pair of black holes in dance")</f>
        <v>A pair of black holes in dance</v>
      </c>
    </row>
    <row r="4417" ht="15.75" customHeight="1">
      <c r="A4417" s="3" t="s">
        <v>7</v>
      </c>
      <c r="B4417" s="3" t="s">
        <v>56</v>
      </c>
      <c r="D4417" s="3" t="str">
        <f>IFERROR(__xludf.DUMMYFUNCTION("GOOGLETRANSLATE(A4417, ""nl"", ""en"")"),"Human Figures and Physicality")</f>
        <v>Human Figures and Physicality</v>
      </c>
      <c r="E4417" s="3" t="str">
        <f>IFERROR(__xludf.DUMMYFUNCTION("GOOGLETRANSLATE(B4417, ""nl"", ""en"")"),"A shadow that seems to move")</f>
        <v>A shadow that seems to move</v>
      </c>
    </row>
    <row r="4418" ht="15.75" customHeight="1">
      <c r="A4418" s="3" t="s">
        <v>12</v>
      </c>
      <c r="B4418" s="3" t="s">
        <v>23</v>
      </c>
      <c r="D4418" s="3" t="str">
        <f>IFERROR(__xludf.DUMMYFUNCTION("GOOGLETRANSLATE(A4418, ""nl"", ""en"")"),"Nature and Elements")</f>
        <v>Nature and Elements</v>
      </c>
      <c r="E4418" s="3" t="str">
        <f>IFERROR(__xludf.DUMMYFUNCTION("GOOGLETRANSLATE(B4418, ""nl"", ""en"")"),"A storm cloud splitting in two")</f>
        <v>A storm cloud splitting in two</v>
      </c>
    </row>
    <row r="4419" ht="15.75" customHeight="1">
      <c r="A4419" s="3" t="s">
        <v>9</v>
      </c>
      <c r="B4419" s="3" t="s">
        <v>57</v>
      </c>
      <c r="D4419" s="3" t="str">
        <f>IFERROR(__xludf.DUMMYFUNCTION("GOOGLETRANSLATE(A4419, ""nl"", ""en"")"),"Psychological and Emotional Interpretations")</f>
        <v>Psychological and Emotional Interpretations</v>
      </c>
      <c r="E4419" s="3" t="str">
        <f>IFERROR(__xludf.DUMMYFUNCTION("GOOGLETRANSLATE(B4419, ""nl"", ""en"")"),"An explosion of colours and feelings")</f>
        <v>An explosion of colours and feelings</v>
      </c>
    </row>
    <row r="4420" ht="15.75" customHeight="1">
      <c r="A4420" s="3" t="s">
        <v>4</v>
      </c>
      <c r="B4420" s="3" t="s">
        <v>5</v>
      </c>
      <c r="D4420" s="3" t="str">
        <f>IFERROR(__xludf.DUMMYFUNCTION("GOOGLETRANSLATE(A4420, ""nl"", ""en"")"),"Architectural and Structural Associations")</f>
        <v>Architectural and Structural Associations</v>
      </c>
      <c r="E4420" s="3" t="str">
        <f>IFERROR(__xludf.DUMMYFUNCTION("GOOGLETRANSLATE(B4420, ""nl"", ""en"")"),"A cathedral shaped from mist")</f>
        <v>A cathedral shaped from mist</v>
      </c>
    </row>
    <row r="4421" ht="15.75" customHeight="1">
      <c r="A4421" s="3" t="s">
        <v>9</v>
      </c>
      <c r="B4421" s="3" t="s">
        <v>14</v>
      </c>
      <c r="D4421" s="3" t="str">
        <f>IFERROR(__xludf.DUMMYFUNCTION("GOOGLETRANSLATE(A4421, ""nl"", ""en"")"),"Psychological and Emotional Interpretations")</f>
        <v>Psychological and Emotional Interpretations</v>
      </c>
      <c r="E4421" s="3" t="str">
        <f>IFERROR(__xludf.DUMMYFUNCTION("GOOGLETRANSLATE(B4421, ""nl"", ""en"")"),"An unclear hug")</f>
        <v>An unclear hug</v>
      </c>
    </row>
    <row r="4422" ht="15.75" customHeight="1">
      <c r="A4422" s="3" t="s">
        <v>15</v>
      </c>
      <c r="B4422" s="3" t="s">
        <v>50</v>
      </c>
      <c r="D4422" s="3" t="str">
        <f>IFERROR(__xludf.DUMMYFUNCTION("GOOGLETRANSLATE(A4422, ""nl"", ""en"")"),"Animals and Organic Forms")</f>
        <v>Animals and Organic Forms</v>
      </c>
      <c r="E4422" s="3" t="str">
        <f>IFERROR(__xludf.DUMMYFUNCTION("GOOGLETRANSLATE(B4422, ""nl"", ""en"")"),"A squid with extended tentacles")</f>
        <v>A squid with extended tentacles</v>
      </c>
    </row>
    <row r="4423" ht="15.75" customHeight="1">
      <c r="A4423" s="3" t="s">
        <v>7</v>
      </c>
      <c r="B4423" s="3" t="s">
        <v>34</v>
      </c>
      <c r="D4423" s="3" t="str">
        <f>IFERROR(__xludf.DUMMYFUNCTION("GOOGLETRANSLATE(A4423, ""nl"", ""en"")"),"Human Figures and Physicality")</f>
        <v>Human Figures and Physicality</v>
      </c>
      <c r="E4423" s="3" t="str">
        <f>IFERROR(__xludf.DUMMYFUNCTION("GOOGLETRANSLATE(B4423, ""nl"", ""en"")"),"Hands almost touching")</f>
        <v>Hands almost touching</v>
      </c>
    </row>
    <row r="4424" ht="15.75" customHeight="1">
      <c r="A4424" s="3" t="s">
        <v>9</v>
      </c>
      <c r="B4424" s="3" t="s">
        <v>49</v>
      </c>
      <c r="D4424" s="3" t="str">
        <f>IFERROR(__xludf.DUMMYFUNCTION("GOOGLETRANSLATE(A4424, ""nl"", ""en"")"),"Psychological and Emotional Interpretations")</f>
        <v>Psychological and Emotional Interpretations</v>
      </c>
      <c r="E4424" s="3" t="str">
        <f>IFERROR(__xludf.DUMMYFUNCTION("GOOGLETRANSLATE(B4424, ""nl"", ""en"")"),"A spiral that turns inward")</f>
        <v>A spiral that turns inward</v>
      </c>
    </row>
    <row r="4425" ht="15.75" customHeight="1">
      <c r="A4425" s="3" t="s">
        <v>24</v>
      </c>
      <c r="B4425" s="3" t="s">
        <v>29</v>
      </c>
      <c r="D4425" s="3" t="str">
        <f>IFERROR(__xludf.DUMMYFUNCTION("GOOGLETRANSLATE(A4425, ""nl"", ""en"")"),"Cosmic and Abstract Patterns")</f>
        <v>Cosmic and Abstract Patterns</v>
      </c>
      <c r="E4425" s="3" t="str">
        <f>IFERROR(__xludf.DUMMYFUNCTION("GOOGLETRANSLATE(B4425, ""nl"", ""en"")"),"A galaxy unfolding")</f>
        <v>A galaxy unfolding</v>
      </c>
    </row>
    <row r="4426" ht="15.75" customHeight="1">
      <c r="A4426" s="3" t="s">
        <v>9</v>
      </c>
      <c r="B4426" s="3" t="s">
        <v>17</v>
      </c>
      <c r="D4426" s="3" t="str">
        <f>IFERROR(__xludf.DUMMYFUNCTION("GOOGLETRANSLATE(A4426, ""nl"", ""en"")"),"Psychological and Emotional Interpretations")</f>
        <v>Psychological and Emotional Interpretations</v>
      </c>
      <c r="E4426" s="3" t="str">
        <f>IFERROR(__xludf.DUMMYFUNCTION("GOOGLETRANSLATE(B4426, ""nl"", ""en"")"),"A figure that seems to melt")</f>
        <v>A figure that seems to melt</v>
      </c>
    </row>
    <row r="4427" ht="15.75" customHeight="1">
      <c r="A4427" s="3" t="s">
        <v>24</v>
      </c>
      <c r="B4427" s="3" t="s">
        <v>31</v>
      </c>
      <c r="D4427" s="3" t="str">
        <f>IFERROR(__xludf.DUMMYFUNCTION("GOOGLETRANSLATE(A4427, ""nl"", ""en"")"),"Cosmic and Abstract Patterns")</f>
        <v>Cosmic and Abstract Patterns</v>
      </c>
      <c r="E4427" s="3" t="str">
        <f>IFERROR(__xludf.DUMMYFUNCTION("GOOGLETRANSLATE(B4427, ""nl"", ""en"")"),"A planet with unusual rings")</f>
        <v>A planet with unusual rings</v>
      </c>
    </row>
    <row r="4428" ht="15.75" customHeight="1">
      <c r="A4428" s="3" t="s">
        <v>4</v>
      </c>
      <c r="B4428" s="3" t="s">
        <v>43</v>
      </c>
      <c r="D4428" s="3" t="str">
        <f>IFERROR(__xludf.DUMMYFUNCTION("GOOGLETRANSLATE(A4428, ""nl"", ""en"")"),"Architectural and Structural Associations")</f>
        <v>Architectural and Structural Associations</v>
      </c>
      <c r="E4428" s="3" t="str">
        <f>IFERROR(__xludf.DUMMYFUNCTION("GOOGLETRANSLATE(B4428, ""nl"", ""en"")"),"A network of tunnels and passages")</f>
        <v>A network of tunnels and passages</v>
      </c>
    </row>
    <row r="4429" ht="15.75" customHeight="1">
      <c r="A4429" s="3" t="s">
        <v>9</v>
      </c>
      <c r="B4429" s="3" t="s">
        <v>37</v>
      </c>
      <c r="D4429" s="3" t="str">
        <f>IFERROR(__xludf.DUMMYFUNCTION("GOOGLETRANSLATE(A4429, ""nl"", ""en"")"),"Psychological and Emotional Interpretations")</f>
        <v>Psychological and Emotional Interpretations</v>
      </c>
      <c r="E4429" s="3" t="str">
        <f>IFERROR(__xludf.DUMMYFUNCTION("GOOGLETRANSLATE(B4429, ""nl"", ""en"")"),"A figure looking through itself")</f>
        <v>A figure looking through itself</v>
      </c>
    </row>
    <row r="4430" ht="15.75" customHeight="1">
      <c r="A4430" s="3" t="s">
        <v>12</v>
      </c>
      <c r="B4430" s="3" t="s">
        <v>13</v>
      </c>
      <c r="D4430" s="3" t="str">
        <f>IFERROR(__xludf.DUMMYFUNCTION("GOOGLETRANSLATE(A4430, ""nl"", ""en"")"),"Nature and Elements")</f>
        <v>Nature and Elements</v>
      </c>
      <c r="E4430" s="3" t="str">
        <f>IFERROR(__xludf.DUMMYFUNCTION("GOOGLETRANSLATE(B4430, ""nl"", ""en"")"),"A lightning strike in slow motion")</f>
        <v>A lightning strike in slow motion</v>
      </c>
    </row>
    <row r="4431" ht="15.75" customHeight="1">
      <c r="A4431" s="3" t="s">
        <v>15</v>
      </c>
      <c r="B4431" s="3" t="s">
        <v>26</v>
      </c>
      <c r="D4431" s="3" t="str">
        <f>IFERROR(__xludf.DUMMYFUNCTION("GOOGLETRANSLATE(A4431, ""nl"", ""en"")"),"Animals and Organic Forms")</f>
        <v>Animals and Organic Forms</v>
      </c>
      <c r="E4431" s="3" t="str">
        <f>IFERROR(__xludf.DUMMYFUNCTION("GOOGLETRANSLATE(B4431, ""nl"", ""en"")"),"A frog preparing to jump")</f>
        <v>A frog preparing to jump</v>
      </c>
    </row>
    <row r="4432" ht="15.75" customHeight="1">
      <c r="A4432" s="3" t="s">
        <v>12</v>
      </c>
      <c r="B4432" s="3" t="s">
        <v>47</v>
      </c>
      <c r="D4432" s="3" t="str">
        <f>IFERROR(__xludf.DUMMYFUNCTION("GOOGLETRANSLATE(A4432, ""nl"", ""en"")"),"Nature and Elements")</f>
        <v>Nature and Elements</v>
      </c>
      <c r="E4432" s="3" t="str">
        <f>IFERROR(__xludf.DUMMYFUNCTION("GOOGLETRANSLATE(B4432, ""nl"", ""en"")"),"A desert landscape that slowly changes")</f>
        <v>A desert landscape that slowly changes</v>
      </c>
    </row>
    <row r="4433" ht="15.75" customHeight="1">
      <c r="A4433" s="3" t="s">
        <v>9</v>
      </c>
      <c r="B4433" s="3" t="s">
        <v>11</v>
      </c>
      <c r="D4433" s="3" t="str">
        <f>IFERROR(__xludf.DUMMYFUNCTION("GOOGLETRANSLATE(A4433, ""nl"", ""en"")"),"Psychological and Emotional Interpretations")</f>
        <v>Psychological and Emotional Interpretations</v>
      </c>
      <c r="E4433" s="3" t="str">
        <f>IFERROR(__xludf.DUMMYFUNCTION("GOOGLETRANSLATE(B4433, ""nl"", ""en"")"),"An emotion captured in abstraction")</f>
        <v>An emotion captured in abstraction</v>
      </c>
    </row>
    <row r="4434" ht="15.75" customHeight="1">
      <c r="A4434" s="3" t="s">
        <v>12</v>
      </c>
      <c r="B4434" s="3" t="s">
        <v>18</v>
      </c>
      <c r="D4434" s="3" t="str">
        <f>IFERROR(__xludf.DUMMYFUNCTION("GOOGLETRANSLATE(A4434, ""nl"", ""en"")"),"Nature and Elements")</f>
        <v>Nature and Elements</v>
      </c>
      <c r="E4434" s="3" t="str">
        <f>IFERROR(__xludf.DUMMYFUNCTION("GOOGLETRANSLATE(B4434, ""nl"", ""en"")"),"A tree with endless branches")</f>
        <v>A tree with endless branches</v>
      </c>
    </row>
    <row r="4435" ht="15.75" customHeight="1">
      <c r="A4435" s="3" t="s">
        <v>12</v>
      </c>
      <c r="B4435" s="3" t="s">
        <v>30</v>
      </c>
      <c r="D4435" s="3" t="str">
        <f>IFERROR(__xludf.DUMMYFUNCTION("GOOGLETRANSLATE(A4435, ""nl"", ""en"")"),"Nature and Elements")</f>
        <v>Nature and Elements</v>
      </c>
      <c r="E4435" s="3" t="str">
        <f>IFERROR(__xludf.DUMMYFUNCTION("GOOGLETRANSLATE(B4435, ""nl"", ""en"")"),"Waves breaking in fractal patterns")</f>
        <v>Waves breaking in fractal patterns</v>
      </c>
    </row>
    <row r="4436" ht="15.75" customHeight="1">
      <c r="A4436" s="3" t="s">
        <v>24</v>
      </c>
      <c r="B4436" s="3" t="s">
        <v>27</v>
      </c>
      <c r="D4436" s="3" t="str">
        <f>IFERROR(__xludf.DUMMYFUNCTION("GOOGLETRANSLATE(A4436, ""nl"", ""en"")"),"Cosmic and Abstract Patterns")</f>
        <v>Cosmic and Abstract Patterns</v>
      </c>
      <c r="E4436" s="3" t="str">
        <f>IFERROR(__xludf.DUMMYFUNCTION("GOOGLETRANSLATE(B4436, ""nl"", ""en"")"),"A pair of black holes in dance")</f>
        <v>A pair of black holes in dance</v>
      </c>
    </row>
    <row r="4437" ht="15.75" customHeight="1">
      <c r="A4437" s="3" t="s">
        <v>15</v>
      </c>
      <c r="B4437" s="3" t="s">
        <v>50</v>
      </c>
      <c r="D4437" s="3" t="str">
        <f>IFERROR(__xludf.DUMMYFUNCTION("GOOGLETRANSLATE(A4437, ""nl"", ""en"")"),"Animals and Organic Forms")</f>
        <v>Animals and Organic Forms</v>
      </c>
      <c r="E4437" s="3" t="str">
        <f>IFERROR(__xludf.DUMMYFUNCTION("GOOGLETRANSLATE(B4437, ""nl"", ""en"")"),"A squid with extended tentacles")</f>
        <v>A squid with extended tentacles</v>
      </c>
    </row>
    <row r="4438" ht="15.75" customHeight="1">
      <c r="A4438" s="3" t="s">
        <v>9</v>
      </c>
      <c r="B4438" s="3" t="s">
        <v>42</v>
      </c>
      <c r="D4438" s="3" t="str">
        <f>IFERROR(__xludf.DUMMYFUNCTION("GOOGLETRANSLATE(A4438, ""nl"", ""en"")"),"Psychological and Emotional Interpretations")</f>
        <v>Psychological and Emotional Interpretations</v>
      </c>
      <c r="E4438" s="3" t="str">
        <f>IFERROR(__xludf.DUMMYFUNCTION("GOOGLETRANSLATE(B4438, ""nl"", ""en"")"),"A mask that slowly disappears")</f>
        <v>A mask that slowly disappears</v>
      </c>
    </row>
    <row r="4439" ht="15.75" customHeight="1">
      <c r="A4439" s="3" t="s">
        <v>4</v>
      </c>
      <c r="B4439" s="3" t="s">
        <v>35</v>
      </c>
      <c r="D4439" s="3" t="str">
        <f>IFERROR(__xludf.DUMMYFUNCTION("GOOGLETRANSLATE(A4439, ""nl"", ""en"")"),"Architectural and Structural Associations")</f>
        <v>Architectural and Structural Associations</v>
      </c>
      <c r="E4439" s="3" t="str">
        <f>IFERROR(__xludf.DUMMYFUNCTION("GOOGLETRANSLATE(B4439, ""nl"", ""en"")"),"A floating building without a base")</f>
        <v>A floating building without a base</v>
      </c>
    </row>
    <row r="4440" ht="15.75" customHeight="1">
      <c r="A4440" s="3" t="s">
        <v>15</v>
      </c>
      <c r="B4440" s="3" t="s">
        <v>52</v>
      </c>
      <c r="D4440" s="3" t="str">
        <f>IFERROR(__xludf.DUMMYFUNCTION("GOOGLETRANSLATE(A4440, ""nl"", ""en"")"),"Animals and Organic Forms")</f>
        <v>Animals and Organic Forms</v>
      </c>
      <c r="E4440" s="3" t="str">
        <f>IFERROR(__xludf.DUMMYFUNCTION("GOOGLETRANSLATE(B4440, ""nl"", ""en"")"),"A mask made of leaves")</f>
        <v>A mask made of leaves</v>
      </c>
    </row>
    <row r="4441" ht="15.75" customHeight="1">
      <c r="A4441" s="3" t="s">
        <v>12</v>
      </c>
      <c r="B4441" s="3" t="s">
        <v>23</v>
      </c>
      <c r="D4441" s="3" t="str">
        <f>IFERROR(__xludf.DUMMYFUNCTION("GOOGLETRANSLATE(A4441, ""nl"", ""en"")"),"Nature and Elements")</f>
        <v>Nature and Elements</v>
      </c>
      <c r="E4441" s="3" t="str">
        <f>IFERROR(__xludf.DUMMYFUNCTION("GOOGLETRANSLATE(B4441, ""nl"", ""en"")"),"A storm cloud splitting in two")</f>
        <v>A storm cloud splitting in two</v>
      </c>
    </row>
    <row r="4442" ht="15.75" customHeight="1">
      <c r="A4442" s="3" t="s">
        <v>7</v>
      </c>
      <c r="B4442" s="3" t="s">
        <v>53</v>
      </c>
      <c r="D4442" s="3" t="str">
        <f>IFERROR(__xludf.DUMMYFUNCTION("GOOGLETRANSLATE(A4442, ""nl"", ""en"")"),"Human Figures and Physicality")</f>
        <v>Human Figures and Physicality</v>
      </c>
      <c r="E4442" s="3" t="str">
        <f>IFERROR(__xludf.DUMMYFUNCTION("GOOGLETRANSLATE(B4442, ""nl"", ""en"")"),"A face that both smiles and cries")</f>
        <v>A face that both smiles and cries</v>
      </c>
    </row>
    <row r="4443" ht="15.75" customHeight="1">
      <c r="A4443" s="3" t="s">
        <v>7</v>
      </c>
      <c r="B4443" s="3" t="s">
        <v>56</v>
      </c>
      <c r="D4443" s="3" t="str">
        <f>IFERROR(__xludf.DUMMYFUNCTION("GOOGLETRANSLATE(A4443, ""nl"", ""en"")"),"Human Figures and Physicality")</f>
        <v>Human Figures and Physicality</v>
      </c>
      <c r="E4443" s="3" t="str">
        <f>IFERROR(__xludf.DUMMYFUNCTION("GOOGLETRANSLATE(B4443, ""nl"", ""en"")"),"A shadow that seems to move")</f>
        <v>A shadow that seems to move</v>
      </c>
    </row>
    <row r="4444" ht="15.75" customHeight="1">
      <c r="A4444" s="3" t="s">
        <v>15</v>
      </c>
      <c r="B4444" s="3" t="s">
        <v>46</v>
      </c>
      <c r="D4444" s="3" t="str">
        <f>IFERROR(__xludf.DUMMYFUNCTION("GOOGLETRANSLATE(A4444, ""nl"", ""en"")"),"Animals and Organic Forms")</f>
        <v>Animals and Organic Forms</v>
      </c>
      <c r="E4444" s="3" t="str">
        <f>IFERROR(__xludf.DUMMYFUNCTION("GOOGLETRANSLATE(B4444, ""nl"", ""en"")"),"A flock of fish moving as one")</f>
        <v>A flock of fish moving as one</v>
      </c>
    </row>
    <row r="4445" ht="15.75" customHeight="1">
      <c r="A4445" s="3" t="s">
        <v>24</v>
      </c>
      <c r="B4445" s="3" t="s">
        <v>32</v>
      </c>
      <c r="D4445" s="3" t="str">
        <f>IFERROR(__xludf.DUMMYFUNCTION("GOOGLETRANSLATE(A4445, ""nl"", ""en"")"),"Cosmic and Abstract Patterns")</f>
        <v>Cosmic and Abstract Patterns</v>
      </c>
      <c r="E4445" s="3" t="str">
        <f>IFERROR(__xludf.DUMMYFUNCTION("GOOGLETRANSLATE(B4445, ""nl"", ""en"")"),"A time loop captured in image")</f>
        <v>A time loop captured in image</v>
      </c>
    </row>
    <row r="4446" ht="15.75" customHeight="1">
      <c r="A4446" s="3" t="s">
        <v>24</v>
      </c>
      <c r="B4446" s="3" t="s">
        <v>27</v>
      </c>
      <c r="D4446" s="3" t="str">
        <f>IFERROR(__xludf.DUMMYFUNCTION("GOOGLETRANSLATE(A4446, ""nl"", ""en"")"),"Cosmic and Abstract Patterns")</f>
        <v>Cosmic and Abstract Patterns</v>
      </c>
      <c r="E4446" s="3" t="str">
        <f>IFERROR(__xludf.DUMMYFUNCTION("GOOGLETRANSLATE(B4446, ""nl"", ""en"")"),"A pair of black holes in dance")</f>
        <v>A pair of black holes in dance</v>
      </c>
    </row>
    <row r="4447" ht="15.75" customHeight="1">
      <c r="A4447" s="3" t="s">
        <v>15</v>
      </c>
      <c r="B4447" s="3" t="s">
        <v>16</v>
      </c>
      <c r="D4447" s="3" t="str">
        <f>IFERROR(__xludf.DUMMYFUNCTION("GOOGLETRANSLATE(A4447, ""nl"", ""en"")"),"Animals and Organic Forms")</f>
        <v>Animals and Organic Forms</v>
      </c>
      <c r="E4447" s="3" t="str">
        <f>IFERROR(__xludf.DUMMYFUNCTION("GOOGLETRANSLATE(B4447, ""nl"", ""en"")"),"A butterfly in transformation")</f>
        <v>A butterfly in transformation</v>
      </c>
    </row>
    <row r="4448" ht="15.75" customHeight="1">
      <c r="A4448" s="3" t="s">
        <v>9</v>
      </c>
      <c r="B4448" s="3" t="s">
        <v>37</v>
      </c>
      <c r="D4448" s="3" t="str">
        <f>IFERROR(__xludf.DUMMYFUNCTION("GOOGLETRANSLATE(A4448, ""nl"", ""en"")"),"Psychological and Emotional Interpretations")</f>
        <v>Psychological and Emotional Interpretations</v>
      </c>
      <c r="E4448" s="3" t="str">
        <f>IFERROR(__xludf.DUMMYFUNCTION("GOOGLETRANSLATE(B4448, ""nl"", ""en"")"),"A figure looking through itself")</f>
        <v>A figure looking through itself</v>
      </c>
    </row>
    <row r="4449" ht="15.75" customHeight="1">
      <c r="A4449" s="3" t="s">
        <v>24</v>
      </c>
      <c r="B4449" s="3" t="s">
        <v>25</v>
      </c>
      <c r="D4449" s="3" t="str">
        <f>IFERROR(__xludf.DUMMYFUNCTION("GOOGLETRANSLATE(A4449, ""nl"", ""en"")"),"Cosmic and Abstract Patterns")</f>
        <v>Cosmic and Abstract Patterns</v>
      </c>
      <c r="E4449" s="3" t="str">
        <f>IFERROR(__xludf.DUMMYFUNCTION("GOOGLETRANSLATE(B4449, ""nl"", ""en"")"),"A meteor shower dissolving into each other")</f>
        <v>A meteor shower dissolving into each other</v>
      </c>
    </row>
    <row r="4450" ht="15.75" customHeight="1">
      <c r="A4450" s="3" t="s">
        <v>24</v>
      </c>
      <c r="B4450" s="3" t="s">
        <v>27</v>
      </c>
      <c r="D4450" s="3" t="str">
        <f>IFERROR(__xludf.DUMMYFUNCTION("GOOGLETRANSLATE(A4450, ""nl"", ""en"")"),"Cosmic and Abstract Patterns")</f>
        <v>Cosmic and Abstract Patterns</v>
      </c>
      <c r="E4450" s="3" t="str">
        <f>IFERROR(__xludf.DUMMYFUNCTION("GOOGLETRANSLATE(B4450, ""nl"", ""en"")"),"A pair of black holes in dance")</f>
        <v>A pair of black holes in dance</v>
      </c>
    </row>
    <row r="4451" ht="15.75" customHeight="1">
      <c r="A4451" s="3" t="s">
        <v>12</v>
      </c>
      <c r="B4451" s="3" t="s">
        <v>23</v>
      </c>
      <c r="D4451" s="3" t="str">
        <f>IFERROR(__xludf.DUMMYFUNCTION("GOOGLETRANSLATE(A4451, ""nl"", ""en"")"),"Nature and Elements")</f>
        <v>Nature and Elements</v>
      </c>
      <c r="E4451" s="3" t="str">
        <f>IFERROR(__xludf.DUMMYFUNCTION("GOOGLETRANSLATE(B4451, ""nl"", ""en"")"),"A storm cloud splitting in two")</f>
        <v>A storm cloud splitting in two</v>
      </c>
    </row>
    <row r="4452" ht="15.75" customHeight="1">
      <c r="A4452" s="3" t="s">
        <v>12</v>
      </c>
      <c r="B4452" s="3" t="s">
        <v>18</v>
      </c>
      <c r="D4452" s="3" t="str">
        <f>IFERROR(__xludf.DUMMYFUNCTION("GOOGLETRANSLATE(A4452, ""nl"", ""en"")"),"Nature and Elements")</f>
        <v>Nature and Elements</v>
      </c>
      <c r="E4452" s="3" t="str">
        <f>IFERROR(__xludf.DUMMYFUNCTION("GOOGLETRANSLATE(B4452, ""nl"", ""en"")"),"A tree with endless branches")</f>
        <v>A tree with endless branches</v>
      </c>
    </row>
    <row r="4453" ht="15.75" customHeight="1">
      <c r="A4453" s="3" t="s">
        <v>15</v>
      </c>
      <c r="B4453" s="3" t="s">
        <v>26</v>
      </c>
      <c r="D4453" s="3" t="str">
        <f>IFERROR(__xludf.DUMMYFUNCTION("GOOGLETRANSLATE(A4453, ""nl"", ""en"")"),"Animals and Organic Forms")</f>
        <v>Animals and Organic Forms</v>
      </c>
      <c r="E4453" s="3" t="str">
        <f>IFERROR(__xludf.DUMMYFUNCTION("GOOGLETRANSLATE(B4453, ""nl"", ""en"")"),"A frog preparing to jump")</f>
        <v>A frog preparing to jump</v>
      </c>
    </row>
    <row r="4454" ht="15.75" customHeight="1">
      <c r="A4454" s="3" t="s">
        <v>12</v>
      </c>
      <c r="B4454" s="3" t="s">
        <v>19</v>
      </c>
      <c r="D4454" s="3" t="str">
        <f>IFERROR(__xludf.DUMMYFUNCTION("GOOGLETRANSLATE(A4454, ""nl"", ""en"")"),"Nature and Elements")</f>
        <v>Nature and Elements</v>
      </c>
      <c r="E4454" s="3" t="str">
        <f>IFERROR(__xludf.DUMMYFUNCTION("GOOGLETRANSLATE(B4454, ""nl"", ""en"")"),"A mountain range that seems to breathe")</f>
        <v>A mountain range that seems to breathe</v>
      </c>
    </row>
    <row r="4455" ht="15.75" customHeight="1">
      <c r="A4455" s="3" t="s">
        <v>24</v>
      </c>
      <c r="B4455" s="3" t="s">
        <v>31</v>
      </c>
      <c r="D4455" s="3" t="str">
        <f>IFERROR(__xludf.DUMMYFUNCTION("GOOGLETRANSLATE(A4455, ""nl"", ""en"")"),"Cosmic and Abstract Patterns")</f>
        <v>Cosmic and Abstract Patterns</v>
      </c>
      <c r="E4455" s="3" t="str">
        <f>IFERROR(__xludf.DUMMYFUNCTION("GOOGLETRANSLATE(B4455, ""nl"", ""en"")"),"A planet with unusual rings")</f>
        <v>A planet with unusual rings</v>
      </c>
    </row>
    <row r="4456" ht="15.75" customHeight="1">
      <c r="A4456" s="3" t="s">
        <v>24</v>
      </c>
      <c r="B4456" s="3" t="s">
        <v>32</v>
      </c>
      <c r="D4456" s="3" t="str">
        <f>IFERROR(__xludf.DUMMYFUNCTION("GOOGLETRANSLATE(A4456, ""nl"", ""en"")"),"Cosmic and Abstract Patterns")</f>
        <v>Cosmic and Abstract Patterns</v>
      </c>
      <c r="E4456" s="3" t="str">
        <f>IFERROR(__xludf.DUMMYFUNCTION("GOOGLETRANSLATE(B4456, ""nl"", ""en"")"),"A time loop captured in image")</f>
        <v>A time loop captured in image</v>
      </c>
    </row>
    <row r="4457" ht="15.75" customHeight="1">
      <c r="A4457" s="3" t="s">
        <v>12</v>
      </c>
      <c r="B4457" s="3" t="s">
        <v>23</v>
      </c>
      <c r="D4457" s="3" t="str">
        <f>IFERROR(__xludf.DUMMYFUNCTION("GOOGLETRANSLATE(A4457, ""nl"", ""en"")"),"Nature and Elements")</f>
        <v>Nature and Elements</v>
      </c>
      <c r="E4457" s="3" t="str">
        <f>IFERROR(__xludf.DUMMYFUNCTION("GOOGLETRANSLATE(B4457, ""nl"", ""en"")"),"A storm cloud splitting in two")</f>
        <v>A storm cloud splitting in two</v>
      </c>
    </row>
    <row r="4458" ht="15.75" customHeight="1">
      <c r="A4458" s="3" t="s">
        <v>4</v>
      </c>
      <c r="B4458" s="3" t="s">
        <v>55</v>
      </c>
      <c r="D4458" s="3" t="str">
        <f>IFERROR(__xludf.DUMMYFUNCTION("GOOGLETRANSLATE(A4458, ""nl"", ""en"")"),"Architectural and Structural Associations")</f>
        <v>Architectural and Structural Associations</v>
      </c>
      <c r="E4458" s="3" t="str">
        <f>IFERROR(__xludf.DUMMYFUNCTION("GOOGLETRANSLATE(B4458, ""nl"", ""en"")"),"A prism that splits light into colors")</f>
        <v>A prism that splits light into colors</v>
      </c>
    </row>
    <row r="4459" ht="15.75" customHeight="1">
      <c r="A4459" s="3" t="s">
        <v>9</v>
      </c>
      <c r="B4459" s="3" t="s">
        <v>11</v>
      </c>
      <c r="D4459" s="3" t="str">
        <f>IFERROR(__xludf.DUMMYFUNCTION("GOOGLETRANSLATE(A4459, ""nl"", ""en"")"),"Psychological and Emotional Interpretations")</f>
        <v>Psychological and Emotional Interpretations</v>
      </c>
      <c r="E4459" s="3" t="str">
        <f>IFERROR(__xludf.DUMMYFUNCTION("GOOGLETRANSLATE(B4459, ""nl"", ""en"")"),"An emotion captured in abstraction")</f>
        <v>An emotion captured in abstraction</v>
      </c>
    </row>
    <row r="4460" ht="15.75" customHeight="1">
      <c r="A4460" s="3" t="s">
        <v>4</v>
      </c>
      <c r="B4460" s="3" t="s">
        <v>6</v>
      </c>
      <c r="D4460" s="3" t="str">
        <f>IFERROR(__xludf.DUMMYFUNCTION("GOOGLETRANSLATE(A4460, ""nl"", ""en"")"),"Architectural and Structural Associations")</f>
        <v>Architectural and Structural Associations</v>
      </c>
      <c r="E4460" s="3" t="str">
        <f>IFERROR(__xludf.DUMMYFUNCTION("GOOGLETRANSLATE(B4460, ""nl"", ""en"")"),"An endless labyrinth")</f>
        <v>An endless labyrinth</v>
      </c>
    </row>
    <row r="4461" ht="15.75" customHeight="1">
      <c r="A4461" s="3" t="s">
        <v>24</v>
      </c>
      <c r="B4461" s="3" t="s">
        <v>31</v>
      </c>
      <c r="D4461" s="3" t="str">
        <f>IFERROR(__xludf.DUMMYFUNCTION("GOOGLETRANSLATE(A4461, ""nl"", ""en"")"),"Cosmic and Abstract Patterns")</f>
        <v>Cosmic and Abstract Patterns</v>
      </c>
      <c r="E4461" s="3" t="str">
        <f>IFERROR(__xludf.DUMMYFUNCTION("GOOGLETRANSLATE(B4461, ""nl"", ""en"")"),"A planet with unusual rings")</f>
        <v>A planet with unusual rings</v>
      </c>
    </row>
    <row r="4462" ht="15.75" customHeight="1">
      <c r="A4462" s="3" t="s">
        <v>12</v>
      </c>
      <c r="B4462" s="3" t="s">
        <v>30</v>
      </c>
      <c r="D4462" s="3" t="str">
        <f>IFERROR(__xludf.DUMMYFUNCTION("GOOGLETRANSLATE(A4462, ""nl"", ""en"")"),"Nature and Elements")</f>
        <v>Nature and Elements</v>
      </c>
      <c r="E4462" s="3" t="str">
        <f>IFERROR(__xludf.DUMMYFUNCTION("GOOGLETRANSLATE(B4462, ""nl"", ""en"")"),"Waves breaking in fractal patterns")</f>
        <v>Waves breaking in fractal patterns</v>
      </c>
    </row>
    <row r="4463" ht="15.75" customHeight="1">
      <c r="A4463" s="3" t="s">
        <v>4</v>
      </c>
      <c r="B4463" s="3" t="s">
        <v>44</v>
      </c>
      <c r="D4463" s="3" t="str">
        <f>IFERROR(__xludf.DUMMYFUNCTION("GOOGLETRANSLATE(A4463, ""nl"", ""en"")"),"Architectural and Structural Associations")</f>
        <v>Architectural and Structural Associations</v>
      </c>
      <c r="E4463" s="3" t="str">
        <f>IFERROR(__xludf.DUMMYFUNCTION("GOOGLETRANSLATE(B4463, ""nl"", ""en"")"),"A structure that pulsates in waves")</f>
        <v>A structure that pulsates in waves</v>
      </c>
    </row>
    <row r="4464" ht="15.75" customHeight="1">
      <c r="A4464" s="3" t="s">
        <v>7</v>
      </c>
      <c r="B4464" s="3" t="s">
        <v>53</v>
      </c>
      <c r="D4464" s="3" t="str">
        <f>IFERROR(__xludf.DUMMYFUNCTION("GOOGLETRANSLATE(A4464, ""nl"", ""en"")"),"Human Figures and Physicality")</f>
        <v>Human Figures and Physicality</v>
      </c>
      <c r="E4464" s="3" t="str">
        <f>IFERROR(__xludf.DUMMYFUNCTION("GOOGLETRANSLATE(B4464, ""nl"", ""en"")"),"A face that both smiles and cries")</f>
        <v>A face that both smiles and cries</v>
      </c>
    </row>
    <row r="4465" ht="15.75" customHeight="1">
      <c r="A4465" s="3" t="s">
        <v>7</v>
      </c>
      <c r="B4465" s="3" t="s">
        <v>28</v>
      </c>
      <c r="D4465" s="3" t="str">
        <f>IFERROR(__xludf.DUMMYFUNCTION("GOOGLETRANSLATE(A4465, ""nl"", ""en"")"),"Human Figures and Physicality")</f>
        <v>Human Figures and Physicality</v>
      </c>
      <c r="E4465" s="3" t="str">
        <f>IFERROR(__xludf.DUMMYFUNCTION("GOOGLETRANSLATE(B4465, ""nl"", ""en"")"),"A dancing silhouette")</f>
        <v>A dancing silhouette</v>
      </c>
    </row>
    <row r="4466" ht="15.75" customHeight="1">
      <c r="A4466" s="3" t="s">
        <v>7</v>
      </c>
      <c r="B4466" s="3" t="s">
        <v>28</v>
      </c>
      <c r="D4466" s="3" t="str">
        <f>IFERROR(__xludf.DUMMYFUNCTION("GOOGLETRANSLATE(A4466, ""nl"", ""en"")"),"Human Figures and Physicality")</f>
        <v>Human Figures and Physicality</v>
      </c>
      <c r="E4466" s="3" t="str">
        <f>IFERROR(__xludf.DUMMYFUNCTION("GOOGLETRANSLATE(B4466, ""nl"", ""en"")"),"A dancing silhouette")</f>
        <v>A dancing silhouette</v>
      </c>
    </row>
    <row r="4467" ht="15.75" customHeight="1">
      <c r="A4467" s="3" t="s">
        <v>4</v>
      </c>
      <c r="B4467" s="3" t="s">
        <v>21</v>
      </c>
      <c r="D4467" s="3" t="str">
        <f>IFERROR(__xludf.DUMMYFUNCTION("GOOGLETRANSLATE(A4467, ""nl"", ""en"")"),"Architectural and Structural Associations")</f>
        <v>Architectural and Structural Associations</v>
      </c>
      <c r="E4467" s="3" t="str">
        <f>IFERROR(__xludf.DUMMYFUNCTION("GOOGLETRANSLATE(B4467, ""nl"", ""en"")"),"A bridge that leads nowhere")</f>
        <v>A bridge that leads nowhere</v>
      </c>
    </row>
    <row r="4468" ht="15.75" customHeight="1">
      <c r="A4468" s="3" t="s">
        <v>4</v>
      </c>
      <c r="B4468" s="3" t="s">
        <v>5</v>
      </c>
      <c r="D4468" s="3" t="str">
        <f>IFERROR(__xludf.DUMMYFUNCTION("GOOGLETRANSLATE(A4468, ""nl"", ""en"")"),"Architectural and Structural Associations")</f>
        <v>Architectural and Structural Associations</v>
      </c>
      <c r="E4468" s="3" t="str">
        <f>IFERROR(__xludf.DUMMYFUNCTION("GOOGLETRANSLATE(B4468, ""nl"", ""en"")"),"A cathedral shaped from mist")</f>
        <v>A cathedral shaped from mist</v>
      </c>
    </row>
    <row r="4469" ht="15.75" customHeight="1">
      <c r="A4469" s="3" t="s">
        <v>12</v>
      </c>
      <c r="B4469" s="3" t="s">
        <v>47</v>
      </c>
      <c r="D4469" s="3" t="str">
        <f>IFERROR(__xludf.DUMMYFUNCTION("GOOGLETRANSLATE(A4469, ""nl"", ""en"")"),"Nature and Elements")</f>
        <v>Nature and Elements</v>
      </c>
      <c r="E4469" s="3" t="str">
        <f>IFERROR(__xludf.DUMMYFUNCTION("GOOGLETRANSLATE(B4469, ""nl"", ""en"")"),"A desert landscape that slowly changes")</f>
        <v>A desert landscape that slowly changes</v>
      </c>
    </row>
    <row r="4470" ht="15.75" customHeight="1">
      <c r="A4470" s="3" t="s">
        <v>7</v>
      </c>
      <c r="B4470" s="3" t="s">
        <v>39</v>
      </c>
      <c r="D4470" s="3" t="str">
        <f>IFERROR(__xludf.DUMMYFUNCTION("GOOGLETRANSLATE(A4470, ""nl"", ""en"")"),"Human Figures and Physicality")</f>
        <v>Human Figures and Physicality</v>
      </c>
      <c r="E4470" s="3" t="str">
        <f>IFERROR(__xludf.DUMMYFUNCTION("GOOGLETRANSLATE(B4470, ""nl"", ""en"")"),"A torso without a head")</f>
        <v>A torso without a head</v>
      </c>
    </row>
    <row r="4471" ht="15.75" customHeight="1">
      <c r="A4471" s="3" t="s">
        <v>12</v>
      </c>
      <c r="B4471" s="3" t="s">
        <v>36</v>
      </c>
      <c r="D4471" s="3" t="str">
        <f>IFERROR(__xludf.DUMMYFUNCTION("GOOGLETRANSLATE(A4471, ""nl"", ""en"")"),"Nature and Elements")</f>
        <v>Nature and Elements</v>
      </c>
      <c r="E4471" s="3" t="str">
        <f>IFERROR(__xludf.DUMMYFUNCTION("GOOGLETRANSLATE(B4471, ""nl"", ""en"")"),"A river delta from a bird's-eye view")</f>
        <v>A river delta from a bird's-eye view</v>
      </c>
    </row>
    <row r="4472" ht="15.75" customHeight="1">
      <c r="A4472" s="3" t="s">
        <v>15</v>
      </c>
      <c r="B4472" s="3" t="s">
        <v>45</v>
      </c>
      <c r="D4472" s="3" t="str">
        <f>IFERROR(__xludf.DUMMYFUNCTION("GOOGLETRANSLATE(A4472, ""nl"", ""en"")"),"Animals and Organic Forms")</f>
        <v>Animals and Organic Forms</v>
      </c>
      <c r="E4472" s="3" t="str">
        <f>IFERROR(__xludf.DUMMYFUNCTION("GOOGLETRANSLATE(B4472, ""nl"", ""en"")"),"A snake biting its own tail")</f>
        <v>A snake biting its own tail</v>
      </c>
    </row>
    <row r="4473" ht="15.75" customHeight="1">
      <c r="A4473" s="3" t="s">
        <v>9</v>
      </c>
      <c r="B4473" s="3" t="s">
        <v>37</v>
      </c>
      <c r="D4473" s="3" t="str">
        <f>IFERROR(__xludf.DUMMYFUNCTION("GOOGLETRANSLATE(A4473, ""nl"", ""en"")"),"Psychological and Emotional Interpretations")</f>
        <v>Psychological and Emotional Interpretations</v>
      </c>
      <c r="E4473" s="3" t="str">
        <f>IFERROR(__xludf.DUMMYFUNCTION("GOOGLETRANSLATE(B4473, ""nl"", ""en"")"),"A figure looking through itself")</f>
        <v>A figure looking through itself</v>
      </c>
    </row>
    <row r="4474" ht="15.75" customHeight="1">
      <c r="A4474" s="3" t="s">
        <v>4</v>
      </c>
      <c r="B4474" s="3" t="s">
        <v>43</v>
      </c>
      <c r="D4474" s="3" t="str">
        <f>IFERROR(__xludf.DUMMYFUNCTION("GOOGLETRANSLATE(A4474, ""nl"", ""en"")"),"Architectural and Structural Associations")</f>
        <v>Architectural and Structural Associations</v>
      </c>
      <c r="E4474" s="3" t="str">
        <f>IFERROR(__xludf.DUMMYFUNCTION("GOOGLETRANSLATE(B4474, ""nl"", ""en"")"),"A network of tunnels and passages")</f>
        <v>A network of tunnels and passages</v>
      </c>
    </row>
    <row r="4475" ht="15.75" customHeight="1">
      <c r="A4475" s="3" t="s">
        <v>24</v>
      </c>
      <c r="B4475" s="3" t="s">
        <v>25</v>
      </c>
      <c r="D4475" s="3" t="str">
        <f>IFERROR(__xludf.DUMMYFUNCTION("GOOGLETRANSLATE(A4475, ""nl"", ""en"")"),"Cosmic and Abstract Patterns")</f>
        <v>Cosmic and Abstract Patterns</v>
      </c>
      <c r="E4475" s="3" t="str">
        <f>IFERROR(__xludf.DUMMYFUNCTION("GOOGLETRANSLATE(B4475, ""nl"", ""en"")"),"A meteor shower dissolving into each other")</f>
        <v>A meteor shower dissolving into each other</v>
      </c>
    </row>
    <row r="4476" ht="15.75" customHeight="1">
      <c r="A4476" s="3" t="s">
        <v>15</v>
      </c>
      <c r="B4476" s="3" t="s">
        <v>50</v>
      </c>
      <c r="D4476" s="3" t="str">
        <f>IFERROR(__xludf.DUMMYFUNCTION("GOOGLETRANSLATE(A4476, ""nl"", ""en"")"),"Animals and Organic Forms")</f>
        <v>Animals and Organic Forms</v>
      </c>
      <c r="E4476" s="3" t="str">
        <f>IFERROR(__xludf.DUMMYFUNCTION("GOOGLETRANSLATE(B4476, ""nl"", ""en"")"),"A squid with extended tentacles")</f>
        <v>A squid with extended tentacles</v>
      </c>
    </row>
    <row r="4477" ht="15.75" customHeight="1">
      <c r="A4477" s="3" t="s">
        <v>7</v>
      </c>
      <c r="B4477" s="3" t="s">
        <v>28</v>
      </c>
      <c r="D4477" s="3" t="str">
        <f>IFERROR(__xludf.DUMMYFUNCTION("GOOGLETRANSLATE(A4477, ""nl"", ""en"")"),"Human Figures and Physicality")</f>
        <v>Human Figures and Physicality</v>
      </c>
      <c r="E4477" s="3" t="str">
        <f>IFERROR(__xludf.DUMMYFUNCTION("GOOGLETRANSLATE(B4477, ""nl"", ""en"")"),"A dancing silhouette")</f>
        <v>A dancing silhouette</v>
      </c>
    </row>
    <row r="4478" ht="15.75" customHeight="1">
      <c r="A4478" s="3" t="s">
        <v>7</v>
      </c>
      <c r="B4478" s="3" t="s">
        <v>34</v>
      </c>
      <c r="D4478" s="3" t="str">
        <f>IFERROR(__xludf.DUMMYFUNCTION("GOOGLETRANSLATE(A4478, ""nl"", ""en"")"),"Human Figures and Physicality")</f>
        <v>Human Figures and Physicality</v>
      </c>
      <c r="E4478" s="3" t="str">
        <f>IFERROR(__xludf.DUMMYFUNCTION("GOOGLETRANSLATE(B4478, ""nl"", ""en"")"),"Hands almost touching")</f>
        <v>Hands almost touching</v>
      </c>
    </row>
    <row r="4479" ht="15.75" customHeight="1">
      <c r="A4479" s="3" t="s">
        <v>7</v>
      </c>
      <c r="B4479" s="3" t="s">
        <v>40</v>
      </c>
      <c r="D4479" s="3" t="str">
        <f>IFERROR(__xludf.DUMMYFUNCTION("GOOGLETRANSLATE(A4479, ""nl"", ""en"")"),"Human Figures and Physicality")</f>
        <v>Human Figures and Physicality</v>
      </c>
      <c r="E4479" s="3" t="str">
        <f>IFERROR(__xludf.DUMMYFUNCTION("GOOGLETRANSLATE(B4479, ""nl"", ""en"")"),"A figure who is withdrawn into himself")</f>
        <v>A figure who is withdrawn into himself</v>
      </c>
    </row>
    <row r="4480" ht="15.75" customHeight="1">
      <c r="A4480" s="3" t="s">
        <v>4</v>
      </c>
      <c r="B4480" s="3" t="s">
        <v>21</v>
      </c>
      <c r="D4480" s="3" t="str">
        <f>IFERROR(__xludf.DUMMYFUNCTION("GOOGLETRANSLATE(A4480, ""nl"", ""en"")"),"Architectural and Structural Associations")</f>
        <v>Architectural and Structural Associations</v>
      </c>
      <c r="E4480" s="3" t="str">
        <f>IFERROR(__xludf.DUMMYFUNCTION("GOOGLETRANSLATE(B4480, ""nl"", ""en"")"),"A bridge that leads nowhere")</f>
        <v>A bridge that leads nowhere</v>
      </c>
    </row>
    <row r="4481" ht="15.75" customHeight="1">
      <c r="A4481" s="3" t="s">
        <v>24</v>
      </c>
      <c r="B4481" s="3" t="s">
        <v>31</v>
      </c>
      <c r="D4481" s="3" t="str">
        <f>IFERROR(__xludf.DUMMYFUNCTION("GOOGLETRANSLATE(A4481, ""nl"", ""en"")"),"Cosmic and Abstract Patterns")</f>
        <v>Cosmic and Abstract Patterns</v>
      </c>
      <c r="E4481" s="3" t="str">
        <f>IFERROR(__xludf.DUMMYFUNCTION("GOOGLETRANSLATE(B4481, ""nl"", ""en"")"),"A planet with unusual rings")</f>
        <v>A planet with unusual rings</v>
      </c>
    </row>
    <row r="4482" ht="15.75" customHeight="1">
      <c r="A4482" s="3" t="s">
        <v>15</v>
      </c>
      <c r="B4482" s="3" t="s">
        <v>45</v>
      </c>
      <c r="D4482" s="3" t="str">
        <f>IFERROR(__xludf.DUMMYFUNCTION("GOOGLETRANSLATE(A4482, ""nl"", ""en"")"),"Animals and Organic Forms")</f>
        <v>Animals and Organic Forms</v>
      </c>
      <c r="E4482" s="3" t="str">
        <f>IFERROR(__xludf.DUMMYFUNCTION("GOOGLETRANSLATE(B4482, ""nl"", ""en"")"),"A snake biting its own tail")</f>
        <v>A snake biting its own tail</v>
      </c>
    </row>
    <row r="4483" ht="15.75" customHeight="1">
      <c r="A4483" s="3" t="s">
        <v>15</v>
      </c>
      <c r="B4483" s="3" t="s">
        <v>45</v>
      </c>
      <c r="D4483" s="3" t="str">
        <f>IFERROR(__xludf.DUMMYFUNCTION("GOOGLETRANSLATE(A4483, ""nl"", ""en"")"),"Animals and Organic Forms")</f>
        <v>Animals and Organic Forms</v>
      </c>
      <c r="E4483" s="3" t="str">
        <f>IFERROR(__xludf.DUMMYFUNCTION("GOOGLETRANSLATE(B4483, ""nl"", ""en"")"),"A snake biting its own tail")</f>
        <v>A snake biting its own tail</v>
      </c>
    </row>
    <row r="4484" ht="15.75" customHeight="1">
      <c r="A4484" s="3" t="s">
        <v>15</v>
      </c>
      <c r="B4484" s="3" t="s">
        <v>52</v>
      </c>
      <c r="D4484" s="3" t="str">
        <f>IFERROR(__xludf.DUMMYFUNCTION("GOOGLETRANSLATE(A4484, ""nl"", ""en"")"),"Animals and Organic Forms")</f>
        <v>Animals and Organic Forms</v>
      </c>
      <c r="E4484" s="3" t="str">
        <f>IFERROR(__xludf.DUMMYFUNCTION("GOOGLETRANSLATE(B4484, ""nl"", ""en"")"),"A mask made of leaves")</f>
        <v>A mask made of leaves</v>
      </c>
    </row>
    <row r="4485" ht="15.75" customHeight="1">
      <c r="A4485" s="3" t="s">
        <v>12</v>
      </c>
      <c r="B4485" s="3" t="s">
        <v>13</v>
      </c>
      <c r="D4485" s="3" t="str">
        <f>IFERROR(__xludf.DUMMYFUNCTION("GOOGLETRANSLATE(A4485, ""nl"", ""en"")"),"Nature and Elements")</f>
        <v>Nature and Elements</v>
      </c>
      <c r="E4485" s="3" t="str">
        <f>IFERROR(__xludf.DUMMYFUNCTION("GOOGLETRANSLATE(B4485, ""nl"", ""en"")"),"A lightning strike in slow motion")</f>
        <v>A lightning strike in slow motion</v>
      </c>
    </row>
    <row r="4486" ht="15.75" customHeight="1">
      <c r="A4486" s="3" t="s">
        <v>7</v>
      </c>
      <c r="B4486" s="3" t="s">
        <v>56</v>
      </c>
      <c r="D4486" s="3" t="str">
        <f>IFERROR(__xludf.DUMMYFUNCTION("GOOGLETRANSLATE(A4486, ""nl"", ""en"")"),"Human Figures and Physicality")</f>
        <v>Human Figures and Physicality</v>
      </c>
      <c r="E4486" s="3" t="str">
        <f>IFERROR(__xludf.DUMMYFUNCTION("GOOGLETRANSLATE(B4486, ""nl"", ""en"")"),"A shadow that seems to move")</f>
        <v>A shadow that seems to move</v>
      </c>
    </row>
    <row r="4487" ht="15.75" customHeight="1">
      <c r="A4487" s="3" t="s">
        <v>24</v>
      </c>
      <c r="B4487" s="3" t="s">
        <v>32</v>
      </c>
      <c r="D4487" s="3" t="str">
        <f>IFERROR(__xludf.DUMMYFUNCTION("GOOGLETRANSLATE(A4487, ""nl"", ""en"")"),"Cosmic and Abstract Patterns")</f>
        <v>Cosmic and Abstract Patterns</v>
      </c>
      <c r="E4487" s="3" t="str">
        <f>IFERROR(__xludf.DUMMYFUNCTION("GOOGLETRANSLATE(B4487, ""nl"", ""en"")"),"A time loop captured in image")</f>
        <v>A time loop captured in image</v>
      </c>
    </row>
    <row r="4488" ht="15.75" customHeight="1">
      <c r="A4488" s="3" t="s">
        <v>4</v>
      </c>
      <c r="B4488" s="3" t="s">
        <v>35</v>
      </c>
      <c r="D4488" s="3" t="str">
        <f>IFERROR(__xludf.DUMMYFUNCTION("GOOGLETRANSLATE(A4488, ""nl"", ""en"")"),"Architectural and Structural Associations")</f>
        <v>Architectural and Structural Associations</v>
      </c>
      <c r="E4488" s="3" t="str">
        <f>IFERROR(__xludf.DUMMYFUNCTION("GOOGLETRANSLATE(B4488, ""nl"", ""en"")"),"A floating building without a base")</f>
        <v>A floating building without a base</v>
      </c>
    </row>
    <row r="4489" ht="15.75" customHeight="1">
      <c r="A4489" s="3" t="s">
        <v>9</v>
      </c>
      <c r="B4489" s="3" t="s">
        <v>17</v>
      </c>
      <c r="D4489" s="3" t="str">
        <f>IFERROR(__xludf.DUMMYFUNCTION("GOOGLETRANSLATE(A4489, ""nl"", ""en"")"),"Psychological and Emotional Interpretations")</f>
        <v>Psychological and Emotional Interpretations</v>
      </c>
      <c r="E4489" s="3" t="str">
        <f>IFERROR(__xludf.DUMMYFUNCTION("GOOGLETRANSLATE(B4489, ""nl"", ""en"")"),"A figure that seems to melt")</f>
        <v>A figure that seems to melt</v>
      </c>
    </row>
    <row r="4490" ht="15.75" customHeight="1">
      <c r="A4490" s="3" t="s">
        <v>9</v>
      </c>
      <c r="B4490" s="3" t="s">
        <v>57</v>
      </c>
      <c r="D4490" s="3" t="str">
        <f>IFERROR(__xludf.DUMMYFUNCTION("GOOGLETRANSLATE(A4490, ""nl"", ""en"")"),"Psychological and Emotional Interpretations")</f>
        <v>Psychological and Emotional Interpretations</v>
      </c>
      <c r="E4490" s="3" t="str">
        <f>IFERROR(__xludf.DUMMYFUNCTION("GOOGLETRANSLATE(B4490, ""nl"", ""en"")"),"An explosion of colours and feelings")</f>
        <v>An explosion of colours and feelings</v>
      </c>
    </row>
    <row r="4491" ht="15.75" customHeight="1">
      <c r="A4491" s="3" t="s">
        <v>15</v>
      </c>
      <c r="B4491" s="3" t="s">
        <v>52</v>
      </c>
      <c r="D4491" s="3" t="str">
        <f>IFERROR(__xludf.DUMMYFUNCTION("GOOGLETRANSLATE(A4491, ""nl"", ""en"")"),"Animals and Organic Forms")</f>
        <v>Animals and Organic Forms</v>
      </c>
      <c r="E4491" s="3" t="str">
        <f>IFERROR(__xludf.DUMMYFUNCTION("GOOGLETRANSLATE(B4491, ""nl"", ""en"")"),"A mask made of leaves")</f>
        <v>A mask made of leaves</v>
      </c>
    </row>
    <row r="4492" ht="15.75" customHeight="1">
      <c r="A4492" s="3" t="s">
        <v>7</v>
      </c>
      <c r="B4492" s="3" t="s">
        <v>8</v>
      </c>
      <c r="D4492" s="3" t="str">
        <f>IFERROR(__xludf.DUMMYFUNCTION("GOOGLETRANSLATE(A4492, ""nl"", ""en"")"),"Human Figures and Physicality")</f>
        <v>Human Figures and Physicality</v>
      </c>
      <c r="E4492" s="3" t="str">
        <f>IFERROR(__xludf.DUMMYFUNCTION("GOOGLETRANSLATE(B4492, ""nl"", ""en"")"),"Two figures mirroring each other")</f>
        <v>Two figures mirroring each other</v>
      </c>
    </row>
    <row r="4493" ht="15.75" customHeight="1">
      <c r="A4493" s="3" t="s">
        <v>12</v>
      </c>
      <c r="B4493" s="3" t="s">
        <v>36</v>
      </c>
      <c r="D4493" s="3" t="str">
        <f>IFERROR(__xludf.DUMMYFUNCTION("GOOGLETRANSLATE(A4493, ""nl"", ""en"")"),"Nature and Elements")</f>
        <v>Nature and Elements</v>
      </c>
      <c r="E4493" s="3" t="str">
        <f>IFERROR(__xludf.DUMMYFUNCTION("GOOGLETRANSLATE(B4493, ""nl"", ""en"")"),"A river delta from a bird's-eye view")</f>
        <v>A river delta from a bird's-eye view</v>
      </c>
    </row>
    <row r="4494" ht="15.75" customHeight="1">
      <c r="A4494" s="3" t="s">
        <v>4</v>
      </c>
      <c r="B4494" s="3" t="s">
        <v>35</v>
      </c>
      <c r="D4494" s="3" t="str">
        <f>IFERROR(__xludf.DUMMYFUNCTION("GOOGLETRANSLATE(A4494, ""nl"", ""en"")"),"Architectural and Structural Associations")</f>
        <v>Architectural and Structural Associations</v>
      </c>
      <c r="E4494" s="3" t="str">
        <f>IFERROR(__xludf.DUMMYFUNCTION("GOOGLETRANSLATE(B4494, ""nl"", ""en"")"),"A floating building without a base")</f>
        <v>A floating building without a base</v>
      </c>
    </row>
    <row r="4495" ht="15.75" customHeight="1">
      <c r="A4495" s="3" t="s">
        <v>15</v>
      </c>
      <c r="B4495" s="3" t="s">
        <v>16</v>
      </c>
      <c r="D4495" s="3" t="str">
        <f>IFERROR(__xludf.DUMMYFUNCTION("GOOGLETRANSLATE(A4495, ""nl"", ""en"")"),"Animals and Organic Forms")</f>
        <v>Animals and Organic Forms</v>
      </c>
      <c r="E4495" s="3" t="str">
        <f>IFERROR(__xludf.DUMMYFUNCTION("GOOGLETRANSLATE(B4495, ""nl"", ""en"")"),"A butterfly in transformation")</f>
        <v>A butterfly in transformation</v>
      </c>
    </row>
    <row r="4496" ht="15.75" customHeight="1">
      <c r="A4496" s="3" t="s">
        <v>4</v>
      </c>
      <c r="B4496" s="3" t="s">
        <v>44</v>
      </c>
      <c r="D4496" s="3" t="str">
        <f>IFERROR(__xludf.DUMMYFUNCTION("GOOGLETRANSLATE(A4496, ""nl"", ""en"")"),"Architectural and Structural Associations")</f>
        <v>Architectural and Structural Associations</v>
      </c>
      <c r="E4496" s="3" t="str">
        <f>IFERROR(__xludf.DUMMYFUNCTION("GOOGLETRANSLATE(B4496, ""nl"", ""en"")"),"A structure that pulsates in waves")</f>
        <v>A structure that pulsates in waves</v>
      </c>
    </row>
    <row r="4497" ht="15.75" customHeight="1">
      <c r="A4497" s="3" t="s">
        <v>9</v>
      </c>
      <c r="B4497" s="3" t="s">
        <v>49</v>
      </c>
      <c r="D4497" s="3" t="str">
        <f>IFERROR(__xludf.DUMMYFUNCTION("GOOGLETRANSLATE(A4497, ""nl"", ""en"")"),"Psychological and Emotional Interpretations")</f>
        <v>Psychological and Emotional Interpretations</v>
      </c>
      <c r="E4497" s="3" t="str">
        <f>IFERROR(__xludf.DUMMYFUNCTION("GOOGLETRANSLATE(B4497, ""nl"", ""en"")"),"A spiral that turns inward")</f>
        <v>A spiral that turns inward</v>
      </c>
    </row>
    <row r="4498" ht="15.75" customHeight="1">
      <c r="A4498" s="3" t="s">
        <v>15</v>
      </c>
      <c r="B4498" s="3" t="s">
        <v>22</v>
      </c>
      <c r="D4498" s="3" t="str">
        <f>IFERROR(__xludf.DUMMYFUNCTION("GOOGLETRANSLATE(A4498, ""nl"", ""en"")"),"Animals and Organic Forms")</f>
        <v>Animals and Organic Forms</v>
      </c>
      <c r="E4498" s="3" t="str">
        <f>IFERROR(__xludf.DUMMYFUNCTION("GOOGLETRANSLATE(B4498, ""nl"", ""en"")"),"A bird taking off")</f>
        <v>A bird taking off</v>
      </c>
    </row>
    <row r="4499" ht="15.75" customHeight="1">
      <c r="A4499" s="3" t="s">
        <v>4</v>
      </c>
      <c r="B4499" s="3" t="s">
        <v>44</v>
      </c>
      <c r="D4499" s="3" t="str">
        <f>IFERROR(__xludf.DUMMYFUNCTION("GOOGLETRANSLATE(A4499, ""nl"", ""en"")"),"Architectural and Structural Associations")</f>
        <v>Architectural and Structural Associations</v>
      </c>
      <c r="E4499" s="3" t="str">
        <f>IFERROR(__xludf.DUMMYFUNCTION("GOOGLETRANSLATE(B4499, ""nl"", ""en"")"),"A structure that pulsates in waves")</f>
        <v>A structure that pulsates in waves</v>
      </c>
    </row>
    <row r="4500" ht="15.75" customHeight="1">
      <c r="A4500" s="3" t="s">
        <v>24</v>
      </c>
      <c r="B4500" s="3" t="s">
        <v>25</v>
      </c>
      <c r="D4500" s="3" t="str">
        <f>IFERROR(__xludf.DUMMYFUNCTION("GOOGLETRANSLATE(A4500, ""nl"", ""en"")"),"Cosmic and Abstract Patterns")</f>
        <v>Cosmic and Abstract Patterns</v>
      </c>
      <c r="E4500" s="3" t="str">
        <f>IFERROR(__xludf.DUMMYFUNCTION("GOOGLETRANSLATE(B4500, ""nl"", ""en"")"),"A meteor shower dissolving into each other")</f>
        <v>A meteor shower dissolving into each other</v>
      </c>
    </row>
    <row r="4501" ht="15.75" customHeight="1">
      <c r="A4501" s="3" t="s">
        <v>9</v>
      </c>
      <c r="B4501" s="3" t="s">
        <v>49</v>
      </c>
      <c r="D4501" s="3" t="str">
        <f>IFERROR(__xludf.DUMMYFUNCTION("GOOGLETRANSLATE(A4501, ""nl"", ""en"")"),"Psychological and Emotional Interpretations")</f>
        <v>Psychological and Emotional Interpretations</v>
      </c>
      <c r="E4501" s="3" t="str">
        <f>IFERROR(__xludf.DUMMYFUNCTION("GOOGLETRANSLATE(B4501, ""nl"", ""en"")"),"A spiral that turns inward")</f>
        <v>A spiral that turns inward</v>
      </c>
    </row>
    <row r="4502" ht="15.75" customHeight="1">
      <c r="A4502" s="3" t="s">
        <v>12</v>
      </c>
      <c r="B4502" s="3" t="s">
        <v>13</v>
      </c>
      <c r="D4502" s="3" t="str">
        <f>IFERROR(__xludf.DUMMYFUNCTION("GOOGLETRANSLATE(A4502, ""nl"", ""en"")"),"Nature and Elements")</f>
        <v>Nature and Elements</v>
      </c>
      <c r="E4502" s="3" t="str">
        <f>IFERROR(__xludf.DUMMYFUNCTION("GOOGLETRANSLATE(B4502, ""nl"", ""en"")"),"A lightning strike in slow motion")</f>
        <v>A lightning strike in slow motion</v>
      </c>
    </row>
    <row r="4503" ht="15.75" customHeight="1">
      <c r="A4503" s="3" t="s">
        <v>24</v>
      </c>
      <c r="B4503" s="3" t="s">
        <v>33</v>
      </c>
      <c r="D4503" s="3" t="str">
        <f>IFERROR(__xludf.DUMMYFUNCTION("GOOGLETRANSLATE(A4503, ""nl"", ""en"")"),"Cosmic and Abstract Patterns")</f>
        <v>Cosmic and Abstract Patterns</v>
      </c>
      <c r="E4503" s="3" t="str">
        <f>IFERROR(__xludf.DUMMYFUNCTION("GOOGLETRANSLATE(B4503, ""nl"", ""en"")"),"An eye that repeats itself in endless patterns")</f>
        <v>An eye that repeats itself in endless patterns</v>
      </c>
    </row>
    <row r="4504" ht="15.75" customHeight="1">
      <c r="A4504" s="3" t="s">
        <v>7</v>
      </c>
      <c r="B4504" s="3" t="s">
        <v>41</v>
      </c>
      <c r="D4504" s="3" t="str">
        <f>IFERROR(__xludf.DUMMYFUNCTION("GOOGLETRANSLATE(A4504, ""nl"", ""en"")"),"Human Figures and Physicality")</f>
        <v>Human Figures and Physicality</v>
      </c>
      <c r="E4504" s="3" t="str">
        <f>IFERROR(__xludf.DUMMYFUNCTION("GOOGLETRANSLATE(B4504, ""nl"", ""en"")"),"A face that fades into abstraction")</f>
        <v>A face that fades into abstraction</v>
      </c>
    </row>
    <row r="4505" ht="15.75" customHeight="1">
      <c r="A4505" s="3" t="s">
        <v>9</v>
      </c>
      <c r="B4505" s="3" t="s">
        <v>37</v>
      </c>
      <c r="D4505" s="3" t="str">
        <f>IFERROR(__xludf.DUMMYFUNCTION("GOOGLETRANSLATE(A4505, ""nl"", ""en"")"),"Psychological and Emotional Interpretations")</f>
        <v>Psychological and Emotional Interpretations</v>
      </c>
      <c r="E4505" s="3" t="str">
        <f>IFERROR(__xludf.DUMMYFUNCTION("GOOGLETRANSLATE(B4505, ""nl"", ""en"")"),"A figure looking through itself")</f>
        <v>A figure looking through itself</v>
      </c>
    </row>
    <row r="4506" ht="15.75" customHeight="1">
      <c r="A4506" s="3" t="s">
        <v>12</v>
      </c>
      <c r="B4506" s="3" t="s">
        <v>47</v>
      </c>
      <c r="D4506" s="3" t="str">
        <f>IFERROR(__xludf.DUMMYFUNCTION("GOOGLETRANSLATE(A4506, ""nl"", ""en"")"),"Nature and Elements")</f>
        <v>Nature and Elements</v>
      </c>
      <c r="E4506" s="3" t="str">
        <f>IFERROR(__xludf.DUMMYFUNCTION("GOOGLETRANSLATE(B4506, ""nl"", ""en"")"),"A desert landscape that slowly changes")</f>
        <v>A desert landscape that slowly changes</v>
      </c>
    </row>
    <row r="4507" ht="15.75" customHeight="1">
      <c r="A4507" s="3" t="s">
        <v>4</v>
      </c>
      <c r="B4507" s="3" t="s">
        <v>21</v>
      </c>
      <c r="D4507" s="3" t="str">
        <f>IFERROR(__xludf.DUMMYFUNCTION("GOOGLETRANSLATE(A4507, ""nl"", ""en"")"),"Architectural and Structural Associations")</f>
        <v>Architectural and Structural Associations</v>
      </c>
      <c r="E4507" s="3" t="str">
        <f>IFERROR(__xludf.DUMMYFUNCTION("GOOGLETRANSLATE(B4507, ""nl"", ""en"")"),"A bridge that leads nowhere")</f>
        <v>A bridge that leads nowhere</v>
      </c>
    </row>
    <row r="4508" ht="15.75" customHeight="1">
      <c r="A4508" s="3" t="s">
        <v>15</v>
      </c>
      <c r="B4508" s="3" t="s">
        <v>52</v>
      </c>
      <c r="D4508" s="3" t="str">
        <f>IFERROR(__xludf.DUMMYFUNCTION("GOOGLETRANSLATE(A4508, ""nl"", ""en"")"),"Animals and Organic Forms")</f>
        <v>Animals and Organic Forms</v>
      </c>
      <c r="E4508" s="3" t="str">
        <f>IFERROR(__xludf.DUMMYFUNCTION("GOOGLETRANSLATE(B4508, ""nl"", ""en"")"),"A mask made of leaves")</f>
        <v>A mask made of leaves</v>
      </c>
    </row>
    <row r="4509" ht="15.75" customHeight="1">
      <c r="A4509" s="3" t="s">
        <v>24</v>
      </c>
      <c r="B4509" s="3" t="s">
        <v>54</v>
      </c>
      <c r="D4509" s="3" t="str">
        <f>IFERROR(__xludf.DUMMYFUNCTION("GOOGLETRANSLATE(A4509, ""nl"", ""en"")"),"Cosmic and Abstract Patterns")</f>
        <v>Cosmic and Abstract Patterns</v>
      </c>
      <c r="E4509" s="3" t="str">
        <f>IFERROR(__xludf.DUMMYFUNCTION("GOOGLETRANSLATE(B4509, ""nl"", ""en"")"),"A quantum particle in superposition")</f>
        <v>A quantum particle in superposition</v>
      </c>
    </row>
    <row r="4510" ht="15.75" customHeight="1">
      <c r="A4510" s="3" t="s">
        <v>4</v>
      </c>
      <c r="B4510" s="3" t="s">
        <v>55</v>
      </c>
      <c r="D4510" s="3" t="str">
        <f>IFERROR(__xludf.DUMMYFUNCTION("GOOGLETRANSLATE(A4510, ""nl"", ""en"")"),"Architectural and Structural Associations")</f>
        <v>Architectural and Structural Associations</v>
      </c>
      <c r="E4510" s="3" t="str">
        <f>IFERROR(__xludf.DUMMYFUNCTION("GOOGLETRANSLATE(B4510, ""nl"", ""en"")"),"A prism that splits light into colors")</f>
        <v>A prism that splits light into colors</v>
      </c>
    </row>
    <row r="4511" ht="15.75" customHeight="1">
      <c r="A4511" s="3" t="s">
        <v>15</v>
      </c>
      <c r="B4511" s="3" t="s">
        <v>22</v>
      </c>
      <c r="D4511" s="3" t="str">
        <f>IFERROR(__xludf.DUMMYFUNCTION("GOOGLETRANSLATE(A4511, ""nl"", ""en"")"),"Animals and Organic Forms")</f>
        <v>Animals and Organic Forms</v>
      </c>
      <c r="E4511" s="3" t="str">
        <f>IFERROR(__xludf.DUMMYFUNCTION("GOOGLETRANSLATE(B4511, ""nl"", ""en"")"),"A bird taking off")</f>
        <v>A bird taking off</v>
      </c>
    </row>
    <row r="4512" ht="15.75" customHeight="1">
      <c r="A4512" s="3" t="s">
        <v>4</v>
      </c>
      <c r="B4512" s="3" t="s">
        <v>44</v>
      </c>
      <c r="D4512" s="3" t="str">
        <f>IFERROR(__xludf.DUMMYFUNCTION("GOOGLETRANSLATE(A4512, ""nl"", ""en"")"),"Architectural and Structural Associations")</f>
        <v>Architectural and Structural Associations</v>
      </c>
      <c r="E4512" s="3" t="str">
        <f>IFERROR(__xludf.DUMMYFUNCTION("GOOGLETRANSLATE(B4512, ""nl"", ""en"")"),"A structure that pulsates in waves")</f>
        <v>A structure that pulsates in waves</v>
      </c>
    </row>
    <row r="4513" ht="15.75" customHeight="1">
      <c r="A4513" s="3" t="s">
        <v>12</v>
      </c>
      <c r="B4513" s="3" t="s">
        <v>18</v>
      </c>
      <c r="D4513" s="3" t="str">
        <f>IFERROR(__xludf.DUMMYFUNCTION("GOOGLETRANSLATE(A4513, ""nl"", ""en"")"),"Nature and Elements")</f>
        <v>Nature and Elements</v>
      </c>
      <c r="E4513" s="3" t="str">
        <f>IFERROR(__xludf.DUMMYFUNCTION("GOOGLETRANSLATE(B4513, ""nl"", ""en"")"),"A tree with endless branches")</f>
        <v>A tree with endless branches</v>
      </c>
    </row>
    <row r="4514" ht="15.75" customHeight="1">
      <c r="A4514" s="3" t="s">
        <v>15</v>
      </c>
      <c r="B4514" s="3" t="s">
        <v>45</v>
      </c>
      <c r="D4514" s="3" t="str">
        <f>IFERROR(__xludf.DUMMYFUNCTION("GOOGLETRANSLATE(A4514, ""nl"", ""en"")"),"Animals and Organic Forms")</f>
        <v>Animals and Organic Forms</v>
      </c>
      <c r="E4514" s="3" t="str">
        <f>IFERROR(__xludf.DUMMYFUNCTION("GOOGLETRANSLATE(B4514, ""nl"", ""en"")"),"A snake biting its own tail")</f>
        <v>A snake biting its own tail</v>
      </c>
    </row>
    <row r="4515" ht="15.75" customHeight="1">
      <c r="A4515" s="3" t="s">
        <v>12</v>
      </c>
      <c r="B4515" s="3" t="s">
        <v>36</v>
      </c>
      <c r="D4515" s="3" t="str">
        <f>IFERROR(__xludf.DUMMYFUNCTION("GOOGLETRANSLATE(A4515, ""nl"", ""en"")"),"Nature and Elements")</f>
        <v>Nature and Elements</v>
      </c>
      <c r="E4515" s="3" t="str">
        <f>IFERROR(__xludf.DUMMYFUNCTION("GOOGLETRANSLATE(B4515, ""nl"", ""en"")"),"A river delta from a bird's-eye view")</f>
        <v>A river delta from a bird's-eye view</v>
      </c>
    </row>
    <row r="4516" ht="15.75" customHeight="1">
      <c r="A4516" s="3" t="s">
        <v>9</v>
      </c>
      <c r="B4516" s="3" t="s">
        <v>49</v>
      </c>
      <c r="D4516" s="3" t="str">
        <f>IFERROR(__xludf.DUMMYFUNCTION("GOOGLETRANSLATE(A4516, ""nl"", ""en"")"),"Psychological and Emotional Interpretations")</f>
        <v>Psychological and Emotional Interpretations</v>
      </c>
      <c r="E4516" s="3" t="str">
        <f>IFERROR(__xludf.DUMMYFUNCTION("GOOGLETRANSLATE(B4516, ""nl"", ""en"")"),"A spiral that turns inward")</f>
        <v>A spiral that turns inward</v>
      </c>
    </row>
    <row r="4517" ht="15.75" customHeight="1">
      <c r="A4517" s="3" t="s">
        <v>9</v>
      </c>
      <c r="B4517" s="3" t="s">
        <v>14</v>
      </c>
      <c r="D4517" s="3" t="str">
        <f>IFERROR(__xludf.DUMMYFUNCTION("GOOGLETRANSLATE(A4517, ""nl"", ""en"")"),"Psychological and Emotional Interpretations")</f>
        <v>Psychological and Emotional Interpretations</v>
      </c>
      <c r="E4517" s="3" t="str">
        <f>IFERROR(__xludf.DUMMYFUNCTION("GOOGLETRANSLATE(B4517, ""nl"", ""en"")"),"An unclear hug")</f>
        <v>An unclear hug</v>
      </c>
    </row>
    <row r="4518" ht="15.75" customHeight="1">
      <c r="A4518" s="3" t="s">
        <v>4</v>
      </c>
      <c r="B4518" s="3" t="s">
        <v>35</v>
      </c>
      <c r="D4518" s="3" t="str">
        <f>IFERROR(__xludf.DUMMYFUNCTION("GOOGLETRANSLATE(A4518, ""nl"", ""en"")"),"Architectural and Structural Associations")</f>
        <v>Architectural and Structural Associations</v>
      </c>
      <c r="E4518" s="3" t="str">
        <f>IFERROR(__xludf.DUMMYFUNCTION("GOOGLETRANSLATE(B4518, ""nl"", ""en"")"),"A floating building without a base")</f>
        <v>A floating building without a base</v>
      </c>
    </row>
    <row r="4519" ht="15.75" customHeight="1">
      <c r="A4519" s="3" t="s">
        <v>9</v>
      </c>
      <c r="B4519" s="3" t="s">
        <v>37</v>
      </c>
      <c r="D4519" s="3" t="str">
        <f>IFERROR(__xludf.DUMMYFUNCTION("GOOGLETRANSLATE(A4519, ""nl"", ""en"")"),"Psychological and Emotional Interpretations")</f>
        <v>Psychological and Emotional Interpretations</v>
      </c>
      <c r="E4519" s="3" t="str">
        <f>IFERROR(__xludf.DUMMYFUNCTION("GOOGLETRANSLATE(B4519, ""nl"", ""en"")"),"A figure looking through itself")</f>
        <v>A figure looking through itself</v>
      </c>
    </row>
    <row r="4520" ht="15.75" customHeight="1">
      <c r="A4520" s="3" t="s">
        <v>4</v>
      </c>
      <c r="B4520" s="3" t="s">
        <v>20</v>
      </c>
      <c r="D4520" s="3" t="str">
        <f>IFERROR(__xludf.DUMMYFUNCTION("GOOGLETRANSLATE(A4520, ""nl"", ""en"")"),"Architectural and Structural Associations")</f>
        <v>Architectural and Structural Associations</v>
      </c>
      <c r="E4520" s="3" t="str">
        <f>IFERROR(__xludf.DUMMYFUNCTION("GOOGLETRANSLATE(B4520, ""nl"", ""en"")"),"A tower that grows by itself")</f>
        <v>A tower that grows by itself</v>
      </c>
    </row>
    <row r="4521" ht="15.75" customHeight="1">
      <c r="A4521" s="3" t="s">
        <v>15</v>
      </c>
      <c r="B4521" s="3" t="s">
        <v>45</v>
      </c>
      <c r="D4521" s="3" t="str">
        <f>IFERROR(__xludf.DUMMYFUNCTION("GOOGLETRANSLATE(A4521, ""nl"", ""en"")"),"Animals and Organic Forms")</f>
        <v>Animals and Organic Forms</v>
      </c>
      <c r="E4521" s="3" t="str">
        <f>IFERROR(__xludf.DUMMYFUNCTION("GOOGLETRANSLATE(B4521, ""nl"", ""en"")"),"A snake biting its own tail")</f>
        <v>A snake biting its own tail</v>
      </c>
    </row>
    <row r="4522" ht="15.75" customHeight="1">
      <c r="A4522" s="3" t="s">
        <v>7</v>
      </c>
      <c r="B4522" s="3" t="s">
        <v>53</v>
      </c>
      <c r="D4522" s="3" t="str">
        <f>IFERROR(__xludf.DUMMYFUNCTION("GOOGLETRANSLATE(A4522, ""nl"", ""en"")"),"Human Figures and Physicality")</f>
        <v>Human Figures and Physicality</v>
      </c>
      <c r="E4522" s="3" t="str">
        <f>IFERROR(__xludf.DUMMYFUNCTION("GOOGLETRANSLATE(B4522, ""nl"", ""en"")"),"A face that both smiles and cries")</f>
        <v>A face that both smiles and cries</v>
      </c>
    </row>
    <row r="4523" ht="15.75" customHeight="1">
      <c r="A4523" s="3" t="s">
        <v>4</v>
      </c>
      <c r="B4523" s="3" t="s">
        <v>55</v>
      </c>
      <c r="D4523" s="3" t="str">
        <f>IFERROR(__xludf.DUMMYFUNCTION("GOOGLETRANSLATE(A4523, ""nl"", ""en"")"),"Architectural and Structural Associations")</f>
        <v>Architectural and Structural Associations</v>
      </c>
      <c r="E4523" s="3" t="str">
        <f>IFERROR(__xludf.DUMMYFUNCTION("GOOGLETRANSLATE(B4523, ""nl"", ""en"")"),"A prism that splits light into colors")</f>
        <v>A prism that splits light into colors</v>
      </c>
    </row>
    <row r="4524" ht="15.75" customHeight="1">
      <c r="A4524" s="3" t="s">
        <v>15</v>
      </c>
      <c r="B4524" s="3" t="s">
        <v>46</v>
      </c>
      <c r="D4524" s="3" t="str">
        <f>IFERROR(__xludf.DUMMYFUNCTION("GOOGLETRANSLATE(A4524, ""nl"", ""en"")"),"Animals and Organic Forms")</f>
        <v>Animals and Organic Forms</v>
      </c>
      <c r="E4524" s="3" t="str">
        <f>IFERROR(__xludf.DUMMYFUNCTION("GOOGLETRANSLATE(B4524, ""nl"", ""en"")"),"A flock of fish moving as one")</f>
        <v>A flock of fish moving as one</v>
      </c>
    </row>
    <row r="4525" ht="15.75" customHeight="1">
      <c r="A4525" s="3" t="s">
        <v>15</v>
      </c>
      <c r="B4525" s="3" t="s">
        <v>52</v>
      </c>
      <c r="D4525" s="3" t="str">
        <f>IFERROR(__xludf.DUMMYFUNCTION("GOOGLETRANSLATE(A4525, ""nl"", ""en"")"),"Animals and Organic Forms")</f>
        <v>Animals and Organic Forms</v>
      </c>
      <c r="E4525" s="3" t="str">
        <f>IFERROR(__xludf.DUMMYFUNCTION("GOOGLETRANSLATE(B4525, ""nl"", ""en"")"),"A mask made of leaves")</f>
        <v>A mask made of leaves</v>
      </c>
    </row>
    <row r="4526" ht="15.75" customHeight="1">
      <c r="A4526" s="3" t="s">
        <v>24</v>
      </c>
      <c r="B4526" s="3" t="s">
        <v>27</v>
      </c>
      <c r="D4526" s="3" t="str">
        <f>IFERROR(__xludf.DUMMYFUNCTION("GOOGLETRANSLATE(A4526, ""nl"", ""en"")"),"Cosmic and Abstract Patterns")</f>
        <v>Cosmic and Abstract Patterns</v>
      </c>
      <c r="E4526" s="3" t="str">
        <f>IFERROR(__xludf.DUMMYFUNCTION("GOOGLETRANSLATE(B4526, ""nl"", ""en"")"),"A pair of black holes in dance")</f>
        <v>A pair of black holes in dance</v>
      </c>
    </row>
    <row r="4527" ht="15.75" customHeight="1">
      <c r="A4527" s="3" t="s">
        <v>7</v>
      </c>
      <c r="B4527" s="3" t="s">
        <v>28</v>
      </c>
      <c r="D4527" s="3" t="str">
        <f>IFERROR(__xludf.DUMMYFUNCTION("GOOGLETRANSLATE(A4527, ""nl"", ""en"")"),"Human Figures and Physicality")</f>
        <v>Human Figures and Physicality</v>
      </c>
      <c r="E4527" s="3" t="str">
        <f>IFERROR(__xludf.DUMMYFUNCTION("GOOGLETRANSLATE(B4527, ""nl"", ""en"")"),"A dancing silhouette")</f>
        <v>A dancing silhouette</v>
      </c>
    </row>
    <row r="4528" ht="15.75" customHeight="1">
      <c r="A4528" s="3" t="s">
        <v>4</v>
      </c>
      <c r="B4528" s="3" t="s">
        <v>55</v>
      </c>
      <c r="D4528" s="3" t="str">
        <f>IFERROR(__xludf.DUMMYFUNCTION("GOOGLETRANSLATE(A4528, ""nl"", ""en"")"),"Architectural and Structural Associations")</f>
        <v>Architectural and Structural Associations</v>
      </c>
      <c r="E4528" s="3" t="str">
        <f>IFERROR(__xludf.DUMMYFUNCTION("GOOGLETRANSLATE(B4528, ""nl"", ""en"")"),"A prism that splits light into colors")</f>
        <v>A prism that splits light into colors</v>
      </c>
    </row>
    <row r="4529" ht="15.75" customHeight="1">
      <c r="A4529" s="3" t="s">
        <v>12</v>
      </c>
      <c r="B4529" s="3" t="s">
        <v>23</v>
      </c>
      <c r="D4529" s="3" t="str">
        <f>IFERROR(__xludf.DUMMYFUNCTION("GOOGLETRANSLATE(A4529, ""nl"", ""en"")"),"Nature and Elements")</f>
        <v>Nature and Elements</v>
      </c>
      <c r="E4529" s="3" t="str">
        <f>IFERROR(__xludf.DUMMYFUNCTION("GOOGLETRANSLATE(B4529, ""nl"", ""en"")"),"A storm cloud splitting in two")</f>
        <v>A storm cloud splitting in two</v>
      </c>
    </row>
    <row r="4530" ht="15.75" customHeight="1">
      <c r="A4530" s="3" t="s">
        <v>9</v>
      </c>
      <c r="B4530" s="3" t="s">
        <v>57</v>
      </c>
      <c r="D4530" s="3" t="str">
        <f>IFERROR(__xludf.DUMMYFUNCTION("GOOGLETRANSLATE(A4530, ""nl"", ""en"")"),"Psychological and Emotional Interpretations")</f>
        <v>Psychological and Emotional Interpretations</v>
      </c>
      <c r="E4530" s="3" t="str">
        <f>IFERROR(__xludf.DUMMYFUNCTION("GOOGLETRANSLATE(B4530, ""nl"", ""en"")"),"An explosion of colours and feelings")</f>
        <v>An explosion of colours and feelings</v>
      </c>
    </row>
    <row r="4531" ht="15.75" customHeight="1">
      <c r="A4531" s="3" t="s">
        <v>7</v>
      </c>
      <c r="B4531" s="3" t="s">
        <v>28</v>
      </c>
      <c r="D4531" s="3" t="str">
        <f>IFERROR(__xludf.DUMMYFUNCTION("GOOGLETRANSLATE(A4531, ""nl"", ""en"")"),"Human Figures and Physicality")</f>
        <v>Human Figures and Physicality</v>
      </c>
      <c r="E4531" s="3" t="str">
        <f>IFERROR(__xludf.DUMMYFUNCTION("GOOGLETRANSLATE(B4531, ""nl"", ""en"")"),"A dancing silhouette")</f>
        <v>A dancing silhouette</v>
      </c>
    </row>
    <row r="4532" ht="15.75" customHeight="1">
      <c r="A4532" s="3" t="s">
        <v>4</v>
      </c>
      <c r="B4532" s="3" t="s">
        <v>35</v>
      </c>
      <c r="D4532" s="3" t="str">
        <f>IFERROR(__xludf.DUMMYFUNCTION("GOOGLETRANSLATE(A4532, ""nl"", ""en"")"),"Architectural and Structural Associations")</f>
        <v>Architectural and Structural Associations</v>
      </c>
      <c r="E4532" s="3" t="str">
        <f>IFERROR(__xludf.DUMMYFUNCTION("GOOGLETRANSLATE(B4532, ""nl"", ""en"")"),"A floating building without a base")</f>
        <v>A floating building without a base</v>
      </c>
    </row>
    <row r="4533" ht="15.75" customHeight="1">
      <c r="A4533" s="3" t="s">
        <v>9</v>
      </c>
      <c r="B4533" s="3" t="s">
        <v>37</v>
      </c>
      <c r="D4533" s="3" t="str">
        <f>IFERROR(__xludf.DUMMYFUNCTION("GOOGLETRANSLATE(A4533, ""nl"", ""en"")"),"Psychological and Emotional Interpretations")</f>
        <v>Psychological and Emotional Interpretations</v>
      </c>
      <c r="E4533" s="3" t="str">
        <f>IFERROR(__xludf.DUMMYFUNCTION("GOOGLETRANSLATE(B4533, ""nl"", ""en"")"),"A figure looking through itself")</f>
        <v>A figure looking through itself</v>
      </c>
    </row>
    <row r="4534" ht="15.75" customHeight="1">
      <c r="A4534" s="3" t="s">
        <v>24</v>
      </c>
      <c r="B4534" s="3" t="s">
        <v>48</v>
      </c>
      <c r="D4534" s="3" t="str">
        <f>IFERROR(__xludf.DUMMYFUNCTION("GOOGLETRANSLATE(A4534, ""nl"", ""en"")"),"Cosmic and Abstract Patterns")</f>
        <v>Cosmic and Abstract Patterns</v>
      </c>
      <c r="E4534" s="3" t="str">
        <f>IFERROR(__xludf.DUMMYFUNCTION("GOOGLETRANSLATE(B4534, ""nl"", ""en"")"),"A fractal that repeats itself")</f>
        <v>A fractal that repeats itself</v>
      </c>
    </row>
    <row r="4535" ht="15.75" customHeight="1">
      <c r="A4535" s="3" t="s">
        <v>24</v>
      </c>
      <c r="B4535" s="3" t="s">
        <v>25</v>
      </c>
      <c r="D4535" s="3" t="str">
        <f>IFERROR(__xludf.DUMMYFUNCTION("GOOGLETRANSLATE(A4535, ""nl"", ""en"")"),"Cosmic and Abstract Patterns")</f>
        <v>Cosmic and Abstract Patterns</v>
      </c>
      <c r="E4535" s="3" t="str">
        <f>IFERROR(__xludf.DUMMYFUNCTION("GOOGLETRANSLATE(B4535, ""nl"", ""en"")"),"A meteor shower dissolving into each other")</f>
        <v>A meteor shower dissolving into each other</v>
      </c>
    </row>
    <row r="4536" ht="15.75" customHeight="1">
      <c r="A4536" s="3" t="s">
        <v>24</v>
      </c>
      <c r="B4536" s="3" t="s">
        <v>27</v>
      </c>
      <c r="D4536" s="3" t="str">
        <f>IFERROR(__xludf.DUMMYFUNCTION("GOOGLETRANSLATE(A4536, ""nl"", ""en"")"),"Cosmic and Abstract Patterns")</f>
        <v>Cosmic and Abstract Patterns</v>
      </c>
      <c r="E4536" s="3" t="str">
        <f>IFERROR(__xludf.DUMMYFUNCTION("GOOGLETRANSLATE(B4536, ""nl"", ""en"")"),"A pair of black holes in dance")</f>
        <v>A pair of black holes in dance</v>
      </c>
    </row>
    <row r="4537" ht="15.75" customHeight="1">
      <c r="A4537" s="3" t="s">
        <v>9</v>
      </c>
      <c r="B4537" s="3" t="s">
        <v>14</v>
      </c>
      <c r="D4537" s="3" t="str">
        <f>IFERROR(__xludf.DUMMYFUNCTION("GOOGLETRANSLATE(A4537, ""nl"", ""en"")"),"Psychological and Emotional Interpretations")</f>
        <v>Psychological and Emotional Interpretations</v>
      </c>
      <c r="E4537" s="3" t="str">
        <f>IFERROR(__xludf.DUMMYFUNCTION("GOOGLETRANSLATE(B4537, ""nl"", ""en"")"),"An unclear hug")</f>
        <v>An unclear hug</v>
      </c>
    </row>
    <row r="4538" ht="15.75" customHeight="1">
      <c r="A4538" s="3" t="s">
        <v>7</v>
      </c>
      <c r="B4538" s="3" t="s">
        <v>53</v>
      </c>
      <c r="D4538" s="3" t="str">
        <f>IFERROR(__xludf.DUMMYFUNCTION("GOOGLETRANSLATE(A4538, ""nl"", ""en"")"),"Human Figures and Physicality")</f>
        <v>Human Figures and Physicality</v>
      </c>
      <c r="E4538" s="3" t="str">
        <f>IFERROR(__xludf.DUMMYFUNCTION("GOOGLETRANSLATE(B4538, ""nl"", ""en"")"),"A face that both smiles and cries")</f>
        <v>A face that both smiles and cries</v>
      </c>
    </row>
    <row r="4539" ht="15.75" customHeight="1">
      <c r="A4539" s="3" t="s">
        <v>12</v>
      </c>
      <c r="B4539" s="3" t="s">
        <v>23</v>
      </c>
      <c r="D4539" s="3" t="str">
        <f>IFERROR(__xludf.DUMMYFUNCTION("GOOGLETRANSLATE(A4539, ""nl"", ""en"")"),"Nature and Elements")</f>
        <v>Nature and Elements</v>
      </c>
      <c r="E4539" s="3" t="str">
        <f>IFERROR(__xludf.DUMMYFUNCTION("GOOGLETRANSLATE(B4539, ""nl"", ""en"")"),"A storm cloud splitting in two")</f>
        <v>A storm cloud splitting in two</v>
      </c>
    </row>
    <row r="4540" ht="15.75" customHeight="1">
      <c r="A4540" s="3" t="s">
        <v>7</v>
      </c>
      <c r="B4540" s="3" t="s">
        <v>56</v>
      </c>
      <c r="D4540" s="3" t="str">
        <f>IFERROR(__xludf.DUMMYFUNCTION("GOOGLETRANSLATE(A4540, ""nl"", ""en"")"),"Human Figures and Physicality")</f>
        <v>Human Figures and Physicality</v>
      </c>
      <c r="E4540" s="3" t="str">
        <f>IFERROR(__xludf.DUMMYFUNCTION("GOOGLETRANSLATE(B4540, ""nl"", ""en"")"),"A shadow that seems to move")</f>
        <v>A shadow that seems to move</v>
      </c>
    </row>
    <row r="4541" ht="15.75" customHeight="1">
      <c r="A4541" s="3" t="s">
        <v>4</v>
      </c>
      <c r="B4541" s="3" t="s">
        <v>6</v>
      </c>
      <c r="D4541" s="3" t="str">
        <f>IFERROR(__xludf.DUMMYFUNCTION("GOOGLETRANSLATE(A4541, ""nl"", ""en"")"),"Architectural and Structural Associations")</f>
        <v>Architectural and Structural Associations</v>
      </c>
      <c r="E4541" s="3" t="str">
        <f>IFERROR(__xludf.DUMMYFUNCTION("GOOGLETRANSLATE(B4541, ""nl"", ""en"")"),"An endless labyrinth")</f>
        <v>An endless labyrinth</v>
      </c>
    </row>
    <row r="4542" ht="15.75" customHeight="1">
      <c r="A4542" s="3" t="s">
        <v>15</v>
      </c>
      <c r="B4542" s="3" t="s">
        <v>52</v>
      </c>
      <c r="D4542" s="3" t="str">
        <f>IFERROR(__xludf.DUMMYFUNCTION("GOOGLETRANSLATE(A4542, ""nl"", ""en"")"),"Animals and Organic Forms")</f>
        <v>Animals and Organic Forms</v>
      </c>
      <c r="E4542" s="3" t="str">
        <f>IFERROR(__xludf.DUMMYFUNCTION("GOOGLETRANSLATE(B4542, ""nl"", ""en"")"),"A mask made of leaves")</f>
        <v>A mask made of leaves</v>
      </c>
    </row>
    <row r="4543" ht="15.75" customHeight="1">
      <c r="A4543" s="3" t="s">
        <v>4</v>
      </c>
      <c r="B4543" s="3" t="s">
        <v>44</v>
      </c>
      <c r="D4543" s="3" t="str">
        <f>IFERROR(__xludf.DUMMYFUNCTION("GOOGLETRANSLATE(A4543, ""nl"", ""en"")"),"Architectural and Structural Associations")</f>
        <v>Architectural and Structural Associations</v>
      </c>
      <c r="E4543" s="3" t="str">
        <f>IFERROR(__xludf.DUMMYFUNCTION("GOOGLETRANSLATE(B4543, ""nl"", ""en"")"),"A structure that pulsates in waves")</f>
        <v>A structure that pulsates in waves</v>
      </c>
    </row>
    <row r="4544" ht="15.75" customHeight="1">
      <c r="A4544" s="3" t="s">
        <v>7</v>
      </c>
      <c r="B4544" s="3" t="s">
        <v>53</v>
      </c>
      <c r="D4544" s="3" t="str">
        <f>IFERROR(__xludf.DUMMYFUNCTION("GOOGLETRANSLATE(A4544, ""nl"", ""en"")"),"Human Figures and Physicality")</f>
        <v>Human Figures and Physicality</v>
      </c>
      <c r="E4544" s="3" t="str">
        <f>IFERROR(__xludf.DUMMYFUNCTION("GOOGLETRANSLATE(B4544, ""nl"", ""en"")"),"A face that both smiles and cries")</f>
        <v>A face that both smiles and cries</v>
      </c>
    </row>
    <row r="4545" ht="15.75" customHeight="1">
      <c r="A4545" s="3" t="s">
        <v>24</v>
      </c>
      <c r="B4545" s="3" t="s">
        <v>27</v>
      </c>
      <c r="D4545" s="3" t="str">
        <f>IFERROR(__xludf.DUMMYFUNCTION("GOOGLETRANSLATE(A4545, ""nl"", ""en"")"),"Cosmic and Abstract Patterns")</f>
        <v>Cosmic and Abstract Patterns</v>
      </c>
      <c r="E4545" s="3" t="str">
        <f>IFERROR(__xludf.DUMMYFUNCTION("GOOGLETRANSLATE(B4545, ""nl"", ""en"")"),"A pair of black holes in dance")</f>
        <v>A pair of black holes in dance</v>
      </c>
    </row>
    <row r="4546" ht="15.75" customHeight="1">
      <c r="A4546" s="3" t="s">
        <v>15</v>
      </c>
      <c r="B4546" s="3" t="s">
        <v>16</v>
      </c>
      <c r="D4546" s="3" t="str">
        <f>IFERROR(__xludf.DUMMYFUNCTION("GOOGLETRANSLATE(A4546, ""nl"", ""en"")"),"Animals and Organic Forms")</f>
        <v>Animals and Organic Forms</v>
      </c>
      <c r="E4546" s="3" t="str">
        <f>IFERROR(__xludf.DUMMYFUNCTION("GOOGLETRANSLATE(B4546, ""nl"", ""en"")"),"A butterfly in transformation")</f>
        <v>A butterfly in transformation</v>
      </c>
    </row>
    <row r="4547" ht="15.75" customHeight="1">
      <c r="A4547" s="3" t="s">
        <v>7</v>
      </c>
      <c r="B4547" s="3" t="s">
        <v>34</v>
      </c>
      <c r="D4547" s="3" t="str">
        <f>IFERROR(__xludf.DUMMYFUNCTION("GOOGLETRANSLATE(A4547, ""nl"", ""en"")"),"Human Figures and Physicality")</f>
        <v>Human Figures and Physicality</v>
      </c>
      <c r="E4547" s="3" t="str">
        <f>IFERROR(__xludf.DUMMYFUNCTION("GOOGLETRANSLATE(B4547, ""nl"", ""en"")"),"Hands almost touching")</f>
        <v>Hands almost touching</v>
      </c>
    </row>
    <row r="4548" ht="15.75" customHeight="1">
      <c r="A4548" s="3" t="s">
        <v>24</v>
      </c>
      <c r="B4548" s="3" t="s">
        <v>48</v>
      </c>
      <c r="D4548" s="3" t="str">
        <f>IFERROR(__xludf.DUMMYFUNCTION("GOOGLETRANSLATE(A4548, ""nl"", ""en"")"),"Cosmic and Abstract Patterns")</f>
        <v>Cosmic and Abstract Patterns</v>
      </c>
      <c r="E4548" s="3" t="str">
        <f>IFERROR(__xludf.DUMMYFUNCTION("GOOGLETRANSLATE(B4548, ""nl"", ""en"")"),"A fractal that repeats itself")</f>
        <v>A fractal that repeats itself</v>
      </c>
    </row>
    <row r="4549" ht="15.75" customHeight="1">
      <c r="A4549" s="3" t="s">
        <v>12</v>
      </c>
      <c r="B4549" s="3" t="s">
        <v>18</v>
      </c>
      <c r="D4549" s="3" t="str">
        <f>IFERROR(__xludf.DUMMYFUNCTION("GOOGLETRANSLATE(A4549, ""nl"", ""en"")"),"Nature and Elements")</f>
        <v>Nature and Elements</v>
      </c>
      <c r="E4549" s="3" t="str">
        <f>IFERROR(__xludf.DUMMYFUNCTION("GOOGLETRANSLATE(B4549, ""nl"", ""en"")"),"A tree with endless branches")</f>
        <v>A tree with endless branches</v>
      </c>
    </row>
    <row r="4550" ht="15.75" customHeight="1">
      <c r="A4550" s="3" t="s">
        <v>12</v>
      </c>
      <c r="B4550" s="3" t="s">
        <v>47</v>
      </c>
      <c r="D4550" s="3" t="str">
        <f>IFERROR(__xludf.DUMMYFUNCTION("GOOGLETRANSLATE(A4550, ""nl"", ""en"")"),"Nature and Elements")</f>
        <v>Nature and Elements</v>
      </c>
      <c r="E4550" s="3" t="str">
        <f>IFERROR(__xludf.DUMMYFUNCTION("GOOGLETRANSLATE(B4550, ""nl"", ""en"")"),"A desert landscape that slowly changes")</f>
        <v>A desert landscape that slowly changes</v>
      </c>
    </row>
    <row r="4551" ht="15.75" customHeight="1">
      <c r="A4551" s="3" t="s">
        <v>7</v>
      </c>
      <c r="B4551" s="3" t="s">
        <v>34</v>
      </c>
      <c r="D4551" s="3" t="str">
        <f>IFERROR(__xludf.DUMMYFUNCTION("GOOGLETRANSLATE(A4551, ""nl"", ""en"")"),"Human Figures and Physicality")</f>
        <v>Human Figures and Physicality</v>
      </c>
      <c r="E4551" s="3" t="str">
        <f>IFERROR(__xludf.DUMMYFUNCTION("GOOGLETRANSLATE(B4551, ""nl"", ""en"")"),"Hands almost touching")</f>
        <v>Hands almost touching</v>
      </c>
    </row>
    <row r="4552" ht="15.75" customHeight="1">
      <c r="A4552" s="3" t="s">
        <v>4</v>
      </c>
      <c r="B4552" s="3" t="s">
        <v>35</v>
      </c>
      <c r="D4552" s="3" t="str">
        <f>IFERROR(__xludf.DUMMYFUNCTION("GOOGLETRANSLATE(A4552, ""nl"", ""en"")"),"Architectural and Structural Associations")</f>
        <v>Architectural and Structural Associations</v>
      </c>
      <c r="E4552" s="3" t="str">
        <f>IFERROR(__xludf.DUMMYFUNCTION("GOOGLETRANSLATE(B4552, ""nl"", ""en"")"),"A floating building without a base")</f>
        <v>A floating building without a base</v>
      </c>
    </row>
    <row r="4553" ht="15.75" customHeight="1">
      <c r="A4553" s="3" t="s">
        <v>15</v>
      </c>
      <c r="B4553" s="3" t="s">
        <v>16</v>
      </c>
      <c r="D4553" s="3" t="str">
        <f>IFERROR(__xludf.DUMMYFUNCTION("GOOGLETRANSLATE(A4553, ""nl"", ""en"")"),"Animals and Organic Forms")</f>
        <v>Animals and Organic Forms</v>
      </c>
      <c r="E4553" s="3" t="str">
        <f>IFERROR(__xludf.DUMMYFUNCTION("GOOGLETRANSLATE(B4553, ""nl"", ""en"")"),"A butterfly in transformation")</f>
        <v>A butterfly in transformation</v>
      </c>
    </row>
    <row r="4554" ht="15.75" customHeight="1">
      <c r="A4554" s="3" t="s">
        <v>7</v>
      </c>
      <c r="B4554" s="3" t="s">
        <v>56</v>
      </c>
      <c r="D4554" s="3" t="str">
        <f>IFERROR(__xludf.DUMMYFUNCTION("GOOGLETRANSLATE(A4554, ""nl"", ""en"")"),"Human Figures and Physicality")</f>
        <v>Human Figures and Physicality</v>
      </c>
      <c r="E4554" s="3" t="str">
        <f>IFERROR(__xludf.DUMMYFUNCTION("GOOGLETRANSLATE(B4554, ""nl"", ""en"")"),"A shadow that seems to move")</f>
        <v>A shadow that seems to move</v>
      </c>
    </row>
    <row r="4555" ht="15.75" customHeight="1">
      <c r="A4555" s="3" t="s">
        <v>24</v>
      </c>
      <c r="B4555" s="3" t="s">
        <v>32</v>
      </c>
      <c r="D4555" s="3" t="str">
        <f>IFERROR(__xludf.DUMMYFUNCTION("GOOGLETRANSLATE(A4555, ""nl"", ""en"")"),"Cosmic and Abstract Patterns")</f>
        <v>Cosmic and Abstract Patterns</v>
      </c>
      <c r="E4555" s="3" t="str">
        <f>IFERROR(__xludf.DUMMYFUNCTION("GOOGLETRANSLATE(B4555, ""nl"", ""en"")"),"A time loop captured in image")</f>
        <v>A time loop captured in image</v>
      </c>
    </row>
    <row r="4556" ht="15.75" customHeight="1">
      <c r="A4556" s="3" t="s">
        <v>4</v>
      </c>
      <c r="B4556" s="3" t="s">
        <v>21</v>
      </c>
      <c r="D4556" s="3" t="str">
        <f>IFERROR(__xludf.DUMMYFUNCTION("GOOGLETRANSLATE(A4556, ""nl"", ""en"")"),"Architectural and Structural Associations")</f>
        <v>Architectural and Structural Associations</v>
      </c>
      <c r="E4556" s="3" t="str">
        <f>IFERROR(__xludf.DUMMYFUNCTION("GOOGLETRANSLATE(B4556, ""nl"", ""en"")"),"A bridge that leads nowhere")</f>
        <v>A bridge that leads nowhere</v>
      </c>
    </row>
    <row r="4557" ht="15.75" customHeight="1">
      <c r="A4557" s="3" t="s">
        <v>4</v>
      </c>
      <c r="B4557" s="3" t="s">
        <v>5</v>
      </c>
      <c r="D4557" s="3" t="str">
        <f>IFERROR(__xludf.DUMMYFUNCTION("GOOGLETRANSLATE(A4557, ""nl"", ""en"")"),"Architectural and Structural Associations")</f>
        <v>Architectural and Structural Associations</v>
      </c>
      <c r="E4557" s="3" t="str">
        <f>IFERROR(__xludf.DUMMYFUNCTION("GOOGLETRANSLATE(B4557, ""nl"", ""en"")"),"A cathedral shaped from mist")</f>
        <v>A cathedral shaped from mist</v>
      </c>
    </row>
    <row r="4558" ht="15.75" customHeight="1">
      <c r="A4558" s="3" t="s">
        <v>7</v>
      </c>
      <c r="B4558" s="3" t="s">
        <v>28</v>
      </c>
      <c r="D4558" s="3" t="str">
        <f>IFERROR(__xludf.DUMMYFUNCTION("GOOGLETRANSLATE(A4558, ""nl"", ""en"")"),"Human Figures and Physicality")</f>
        <v>Human Figures and Physicality</v>
      </c>
      <c r="E4558" s="3" t="str">
        <f>IFERROR(__xludf.DUMMYFUNCTION("GOOGLETRANSLATE(B4558, ""nl"", ""en"")"),"A dancing silhouette")</f>
        <v>A dancing silhouette</v>
      </c>
    </row>
    <row r="4559" ht="15.75" customHeight="1">
      <c r="A4559" s="3" t="s">
        <v>24</v>
      </c>
      <c r="B4559" s="3" t="s">
        <v>33</v>
      </c>
      <c r="D4559" s="3" t="str">
        <f>IFERROR(__xludf.DUMMYFUNCTION("GOOGLETRANSLATE(A4559, ""nl"", ""en"")"),"Cosmic and Abstract Patterns")</f>
        <v>Cosmic and Abstract Patterns</v>
      </c>
      <c r="E4559" s="3" t="str">
        <f>IFERROR(__xludf.DUMMYFUNCTION("GOOGLETRANSLATE(B4559, ""nl"", ""en"")"),"An eye that repeats itself in endless patterns")</f>
        <v>An eye that repeats itself in endless patterns</v>
      </c>
    </row>
    <row r="4560" ht="15.75" customHeight="1">
      <c r="A4560" s="3" t="s">
        <v>7</v>
      </c>
      <c r="B4560" s="3" t="s">
        <v>28</v>
      </c>
      <c r="D4560" s="3" t="str">
        <f>IFERROR(__xludf.DUMMYFUNCTION("GOOGLETRANSLATE(A4560, ""nl"", ""en"")"),"Human Figures and Physicality")</f>
        <v>Human Figures and Physicality</v>
      </c>
      <c r="E4560" s="3" t="str">
        <f>IFERROR(__xludf.DUMMYFUNCTION("GOOGLETRANSLATE(B4560, ""nl"", ""en"")"),"A dancing silhouette")</f>
        <v>A dancing silhouette</v>
      </c>
    </row>
    <row r="4561" ht="15.75" customHeight="1">
      <c r="A4561" s="3" t="s">
        <v>4</v>
      </c>
      <c r="B4561" s="3" t="s">
        <v>44</v>
      </c>
      <c r="D4561" s="3" t="str">
        <f>IFERROR(__xludf.DUMMYFUNCTION("GOOGLETRANSLATE(A4561, ""nl"", ""en"")"),"Architectural and Structural Associations")</f>
        <v>Architectural and Structural Associations</v>
      </c>
      <c r="E4561" s="3" t="str">
        <f>IFERROR(__xludf.DUMMYFUNCTION("GOOGLETRANSLATE(B4561, ""nl"", ""en"")"),"A structure that pulsates in waves")</f>
        <v>A structure that pulsates in waves</v>
      </c>
    </row>
    <row r="4562" ht="15.75" customHeight="1">
      <c r="A4562" s="3" t="s">
        <v>15</v>
      </c>
      <c r="B4562" s="3" t="s">
        <v>50</v>
      </c>
      <c r="D4562" s="3" t="str">
        <f>IFERROR(__xludf.DUMMYFUNCTION("GOOGLETRANSLATE(A4562, ""nl"", ""en"")"),"Animals and Organic Forms")</f>
        <v>Animals and Organic Forms</v>
      </c>
      <c r="E4562" s="3" t="str">
        <f>IFERROR(__xludf.DUMMYFUNCTION("GOOGLETRANSLATE(B4562, ""nl"", ""en"")"),"A squid with extended tentacles")</f>
        <v>A squid with extended tentacles</v>
      </c>
    </row>
    <row r="4563" ht="15.75" customHeight="1">
      <c r="A4563" s="3" t="s">
        <v>15</v>
      </c>
      <c r="B4563" s="3" t="s">
        <v>45</v>
      </c>
      <c r="D4563" s="3" t="str">
        <f>IFERROR(__xludf.DUMMYFUNCTION("GOOGLETRANSLATE(A4563, ""nl"", ""en"")"),"Animals and Organic Forms")</f>
        <v>Animals and Organic Forms</v>
      </c>
      <c r="E4563" s="3" t="str">
        <f>IFERROR(__xludf.DUMMYFUNCTION("GOOGLETRANSLATE(B4563, ""nl"", ""en"")"),"A snake biting its own tail")</f>
        <v>A snake biting its own tail</v>
      </c>
    </row>
    <row r="4564" ht="15.75" customHeight="1">
      <c r="A4564" s="3" t="s">
        <v>12</v>
      </c>
      <c r="B4564" s="3" t="s">
        <v>36</v>
      </c>
      <c r="D4564" s="3" t="str">
        <f>IFERROR(__xludf.DUMMYFUNCTION("GOOGLETRANSLATE(A4564, ""nl"", ""en"")"),"Nature and Elements")</f>
        <v>Nature and Elements</v>
      </c>
      <c r="E4564" s="3" t="str">
        <f>IFERROR(__xludf.DUMMYFUNCTION("GOOGLETRANSLATE(B4564, ""nl"", ""en"")"),"A river delta from a bird's-eye view")</f>
        <v>A river delta from a bird's-eye view</v>
      </c>
    </row>
    <row r="4565" ht="15.75" customHeight="1">
      <c r="A4565" s="3" t="s">
        <v>12</v>
      </c>
      <c r="B4565" s="3" t="s">
        <v>13</v>
      </c>
      <c r="D4565" s="3" t="str">
        <f>IFERROR(__xludf.DUMMYFUNCTION("GOOGLETRANSLATE(A4565, ""nl"", ""en"")"),"Nature and Elements")</f>
        <v>Nature and Elements</v>
      </c>
      <c r="E4565" s="3" t="str">
        <f>IFERROR(__xludf.DUMMYFUNCTION("GOOGLETRANSLATE(B4565, ""nl"", ""en"")"),"A lightning strike in slow motion")</f>
        <v>A lightning strike in slow motion</v>
      </c>
    </row>
    <row r="4566" ht="15.75" customHeight="1">
      <c r="A4566" s="3" t="s">
        <v>12</v>
      </c>
      <c r="B4566" s="3" t="s">
        <v>36</v>
      </c>
      <c r="D4566" s="3" t="str">
        <f>IFERROR(__xludf.DUMMYFUNCTION("GOOGLETRANSLATE(A4566, ""nl"", ""en"")"),"Nature and Elements")</f>
        <v>Nature and Elements</v>
      </c>
      <c r="E4566" s="3" t="str">
        <f>IFERROR(__xludf.DUMMYFUNCTION("GOOGLETRANSLATE(B4566, ""nl"", ""en"")"),"A river delta from a bird's-eye view")</f>
        <v>A river delta from a bird's-eye view</v>
      </c>
    </row>
    <row r="4567" ht="15.75" customHeight="1">
      <c r="A4567" s="3" t="s">
        <v>24</v>
      </c>
      <c r="B4567" s="3" t="s">
        <v>32</v>
      </c>
      <c r="D4567" s="3" t="str">
        <f>IFERROR(__xludf.DUMMYFUNCTION("GOOGLETRANSLATE(A4567, ""nl"", ""en"")"),"Cosmic and Abstract Patterns")</f>
        <v>Cosmic and Abstract Patterns</v>
      </c>
      <c r="E4567" s="3" t="str">
        <f>IFERROR(__xludf.DUMMYFUNCTION("GOOGLETRANSLATE(B4567, ""nl"", ""en"")"),"A time loop captured in image")</f>
        <v>A time loop captured in image</v>
      </c>
    </row>
    <row r="4568" ht="15.75" customHeight="1">
      <c r="A4568" s="3" t="s">
        <v>12</v>
      </c>
      <c r="B4568" s="3" t="s">
        <v>13</v>
      </c>
      <c r="D4568" s="3" t="str">
        <f>IFERROR(__xludf.DUMMYFUNCTION("GOOGLETRANSLATE(A4568, ""nl"", ""en"")"),"Nature and Elements")</f>
        <v>Nature and Elements</v>
      </c>
      <c r="E4568" s="3" t="str">
        <f>IFERROR(__xludf.DUMMYFUNCTION("GOOGLETRANSLATE(B4568, ""nl"", ""en"")"),"A lightning strike in slow motion")</f>
        <v>A lightning strike in slow motion</v>
      </c>
    </row>
    <row r="4569" ht="15.75" customHeight="1">
      <c r="A4569" s="3" t="s">
        <v>9</v>
      </c>
      <c r="B4569" s="3" t="s">
        <v>57</v>
      </c>
      <c r="D4569" s="3" t="str">
        <f>IFERROR(__xludf.DUMMYFUNCTION("GOOGLETRANSLATE(A4569, ""nl"", ""en"")"),"Psychological and Emotional Interpretations")</f>
        <v>Psychological and Emotional Interpretations</v>
      </c>
      <c r="E4569" s="3" t="str">
        <f>IFERROR(__xludf.DUMMYFUNCTION("GOOGLETRANSLATE(B4569, ""nl"", ""en"")"),"An explosion of colours and feelings")</f>
        <v>An explosion of colours and feelings</v>
      </c>
    </row>
    <row r="4570" ht="15.75" customHeight="1">
      <c r="A4570" s="3" t="s">
        <v>24</v>
      </c>
      <c r="B4570" s="3" t="s">
        <v>48</v>
      </c>
      <c r="D4570" s="3" t="str">
        <f>IFERROR(__xludf.DUMMYFUNCTION("GOOGLETRANSLATE(A4570, ""nl"", ""en"")"),"Cosmic and Abstract Patterns")</f>
        <v>Cosmic and Abstract Patterns</v>
      </c>
      <c r="E4570" s="3" t="str">
        <f>IFERROR(__xludf.DUMMYFUNCTION("GOOGLETRANSLATE(B4570, ""nl"", ""en"")"),"A fractal that repeats itself")</f>
        <v>A fractal that repeats itself</v>
      </c>
    </row>
    <row r="4571" ht="15.75" customHeight="1">
      <c r="A4571" s="3" t="s">
        <v>4</v>
      </c>
      <c r="B4571" s="3" t="s">
        <v>5</v>
      </c>
      <c r="D4571" s="3" t="str">
        <f>IFERROR(__xludf.DUMMYFUNCTION("GOOGLETRANSLATE(A4571, ""nl"", ""en"")"),"Architectural and Structural Associations")</f>
        <v>Architectural and Structural Associations</v>
      </c>
      <c r="E4571" s="3" t="str">
        <f>IFERROR(__xludf.DUMMYFUNCTION("GOOGLETRANSLATE(B4571, ""nl"", ""en"")"),"A cathedral shaped from mist")</f>
        <v>A cathedral shaped from mist</v>
      </c>
    </row>
    <row r="4572" ht="15.75" customHeight="1">
      <c r="A4572" s="3" t="s">
        <v>24</v>
      </c>
      <c r="B4572" s="3" t="s">
        <v>29</v>
      </c>
      <c r="D4572" s="3" t="str">
        <f>IFERROR(__xludf.DUMMYFUNCTION("GOOGLETRANSLATE(A4572, ""nl"", ""en"")"),"Cosmic and Abstract Patterns")</f>
        <v>Cosmic and Abstract Patterns</v>
      </c>
      <c r="E4572" s="3" t="str">
        <f>IFERROR(__xludf.DUMMYFUNCTION("GOOGLETRANSLATE(B4572, ""nl"", ""en"")"),"A galaxy unfolding")</f>
        <v>A galaxy unfolding</v>
      </c>
    </row>
    <row r="4573" ht="15.75" customHeight="1">
      <c r="A4573" s="3" t="s">
        <v>4</v>
      </c>
      <c r="B4573" s="3" t="s">
        <v>20</v>
      </c>
      <c r="D4573" s="3" t="str">
        <f>IFERROR(__xludf.DUMMYFUNCTION("GOOGLETRANSLATE(A4573, ""nl"", ""en"")"),"Architectural and Structural Associations")</f>
        <v>Architectural and Structural Associations</v>
      </c>
      <c r="E4573" s="3" t="str">
        <f>IFERROR(__xludf.DUMMYFUNCTION("GOOGLETRANSLATE(B4573, ""nl"", ""en"")"),"A tower that grows by itself")</f>
        <v>A tower that grows by itself</v>
      </c>
    </row>
    <row r="4574" ht="15.75" customHeight="1">
      <c r="A4574" s="3" t="s">
        <v>9</v>
      </c>
      <c r="B4574" s="3" t="s">
        <v>10</v>
      </c>
      <c r="D4574" s="3" t="str">
        <f>IFERROR(__xludf.DUMMYFUNCTION("GOOGLETRANSLATE(A4574, ""nl"", ""en"")"),"Psychological and Emotional Interpretations")</f>
        <v>Psychological and Emotional Interpretations</v>
      </c>
      <c r="E4574" s="3" t="str">
        <f>IFERROR(__xludf.DUMMYFUNCTION("GOOGLETRANSLATE(B4574, ""nl"", ""en"")"),"A face transforming in light")</f>
        <v>A face transforming in light</v>
      </c>
    </row>
    <row r="4575" ht="15.75" customHeight="1">
      <c r="A4575" s="3" t="s">
        <v>9</v>
      </c>
      <c r="B4575" s="3" t="s">
        <v>11</v>
      </c>
      <c r="D4575" s="3" t="str">
        <f>IFERROR(__xludf.DUMMYFUNCTION("GOOGLETRANSLATE(A4575, ""nl"", ""en"")"),"Psychological and Emotional Interpretations")</f>
        <v>Psychological and Emotional Interpretations</v>
      </c>
      <c r="E4575" s="3" t="str">
        <f>IFERROR(__xludf.DUMMYFUNCTION("GOOGLETRANSLATE(B4575, ""nl"", ""en"")"),"An emotion captured in abstraction")</f>
        <v>An emotion captured in abstraction</v>
      </c>
    </row>
    <row r="4576" ht="15.75" customHeight="1">
      <c r="A4576" s="3" t="s">
        <v>4</v>
      </c>
      <c r="B4576" s="3" t="s">
        <v>6</v>
      </c>
      <c r="D4576" s="3" t="str">
        <f>IFERROR(__xludf.DUMMYFUNCTION("GOOGLETRANSLATE(A4576, ""nl"", ""en"")"),"Architectural and Structural Associations")</f>
        <v>Architectural and Structural Associations</v>
      </c>
      <c r="E4576" s="3" t="str">
        <f>IFERROR(__xludf.DUMMYFUNCTION("GOOGLETRANSLATE(B4576, ""nl"", ""en"")"),"An endless labyrinth")</f>
        <v>An endless labyrinth</v>
      </c>
    </row>
    <row r="4577" ht="15.75" customHeight="1">
      <c r="A4577" s="3" t="s">
        <v>15</v>
      </c>
      <c r="B4577" s="3" t="s">
        <v>26</v>
      </c>
      <c r="D4577" s="3" t="str">
        <f>IFERROR(__xludf.DUMMYFUNCTION("GOOGLETRANSLATE(A4577, ""nl"", ""en"")"),"Animals and Organic Forms")</f>
        <v>Animals and Organic Forms</v>
      </c>
      <c r="E4577" s="3" t="str">
        <f>IFERROR(__xludf.DUMMYFUNCTION("GOOGLETRANSLATE(B4577, ""nl"", ""en"")"),"A frog preparing to jump")</f>
        <v>A frog preparing to jump</v>
      </c>
    </row>
    <row r="4578" ht="15.75" customHeight="1">
      <c r="A4578" s="3" t="s">
        <v>4</v>
      </c>
      <c r="B4578" s="3" t="s">
        <v>6</v>
      </c>
      <c r="D4578" s="3" t="str">
        <f>IFERROR(__xludf.DUMMYFUNCTION("GOOGLETRANSLATE(A4578, ""nl"", ""en"")"),"Architectural and Structural Associations")</f>
        <v>Architectural and Structural Associations</v>
      </c>
      <c r="E4578" s="3" t="str">
        <f>IFERROR(__xludf.DUMMYFUNCTION("GOOGLETRANSLATE(B4578, ""nl"", ""en"")"),"An endless labyrinth")</f>
        <v>An endless labyrinth</v>
      </c>
    </row>
    <row r="4579" ht="15.75" customHeight="1">
      <c r="A4579" s="3" t="s">
        <v>9</v>
      </c>
      <c r="B4579" s="3" t="s">
        <v>10</v>
      </c>
      <c r="D4579" s="3" t="str">
        <f>IFERROR(__xludf.DUMMYFUNCTION("GOOGLETRANSLATE(A4579, ""nl"", ""en"")"),"Psychological and Emotional Interpretations")</f>
        <v>Psychological and Emotional Interpretations</v>
      </c>
      <c r="E4579" s="3" t="str">
        <f>IFERROR(__xludf.DUMMYFUNCTION("GOOGLETRANSLATE(B4579, ""nl"", ""en"")"),"A face transforming in light")</f>
        <v>A face transforming in light</v>
      </c>
    </row>
    <row r="4580" ht="15.75" customHeight="1">
      <c r="A4580" s="3" t="s">
        <v>7</v>
      </c>
      <c r="B4580" s="3" t="s">
        <v>41</v>
      </c>
      <c r="D4580" s="3" t="str">
        <f>IFERROR(__xludf.DUMMYFUNCTION("GOOGLETRANSLATE(A4580, ""nl"", ""en"")"),"Human Figures and Physicality")</f>
        <v>Human Figures and Physicality</v>
      </c>
      <c r="E4580" s="3" t="str">
        <f>IFERROR(__xludf.DUMMYFUNCTION("GOOGLETRANSLATE(B4580, ""nl"", ""en"")"),"A face that fades into abstraction")</f>
        <v>A face that fades into abstraction</v>
      </c>
    </row>
    <row r="4581" ht="15.75" customHeight="1">
      <c r="A4581" s="3" t="s">
        <v>7</v>
      </c>
      <c r="B4581" s="3" t="s">
        <v>53</v>
      </c>
      <c r="D4581" s="3" t="str">
        <f>IFERROR(__xludf.DUMMYFUNCTION("GOOGLETRANSLATE(A4581, ""nl"", ""en"")"),"Human Figures and Physicality")</f>
        <v>Human Figures and Physicality</v>
      </c>
      <c r="E4581" s="3" t="str">
        <f>IFERROR(__xludf.DUMMYFUNCTION("GOOGLETRANSLATE(B4581, ""nl"", ""en"")"),"A face that both smiles and cries")</f>
        <v>A face that both smiles and cries</v>
      </c>
    </row>
    <row r="4582" ht="15.75" customHeight="1">
      <c r="A4582" s="3" t="s">
        <v>15</v>
      </c>
      <c r="B4582" s="3" t="s">
        <v>16</v>
      </c>
      <c r="D4582" s="3" t="str">
        <f>IFERROR(__xludf.DUMMYFUNCTION("GOOGLETRANSLATE(A4582, ""nl"", ""en"")"),"Animals and Organic Forms")</f>
        <v>Animals and Organic Forms</v>
      </c>
      <c r="E4582" s="3" t="str">
        <f>IFERROR(__xludf.DUMMYFUNCTION("GOOGLETRANSLATE(B4582, ""nl"", ""en"")"),"A butterfly in transformation")</f>
        <v>A butterfly in transformation</v>
      </c>
    </row>
    <row r="4583" ht="15.75" customHeight="1">
      <c r="A4583" s="3" t="s">
        <v>15</v>
      </c>
      <c r="B4583" s="3" t="s">
        <v>38</v>
      </c>
      <c r="D4583" s="3" t="str">
        <f>IFERROR(__xludf.DUMMYFUNCTION("GOOGLETRANSLATE(A4583, ""nl"", ""en"")"),"Animals and Organic Forms")</f>
        <v>Animals and Organic Forms</v>
      </c>
      <c r="E4583" s="3" t="str">
        <f>IFERROR(__xludf.DUMMYFUNCTION("GOOGLETRANSLATE(B4583, ""nl"", ""en"")"),"A lion with an open mouth")</f>
        <v>A lion with an open mouth</v>
      </c>
    </row>
    <row r="4584" ht="15.75" customHeight="1">
      <c r="A4584" s="3" t="s">
        <v>24</v>
      </c>
      <c r="B4584" s="3" t="s">
        <v>48</v>
      </c>
      <c r="D4584" s="3" t="str">
        <f>IFERROR(__xludf.DUMMYFUNCTION("GOOGLETRANSLATE(A4584, ""nl"", ""en"")"),"Cosmic and Abstract Patterns")</f>
        <v>Cosmic and Abstract Patterns</v>
      </c>
      <c r="E4584" s="3" t="str">
        <f>IFERROR(__xludf.DUMMYFUNCTION("GOOGLETRANSLATE(B4584, ""nl"", ""en"")"),"A fractal that repeats itself")</f>
        <v>A fractal that repeats itself</v>
      </c>
    </row>
    <row r="4585" ht="15.75" customHeight="1">
      <c r="A4585" s="3" t="s">
        <v>9</v>
      </c>
      <c r="B4585" s="3" t="s">
        <v>42</v>
      </c>
      <c r="D4585" s="3" t="str">
        <f>IFERROR(__xludf.DUMMYFUNCTION("GOOGLETRANSLATE(A4585, ""nl"", ""en"")"),"Psychological and Emotional Interpretations")</f>
        <v>Psychological and Emotional Interpretations</v>
      </c>
      <c r="E4585" s="3" t="str">
        <f>IFERROR(__xludf.DUMMYFUNCTION("GOOGLETRANSLATE(B4585, ""nl"", ""en"")"),"A mask that slowly disappears")</f>
        <v>A mask that slowly disappears</v>
      </c>
    </row>
    <row r="4586" ht="15.75" customHeight="1">
      <c r="A4586" s="3" t="s">
        <v>9</v>
      </c>
      <c r="B4586" s="3" t="s">
        <v>10</v>
      </c>
      <c r="D4586" s="3" t="str">
        <f>IFERROR(__xludf.DUMMYFUNCTION("GOOGLETRANSLATE(A4586, ""nl"", ""en"")"),"Psychological and Emotional Interpretations")</f>
        <v>Psychological and Emotional Interpretations</v>
      </c>
      <c r="E4586" s="3" t="str">
        <f>IFERROR(__xludf.DUMMYFUNCTION("GOOGLETRANSLATE(B4586, ""nl"", ""en"")"),"A face transforming in light")</f>
        <v>A face transforming in light</v>
      </c>
    </row>
    <row r="4587" ht="15.75" customHeight="1">
      <c r="A4587" s="3" t="s">
        <v>9</v>
      </c>
      <c r="B4587" s="3" t="s">
        <v>10</v>
      </c>
      <c r="D4587" s="3" t="str">
        <f>IFERROR(__xludf.DUMMYFUNCTION("GOOGLETRANSLATE(A4587, ""nl"", ""en"")"),"Psychological and Emotional Interpretations")</f>
        <v>Psychological and Emotional Interpretations</v>
      </c>
      <c r="E4587" s="3" t="str">
        <f>IFERROR(__xludf.DUMMYFUNCTION("GOOGLETRANSLATE(B4587, ""nl"", ""en"")"),"A face transforming in light")</f>
        <v>A face transforming in light</v>
      </c>
    </row>
    <row r="4588" ht="15.75" customHeight="1">
      <c r="A4588" s="3" t="s">
        <v>9</v>
      </c>
      <c r="B4588" s="3" t="s">
        <v>11</v>
      </c>
      <c r="D4588" s="3" t="str">
        <f>IFERROR(__xludf.DUMMYFUNCTION("GOOGLETRANSLATE(A4588, ""nl"", ""en"")"),"Psychological and Emotional Interpretations")</f>
        <v>Psychological and Emotional Interpretations</v>
      </c>
      <c r="E4588" s="3" t="str">
        <f>IFERROR(__xludf.DUMMYFUNCTION("GOOGLETRANSLATE(B4588, ""nl"", ""en"")"),"An emotion captured in abstraction")</f>
        <v>An emotion captured in abstraction</v>
      </c>
    </row>
    <row r="4589" ht="15.75" customHeight="1">
      <c r="A4589" s="3" t="s">
        <v>24</v>
      </c>
      <c r="B4589" s="3" t="s">
        <v>31</v>
      </c>
      <c r="D4589" s="3" t="str">
        <f>IFERROR(__xludf.DUMMYFUNCTION("GOOGLETRANSLATE(A4589, ""nl"", ""en"")"),"Cosmic and Abstract Patterns")</f>
        <v>Cosmic and Abstract Patterns</v>
      </c>
      <c r="E4589" s="3" t="str">
        <f>IFERROR(__xludf.DUMMYFUNCTION("GOOGLETRANSLATE(B4589, ""nl"", ""en"")"),"A planet with unusual rings")</f>
        <v>A planet with unusual rings</v>
      </c>
    </row>
    <row r="4590" ht="15.75" customHeight="1">
      <c r="A4590" s="3" t="s">
        <v>9</v>
      </c>
      <c r="B4590" s="3" t="s">
        <v>37</v>
      </c>
      <c r="D4590" s="3" t="str">
        <f>IFERROR(__xludf.DUMMYFUNCTION("GOOGLETRANSLATE(A4590, ""nl"", ""en"")"),"Psychological and Emotional Interpretations")</f>
        <v>Psychological and Emotional Interpretations</v>
      </c>
      <c r="E4590" s="3" t="str">
        <f>IFERROR(__xludf.DUMMYFUNCTION("GOOGLETRANSLATE(B4590, ""nl"", ""en"")"),"A figure looking through itself")</f>
        <v>A figure looking through itself</v>
      </c>
    </row>
    <row r="4591" ht="15.75" customHeight="1">
      <c r="A4591" s="3" t="s">
        <v>7</v>
      </c>
      <c r="B4591" s="3" t="s">
        <v>39</v>
      </c>
      <c r="D4591" s="3" t="str">
        <f>IFERROR(__xludf.DUMMYFUNCTION("GOOGLETRANSLATE(A4591, ""nl"", ""en"")"),"Human Figures and Physicality")</f>
        <v>Human Figures and Physicality</v>
      </c>
      <c r="E4591" s="3" t="str">
        <f>IFERROR(__xludf.DUMMYFUNCTION("GOOGLETRANSLATE(B4591, ""nl"", ""en"")"),"A torso without a head")</f>
        <v>A torso without a head</v>
      </c>
    </row>
    <row r="4592" ht="15.75" customHeight="1">
      <c r="A4592" s="3" t="s">
        <v>15</v>
      </c>
      <c r="B4592" s="3" t="s">
        <v>22</v>
      </c>
      <c r="D4592" s="3" t="str">
        <f>IFERROR(__xludf.DUMMYFUNCTION("GOOGLETRANSLATE(A4592, ""nl"", ""en"")"),"Animals and Organic Forms")</f>
        <v>Animals and Organic Forms</v>
      </c>
      <c r="E4592" s="3" t="str">
        <f>IFERROR(__xludf.DUMMYFUNCTION("GOOGLETRANSLATE(B4592, ""nl"", ""en"")"),"A bird taking off")</f>
        <v>A bird taking off</v>
      </c>
    </row>
    <row r="4593" ht="15.75" customHeight="1">
      <c r="A4593" s="3" t="s">
        <v>9</v>
      </c>
      <c r="B4593" s="3" t="s">
        <v>42</v>
      </c>
      <c r="D4593" s="3" t="str">
        <f>IFERROR(__xludf.DUMMYFUNCTION("GOOGLETRANSLATE(A4593, ""nl"", ""en"")"),"Psychological and Emotional Interpretations")</f>
        <v>Psychological and Emotional Interpretations</v>
      </c>
      <c r="E4593" s="3" t="str">
        <f>IFERROR(__xludf.DUMMYFUNCTION("GOOGLETRANSLATE(B4593, ""nl"", ""en"")"),"A mask that slowly disappears")</f>
        <v>A mask that slowly disappears</v>
      </c>
    </row>
    <row r="4594" ht="15.75" customHeight="1">
      <c r="A4594" s="3" t="s">
        <v>9</v>
      </c>
      <c r="B4594" s="3" t="s">
        <v>14</v>
      </c>
      <c r="D4594" s="3" t="str">
        <f>IFERROR(__xludf.DUMMYFUNCTION("GOOGLETRANSLATE(A4594, ""nl"", ""en"")"),"Psychological and Emotional Interpretations")</f>
        <v>Psychological and Emotional Interpretations</v>
      </c>
      <c r="E4594" s="3" t="str">
        <f>IFERROR(__xludf.DUMMYFUNCTION("GOOGLETRANSLATE(B4594, ""nl"", ""en"")"),"An unclear hug")</f>
        <v>An unclear hug</v>
      </c>
    </row>
    <row r="4595" ht="15.75" customHeight="1">
      <c r="A4595" s="3" t="s">
        <v>7</v>
      </c>
      <c r="B4595" s="3" t="s">
        <v>34</v>
      </c>
      <c r="D4595" s="3" t="str">
        <f>IFERROR(__xludf.DUMMYFUNCTION("GOOGLETRANSLATE(A4595, ""nl"", ""en"")"),"Human Figures and Physicality")</f>
        <v>Human Figures and Physicality</v>
      </c>
      <c r="E4595" s="3" t="str">
        <f>IFERROR(__xludf.DUMMYFUNCTION("GOOGLETRANSLATE(B4595, ""nl"", ""en"")"),"Hands almost touching")</f>
        <v>Hands almost touching</v>
      </c>
    </row>
    <row r="4596" ht="15.75" customHeight="1">
      <c r="A4596" s="3" t="s">
        <v>4</v>
      </c>
      <c r="B4596" s="3" t="s">
        <v>6</v>
      </c>
      <c r="D4596" s="3" t="str">
        <f>IFERROR(__xludf.DUMMYFUNCTION("GOOGLETRANSLATE(A4596, ""nl"", ""en"")"),"Architectural and Structural Associations")</f>
        <v>Architectural and Structural Associations</v>
      </c>
      <c r="E4596" s="3" t="str">
        <f>IFERROR(__xludf.DUMMYFUNCTION("GOOGLETRANSLATE(B4596, ""nl"", ""en"")"),"An endless labyrinth")</f>
        <v>An endless labyrinth</v>
      </c>
    </row>
    <row r="4597" ht="15.75" customHeight="1">
      <c r="A4597" s="3" t="s">
        <v>4</v>
      </c>
      <c r="B4597" s="3" t="s">
        <v>44</v>
      </c>
      <c r="D4597" s="3" t="str">
        <f>IFERROR(__xludf.DUMMYFUNCTION("GOOGLETRANSLATE(A4597, ""nl"", ""en"")"),"Architectural and Structural Associations")</f>
        <v>Architectural and Structural Associations</v>
      </c>
      <c r="E4597" s="3" t="str">
        <f>IFERROR(__xludf.DUMMYFUNCTION("GOOGLETRANSLATE(B4597, ""nl"", ""en"")"),"A structure that pulsates in waves")</f>
        <v>A structure that pulsates in waves</v>
      </c>
    </row>
    <row r="4598" ht="15.75" customHeight="1">
      <c r="A4598" s="3" t="s">
        <v>24</v>
      </c>
      <c r="B4598" s="3" t="s">
        <v>33</v>
      </c>
      <c r="D4598" s="3" t="str">
        <f>IFERROR(__xludf.DUMMYFUNCTION("GOOGLETRANSLATE(A4598, ""nl"", ""en"")"),"Cosmic and Abstract Patterns")</f>
        <v>Cosmic and Abstract Patterns</v>
      </c>
      <c r="E4598" s="3" t="str">
        <f>IFERROR(__xludf.DUMMYFUNCTION("GOOGLETRANSLATE(B4598, ""nl"", ""en"")"),"An eye that repeats itself in endless patterns")</f>
        <v>An eye that repeats itself in endless patterns</v>
      </c>
    </row>
    <row r="4599" ht="15.75" customHeight="1">
      <c r="A4599" s="3" t="s">
        <v>4</v>
      </c>
      <c r="B4599" s="3" t="s">
        <v>55</v>
      </c>
      <c r="D4599" s="3" t="str">
        <f>IFERROR(__xludf.DUMMYFUNCTION("GOOGLETRANSLATE(A4599, ""nl"", ""en"")"),"Architectural and Structural Associations")</f>
        <v>Architectural and Structural Associations</v>
      </c>
      <c r="E4599" s="3" t="str">
        <f>IFERROR(__xludf.DUMMYFUNCTION("GOOGLETRANSLATE(B4599, ""nl"", ""en"")"),"A prism that splits light into colors")</f>
        <v>A prism that splits light into colors</v>
      </c>
    </row>
    <row r="4600" ht="15.75" customHeight="1">
      <c r="A4600" s="3" t="s">
        <v>4</v>
      </c>
      <c r="B4600" s="3" t="s">
        <v>21</v>
      </c>
      <c r="D4600" s="3" t="str">
        <f>IFERROR(__xludf.DUMMYFUNCTION("GOOGLETRANSLATE(A4600, ""nl"", ""en"")"),"Architectural and Structural Associations")</f>
        <v>Architectural and Structural Associations</v>
      </c>
      <c r="E4600" s="3" t="str">
        <f>IFERROR(__xludf.DUMMYFUNCTION("GOOGLETRANSLATE(B4600, ""nl"", ""en"")"),"A bridge that leads nowhere")</f>
        <v>A bridge that leads nowhere</v>
      </c>
    </row>
    <row r="4601" ht="15.75" customHeight="1">
      <c r="A4601" s="3" t="s">
        <v>12</v>
      </c>
      <c r="B4601" s="3" t="s">
        <v>19</v>
      </c>
      <c r="D4601" s="3" t="str">
        <f>IFERROR(__xludf.DUMMYFUNCTION("GOOGLETRANSLATE(A4601, ""nl"", ""en"")"),"Nature and Elements")</f>
        <v>Nature and Elements</v>
      </c>
      <c r="E4601" s="3" t="str">
        <f>IFERROR(__xludf.DUMMYFUNCTION("GOOGLETRANSLATE(B4601, ""nl"", ""en"")"),"A mountain range that seems to breathe")</f>
        <v>A mountain range that seems to breathe</v>
      </c>
    </row>
    <row r="4602" ht="15.75" customHeight="1">
      <c r="A4602" s="3" t="s">
        <v>15</v>
      </c>
      <c r="B4602" s="3" t="s">
        <v>52</v>
      </c>
      <c r="D4602" s="3" t="str">
        <f>IFERROR(__xludf.DUMMYFUNCTION("GOOGLETRANSLATE(A4602, ""nl"", ""en"")"),"Animals and Organic Forms")</f>
        <v>Animals and Organic Forms</v>
      </c>
      <c r="E4602" s="3" t="str">
        <f>IFERROR(__xludf.DUMMYFUNCTION("GOOGLETRANSLATE(B4602, ""nl"", ""en"")"),"A mask made of leaves")</f>
        <v>A mask made of leaves</v>
      </c>
    </row>
    <row r="4603" ht="15.75" customHeight="1">
      <c r="A4603" s="3" t="s">
        <v>7</v>
      </c>
      <c r="B4603" s="3" t="s">
        <v>28</v>
      </c>
      <c r="D4603" s="3" t="str">
        <f>IFERROR(__xludf.DUMMYFUNCTION("GOOGLETRANSLATE(A4603, ""nl"", ""en"")"),"Human Figures and Physicality")</f>
        <v>Human Figures and Physicality</v>
      </c>
      <c r="E4603" s="3" t="str">
        <f>IFERROR(__xludf.DUMMYFUNCTION("GOOGLETRANSLATE(B4603, ""nl"", ""en"")"),"A dancing silhouette")</f>
        <v>A dancing silhouette</v>
      </c>
    </row>
    <row r="4604" ht="15.75" customHeight="1">
      <c r="A4604" s="3" t="s">
        <v>15</v>
      </c>
      <c r="B4604" s="3" t="s">
        <v>16</v>
      </c>
      <c r="D4604" s="3" t="str">
        <f>IFERROR(__xludf.DUMMYFUNCTION("GOOGLETRANSLATE(A4604, ""nl"", ""en"")"),"Animals and Organic Forms")</f>
        <v>Animals and Organic Forms</v>
      </c>
      <c r="E4604" s="3" t="str">
        <f>IFERROR(__xludf.DUMMYFUNCTION("GOOGLETRANSLATE(B4604, ""nl"", ""en"")"),"A butterfly in transformation")</f>
        <v>A butterfly in transformation</v>
      </c>
    </row>
    <row r="4605" ht="15.75" customHeight="1">
      <c r="A4605" s="3" t="s">
        <v>24</v>
      </c>
      <c r="B4605" s="3" t="s">
        <v>27</v>
      </c>
      <c r="D4605" s="3" t="str">
        <f>IFERROR(__xludf.DUMMYFUNCTION("GOOGLETRANSLATE(A4605, ""nl"", ""en"")"),"Cosmic and Abstract Patterns")</f>
        <v>Cosmic and Abstract Patterns</v>
      </c>
      <c r="E4605" s="3" t="str">
        <f>IFERROR(__xludf.DUMMYFUNCTION("GOOGLETRANSLATE(B4605, ""nl"", ""en"")"),"A pair of black holes in dance")</f>
        <v>A pair of black holes in dance</v>
      </c>
    </row>
    <row r="4606" ht="15.75" customHeight="1">
      <c r="A4606" s="3" t="s">
        <v>4</v>
      </c>
      <c r="B4606" s="3" t="s">
        <v>44</v>
      </c>
      <c r="D4606" s="3" t="str">
        <f>IFERROR(__xludf.DUMMYFUNCTION("GOOGLETRANSLATE(A4606, ""nl"", ""en"")"),"Architectural and Structural Associations")</f>
        <v>Architectural and Structural Associations</v>
      </c>
      <c r="E4606" s="3" t="str">
        <f>IFERROR(__xludf.DUMMYFUNCTION("GOOGLETRANSLATE(B4606, ""nl"", ""en"")"),"A structure that pulsates in waves")</f>
        <v>A structure that pulsates in waves</v>
      </c>
    </row>
    <row r="4607" ht="15.75" customHeight="1">
      <c r="A4607" s="3" t="s">
        <v>9</v>
      </c>
      <c r="B4607" s="3" t="s">
        <v>14</v>
      </c>
      <c r="D4607" s="3" t="str">
        <f>IFERROR(__xludf.DUMMYFUNCTION("GOOGLETRANSLATE(A4607, ""nl"", ""en"")"),"Psychological and Emotional Interpretations")</f>
        <v>Psychological and Emotional Interpretations</v>
      </c>
      <c r="E4607" s="3" t="str">
        <f>IFERROR(__xludf.DUMMYFUNCTION("GOOGLETRANSLATE(B4607, ""nl"", ""en"")"),"An unclear hug")</f>
        <v>An unclear hug</v>
      </c>
    </row>
    <row r="4608" ht="15.75" customHeight="1">
      <c r="A4608" s="3" t="s">
        <v>12</v>
      </c>
      <c r="B4608" s="3" t="s">
        <v>47</v>
      </c>
      <c r="D4608" s="3" t="str">
        <f>IFERROR(__xludf.DUMMYFUNCTION("GOOGLETRANSLATE(A4608, ""nl"", ""en"")"),"Nature and Elements")</f>
        <v>Nature and Elements</v>
      </c>
      <c r="E4608" s="3" t="str">
        <f>IFERROR(__xludf.DUMMYFUNCTION("GOOGLETRANSLATE(B4608, ""nl"", ""en"")"),"A desert landscape that slowly changes")</f>
        <v>A desert landscape that slowly changes</v>
      </c>
    </row>
    <row r="4609" ht="15.75" customHeight="1">
      <c r="A4609" s="3" t="s">
        <v>12</v>
      </c>
      <c r="B4609" s="3" t="s">
        <v>47</v>
      </c>
      <c r="D4609" s="3" t="str">
        <f>IFERROR(__xludf.DUMMYFUNCTION("GOOGLETRANSLATE(A4609, ""nl"", ""en"")"),"Nature and Elements")</f>
        <v>Nature and Elements</v>
      </c>
      <c r="E4609" s="3" t="str">
        <f>IFERROR(__xludf.DUMMYFUNCTION("GOOGLETRANSLATE(B4609, ""nl"", ""en"")"),"A desert landscape that slowly changes")</f>
        <v>A desert landscape that slowly changes</v>
      </c>
    </row>
    <row r="4610" ht="15.75" customHeight="1">
      <c r="A4610" s="3" t="s">
        <v>24</v>
      </c>
      <c r="B4610" s="3" t="s">
        <v>27</v>
      </c>
      <c r="D4610" s="3" t="str">
        <f>IFERROR(__xludf.DUMMYFUNCTION("GOOGLETRANSLATE(A4610, ""nl"", ""en"")"),"Cosmic and Abstract Patterns")</f>
        <v>Cosmic and Abstract Patterns</v>
      </c>
      <c r="E4610" s="3" t="str">
        <f>IFERROR(__xludf.DUMMYFUNCTION("GOOGLETRANSLATE(B4610, ""nl"", ""en"")"),"A pair of black holes in dance")</f>
        <v>A pair of black holes in dance</v>
      </c>
    </row>
    <row r="4611" ht="15.75" customHeight="1">
      <c r="A4611" s="3" t="s">
        <v>9</v>
      </c>
      <c r="B4611" s="3" t="s">
        <v>37</v>
      </c>
      <c r="D4611" s="3" t="str">
        <f>IFERROR(__xludf.DUMMYFUNCTION("GOOGLETRANSLATE(A4611, ""nl"", ""en"")"),"Psychological and Emotional Interpretations")</f>
        <v>Psychological and Emotional Interpretations</v>
      </c>
      <c r="E4611" s="3" t="str">
        <f>IFERROR(__xludf.DUMMYFUNCTION("GOOGLETRANSLATE(B4611, ""nl"", ""en"")"),"A figure looking through itself")</f>
        <v>A figure looking through itself</v>
      </c>
    </row>
    <row r="4612" ht="15.75" customHeight="1">
      <c r="A4612" s="3" t="s">
        <v>4</v>
      </c>
      <c r="B4612" s="3" t="s">
        <v>6</v>
      </c>
      <c r="D4612" s="3" t="str">
        <f>IFERROR(__xludf.DUMMYFUNCTION("GOOGLETRANSLATE(A4612, ""nl"", ""en"")"),"Architectural and Structural Associations")</f>
        <v>Architectural and Structural Associations</v>
      </c>
      <c r="E4612" s="3" t="str">
        <f>IFERROR(__xludf.DUMMYFUNCTION("GOOGLETRANSLATE(B4612, ""nl"", ""en"")"),"An endless labyrinth")</f>
        <v>An endless labyrinth</v>
      </c>
    </row>
    <row r="4613" ht="15.75" customHeight="1">
      <c r="A4613" s="3" t="s">
        <v>12</v>
      </c>
      <c r="B4613" s="3" t="s">
        <v>36</v>
      </c>
      <c r="D4613" s="3" t="str">
        <f>IFERROR(__xludf.DUMMYFUNCTION("GOOGLETRANSLATE(A4613, ""nl"", ""en"")"),"Nature and Elements")</f>
        <v>Nature and Elements</v>
      </c>
      <c r="E4613" s="3" t="str">
        <f>IFERROR(__xludf.DUMMYFUNCTION("GOOGLETRANSLATE(B4613, ""nl"", ""en"")"),"A river delta from a bird's-eye view")</f>
        <v>A river delta from a bird's-eye view</v>
      </c>
    </row>
    <row r="4614" ht="15.75" customHeight="1">
      <c r="A4614" s="3" t="s">
        <v>24</v>
      </c>
      <c r="B4614" s="3" t="s">
        <v>54</v>
      </c>
      <c r="D4614" s="3" t="str">
        <f>IFERROR(__xludf.DUMMYFUNCTION("GOOGLETRANSLATE(A4614, ""nl"", ""en"")"),"Cosmic and Abstract Patterns")</f>
        <v>Cosmic and Abstract Patterns</v>
      </c>
      <c r="E4614" s="3" t="str">
        <f>IFERROR(__xludf.DUMMYFUNCTION("GOOGLETRANSLATE(B4614, ""nl"", ""en"")"),"A quantum particle in superposition")</f>
        <v>A quantum particle in superposition</v>
      </c>
    </row>
    <row r="4615" ht="15.75" customHeight="1">
      <c r="A4615" s="3" t="s">
        <v>9</v>
      </c>
      <c r="B4615" s="3" t="s">
        <v>10</v>
      </c>
      <c r="D4615" s="3" t="str">
        <f>IFERROR(__xludf.DUMMYFUNCTION("GOOGLETRANSLATE(A4615, ""nl"", ""en"")"),"Psychological and Emotional Interpretations")</f>
        <v>Psychological and Emotional Interpretations</v>
      </c>
      <c r="E4615" s="3" t="str">
        <f>IFERROR(__xludf.DUMMYFUNCTION("GOOGLETRANSLATE(B4615, ""nl"", ""en"")"),"A face transforming in light")</f>
        <v>A face transforming in light</v>
      </c>
    </row>
    <row r="4616" ht="15.75" customHeight="1">
      <c r="A4616" s="3" t="s">
        <v>15</v>
      </c>
      <c r="B4616" s="3" t="s">
        <v>16</v>
      </c>
      <c r="D4616" s="3" t="str">
        <f>IFERROR(__xludf.DUMMYFUNCTION("GOOGLETRANSLATE(A4616, ""nl"", ""en"")"),"Animals and Organic Forms")</f>
        <v>Animals and Organic Forms</v>
      </c>
      <c r="E4616" s="3" t="str">
        <f>IFERROR(__xludf.DUMMYFUNCTION("GOOGLETRANSLATE(B4616, ""nl"", ""en"")"),"A butterfly in transformation")</f>
        <v>A butterfly in transformation</v>
      </c>
    </row>
    <row r="4617" ht="15.75" customHeight="1">
      <c r="A4617" s="3" t="s">
        <v>4</v>
      </c>
      <c r="B4617" s="3" t="s">
        <v>6</v>
      </c>
      <c r="D4617" s="3" t="str">
        <f>IFERROR(__xludf.DUMMYFUNCTION("GOOGLETRANSLATE(A4617, ""nl"", ""en"")"),"Architectural and Structural Associations")</f>
        <v>Architectural and Structural Associations</v>
      </c>
      <c r="E4617" s="3" t="str">
        <f>IFERROR(__xludf.DUMMYFUNCTION("GOOGLETRANSLATE(B4617, ""nl"", ""en"")"),"An endless labyrinth")</f>
        <v>An endless labyrinth</v>
      </c>
    </row>
    <row r="4618" ht="15.75" customHeight="1">
      <c r="A4618" s="3" t="s">
        <v>12</v>
      </c>
      <c r="B4618" s="3" t="s">
        <v>23</v>
      </c>
      <c r="D4618" s="3" t="str">
        <f>IFERROR(__xludf.DUMMYFUNCTION("GOOGLETRANSLATE(A4618, ""nl"", ""en"")"),"Nature and Elements")</f>
        <v>Nature and Elements</v>
      </c>
      <c r="E4618" s="3" t="str">
        <f>IFERROR(__xludf.DUMMYFUNCTION("GOOGLETRANSLATE(B4618, ""nl"", ""en"")"),"A storm cloud splitting in two")</f>
        <v>A storm cloud splitting in two</v>
      </c>
    </row>
    <row r="4619" ht="15.75" customHeight="1">
      <c r="A4619" s="3" t="s">
        <v>15</v>
      </c>
      <c r="B4619" s="3" t="s">
        <v>45</v>
      </c>
      <c r="D4619" s="3" t="str">
        <f>IFERROR(__xludf.DUMMYFUNCTION("GOOGLETRANSLATE(A4619, ""nl"", ""en"")"),"Animals and Organic Forms")</f>
        <v>Animals and Organic Forms</v>
      </c>
      <c r="E4619" s="3" t="str">
        <f>IFERROR(__xludf.DUMMYFUNCTION("GOOGLETRANSLATE(B4619, ""nl"", ""en"")"),"A snake biting its own tail")</f>
        <v>A snake biting its own tail</v>
      </c>
    </row>
    <row r="4620" ht="15.75" customHeight="1">
      <c r="A4620" s="3" t="s">
        <v>7</v>
      </c>
      <c r="B4620" s="3" t="s">
        <v>40</v>
      </c>
      <c r="D4620" s="3" t="str">
        <f>IFERROR(__xludf.DUMMYFUNCTION("GOOGLETRANSLATE(A4620, ""nl"", ""en"")"),"Human Figures and Physicality")</f>
        <v>Human Figures and Physicality</v>
      </c>
      <c r="E4620" s="3" t="str">
        <f>IFERROR(__xludf.DUMMYFUNCTION("GOOGLETRANSLATE(B4620, ""nl"", ""en"")"),"A figure who is withdrawn into himself")</f>
        <v>A figure who is withdrawn into himself</v>
      </c>
    </row>
    <row r="4621" ht="15.75" customHeight="1">
      <c r="A4621" s="3" t="s">
        <v>24</v>
      </c>
      <c r="B4621" s="3" t="s">
        <v>54</v>
      </c>
      <c r="D4621" s="3" t="str">
        <f>IFERROR(__xludf.DUMMYFUNCTION("GOOGLETRANSLATE(A4621, ""nl"", ""en"")"),"Cosmic and Abstract Patterns")</f>
        <v>Cosmic and Abstract Patterns</v>
      </c>
      <c r="E4621" s="3" t="str">
        <f>IFERROR(__xludf.DUMMYFUNCTION("GOOGLETRANSLATE(B4621, ""nl"", ""en"")"),"A quantum particle in superposition")</f>
        <v>A quantum particle in superposition</v>
      </c>
    </row>
    <row r="4622" ht="15.75" customHeight="1">
      <c r="A4622" s="3" t="s">
        <v>9</v>
      </c>
      <c r="B4622" s="3" t="s">
        <v>57</v>
      </c>
      <c r="D4622" s="3" t="str">
        <f>IFERROR(__xludf.DUMMYFUNCTION("GOOGLETRANSLATE(A4622, ""nl"", ""en"")"),"Psychological and Emotional Interpretations")</f>
        <v>Psychological and Emotional Interpretations</v>
      </c>
      <c r="E4622" s="3" t="str">
        <f>IFERROR(__xludf.DUMMYFUNCTION("GOOGLETRANSLATE(B4622, ""nl"", ""en"")"),"An explosion of colours and feelings")</f>
        <v>An explosion of colours and feelings</v>
      </c>
    </row>
    <row r="4623" ht="15.75" customHeight="1">
      <c r="A4623" s="3" t="s">
        <v>24</v>
      </c>
      <c r="B4623" s="3" t="s">
        <v>33</v>
      </c>
      <c r="D4623" s="3" t="str">
        <f>IFERROR(__xludf.DUMMYFUNCTION("GOOGLETRANSLATE(A4623, ""nl"", ""en"")"),"Cosmic and Abstract Patterns")</f>
        <v>Cosmic and Abstract Patterns</v>
      </c>
      <c r="E4623" s="3" t="str">
        <f>IFERROR(__xludf.DUMMYFUNCTION("GOOGLETRANSLATE(B4623, ""nl"", ""en"")"),"An eye that repeats itself in endless patterns")</f>
        <v>An eye that repeats itself in endless patterns</v>
      </c>
    </row>
    <row r="4624" ht="15.75" customHeight="1">
      <c r="A4624" s="3" t="s">
        <v>12</v>
      </c>
      <c r="B4624" s="3" t="s">
        <v>30</v>
      </c>
      <c r="D4624" s="3" t="str">
        <f>IFERROR(__xludf.DUMMYFUNCTION("GOOGLETRANSLATE(A4624, ""nl"", ""en"")"),"Nature and Elements")</f>
        <v>Nature and Elements</v>
      </c>
      <c r="E4624" s="3" t="str">
        <f>IFERROR(__xludf.DUMMYFUNCTION("GOOGLETRANSLATE(B4624, ""nl"", ""en"")"),"Waves breaking in fractal patterns")</f>
        <v>Waves breaking in fractal patterns</v>
      </c>
    </row>
    <row r="4625" ht="15.75" customHeight="1">
      <c r="A4625" s="3" t="s">
        <v>9</v>
      </c>
      <c r="B4625" s="3" t="s">
        <v>17</v>
      </c>
      <c r="D4625" s="3" t="str">
        <f>IFERROR(__xludf.DUMMYFUNCTION("GOOGLETRANSLATE(A4625, ""nl"", ""en"")"),"Psychological and Emotional Interpretations")</f>
        <v>Psychological and Emotional Interpretations</v>
      </c>
      <c r="E4625" s="3" t="str">
        <f>IFERROR(__xludf.DUMMYFUNCTION("GOOGLETRANSLATE(B4625, ""nl"", ""en"")"),"A figure that seems to melt")</f>
        <v>A figure that seems to melt</v>
      </c>
    </row>
    <row r="4626" ht="15.75" customHeight="1">
      <c r="A4626" s="3" t="s">
        <v>15</v>
      </c>
      <c r="B4626" s="3" t="s">
        <v>45</v>
      </c>
      <c r="D4626" s="3" t="str">
        <f>IFERROR(__xludf.DUMMYFUNCTION("GOOGLETRANSLATE(A4626, ""nl"", ""en"")"),"Animals and Organic Forms")</f>
        <v>Animals and Organic Forms</v>
      </c>
      <c r="E4626" s="3" t="str">
        <f>IFERROR(__xludf.DUMMYFUNCTION("GOOGLETRANSLATE(B4626, ""nl"", ""en"")"),"A snake biting its own tail")</f>
        <v>A snake biting its own tail</v>
      </c>
    </row>
    <row r="4627" ht="15.75" customHeight="1">
      <c r="A4627" s="3" t="s">
        <v>12</v>
      </c>
      <c r="B4627" s="3" t="s">
        <v>19</v>
      </c>
      <c r="D4627" s="3" t="str">
        <f>IFERROR(__xludf.DUMMYFUNCTION("GOOGLETRANSLATE(A4627, ""nl"", ""en"")"),"Nature and Elements")</f>
        <v>Nature and Elements</v>
      </c>
      <c r="E4627" s="3" t="str">
        <f>IFERROR(__xludf.DUMMYFUNCTION("GOOGLETRANSLATE(B4627, ""nl"", ""en"")"),"A mountain range that seems to breathe")</f>
        <v>A mountain range that seems to breathe</v>
      </c>
    </row>
    <row r="4628" ht="15.75" customHeight="1">
      <c r="A4628" s="3" t="s">
        <v>15</v>
      </c>
      <c r="B4628" s="3" t="s">
        <v>45</v>
      </c>
      <c r="D4628" s="3" t="str">
        <f>IFERROR(__xludf.DUMMYFUNCTION("GOOGLETRANSLATE(A4628, ""nl"", ""en"")"),"Animals and Organic Forms")</f>
        <v>Animals and Organic Forms</v>
      </c>
      <c r="E4628" s="3" t="str">
        <f>IFERROR(__xludf.DUMMYFUNCTION("GOOGLETRANSLATE(B4628, ""nl"", ""en"")"),"A snake biting its own tail")</f>
        <v>A snake biting its own tail</v>
      </c>
    </row>
    <row r="4629" ht="15.75" customHeight="1">
      <c r="A4629" s="3" t="s">
        <v>24</v>
      </c>
      <c r="B4629" s="3" t="s">
        <v>48</v>
      </c>
      <c r="D4629" s="3" t="str">
        <f>IFERROR(__xludf.DUMMYFUNCTION("GOOGLETRANSLATE(A4629, ""nl"", ""en"")"),"Cosmic and Abstract Patterns")</f>
        <v>Cosmic and Abstract Patterns</v>
      </c>
      <c r="E4629" s="3" t="str">
        <f>IFERROR(__xludf.DUMMYFUNCTION("GOOGLETRANSLATE(B4629, ""nl"", ""en"")"),"A fractal that repeats itself")</f>
        <v>A fractal that repeats itself</v>
      </c>
    </row>
    <row r="4630" ht="15.75" customHeight="1">
      <c r="A4630" s="3" t="s">
        <v>15</v>
      </c>
      <c r="B4630" s="3" t="s">
        <v>22</v>
      </c>
      <c r="D4630" s="3" t="str">
        <f>IFERROR(__xludf.DUMMYFUNCTION("GOOGLETRANSLATE(A4630, ""nl"", ""en"")"),"Animals and Organic Forms")</f>
        <v>Animals and Organic Forms</v>
      </c>
      <c r="E4630" s="3" t="str">
        <f>IFERROR(__xludf.DUMMYFUNCTION("GOOGLETRANSLATE(B4630, ""nl"", ""en"")"),"A bird taking off")</f>
        <v>A bird taking off</v>
      </c>
    </row>
    <row r="4631" ht="15.75" customHeight="1">
      <c r="A4631" s="3" t="s">
        <v>7</v>
      </c>
      <c r="B4631" s="3" t="s">
        <v>56</v>
      </c>
      <c r="D4631" s="3" t="str">
        <f>IFERROR(__xludf.DUMMYFUNCTION("GOOGLETRANSLATE(A4631, ""nl"", ""en"")"),"Human Figures and Physicality")</f>
        <v>Human Figures and Physicality</v>
      </c>
      <c r="E4631" s="3" t="str">
        <f>IFERROR(__xludf.DUMMYFUNCTION("GOOGLETRANSLATE(B4631, ""nl"", ""en"")"),"A shadow that seems to move")</f>
        <v>A shadow that seems to move</v>
      </c>
    </row>
    <row r="4632" ht="15.75" customHeight="1">
      <c r="A4632" s="3" t="s">
        <v>15</v>
      </c>
      <c r="B4632" s="3" t="s">
        <v>52</v>
      </c>
      <c r="D4632" s="3" t="str">
        <f>IFERROR(__xludf.DUMMYFUNCTION("GOOGLETRANSLATE(A4632, ""nl"", ""en"")"),"Animals and Organic Forms")</f>
        <v>Animals and Organic Forms</v>
      </c>
      <c r="E4632" s="3" t="str">
        <f>IFERROR(__xludf.DUMMYFUNCTION("GOOGLETRANSLATE(B4632, ""nl"", ""en"")"),"A mask made of leaves")</f>
        <v>A mask made of leaves</v>
      </c>
    </row>
    <row r="4633" ht="15.75" customHeight="1">
      <c r="A4633" s="3" t="s">
        <v>15</v>
      </c>
      <c r="B4633" s="3" t="s">
        <v>22</v>
      </c>
      <c r="D4633" s="3" t="str">
        <f>IFERROR(__xludf.DUMMYFUNCTION("GOOGLETRANSLATE(A4633, ""nl"", ""en"")"),"Animals and Organic Forms")</f>
        <v>Animals and Organic Forms</v>
      </c>
      <c r="E4633" s="3" t="str">
        <f>IFERROR(__xludf.DUMMYFUNCTION("GOOGLETRANSLATE(B4633, ""nl"", ""en"")"),"A bird taking off")</f>
        <v>A bird taking off</v>
      </c>
    </row>
    <row r="4634" ht="15.75" customHeight="1">
      <c r="A4634" s="3" t="s">
        <v>4</v>
      </c>
      <c r="B4634" s="3" t="s">
        <v>5</v>
      </c>
      <c r="D4634" s="3" t="str">
        <f>IFERROR(__xludf.DUMMYFUNCTION("GOOGLETRANSLATE(A4634, ""nl"", ""en"")"),"Architectural and Structural Associations")</f>
        <v>Architectural and Structural Associations</v>
      </c>
      <c r="E4634" s="3" t="str">
        <f>IFERROR(__xludf.DUMMYFUNCTION("GOOGLETRANSLATE(B4634, ""nl"", ""en"")"),"A cathedral shaped from mist")</f>
        <v>A cathedral shaped from mist</v>
      </c>
    </row>
    <row r="4635" ht="15.75" customHeight="1">
      <c r="A4635" s="3" t="s">
        <v>7</v>
      </c>
      <c r="B4635" s="3" t="s">
        <v>41</v>
      </c>
      <c r="D4635" s="3" t="str">
        <f>IFERROR(__xludf.DUMMYFUNCTION("GOOGLETRANSLATE(A4635, ""nl"", ""en"")"),"Human Figures and Physicality")</f>
        <v>Human Figures and Physicality</v>
      </c>
      <c r="E4635" s="3" t="str">
        <f>IFERROR(__xludf.DUMMYFUNCTION("GOOGLETRANSLATE(B4635, ""nl"", ""en"")"),"A face that fades into abstraction")</f>
        <v>A face that fades into abstraction</v>
      </c>
    </row>
    <row r="4636" ht="15.75" customHeight="1">
      <c r="A4636" s="3" t="s">
        <v>9</v>
      </c>
      <c r="B4636" s="3" t="s">
        <v>17</v>
      </c>
      <c r="D4636" s="3" t="str">
        <f>IFERROR(__xludf.DUMMYFUNCTION("GOOGLETRANSLATE(A4636, ""nl"", ""en"")"),"Psychological and Emotional Interpretations")</f>
        <v>Psychological and Emotional Interpretations</v>
      </c>
      <c r="E4636" s="3" t="str">
        <f>IFERROR(__xludf.DUMMYFUNCTION("GOOGLETRANSLATE(B4636, ""nl"", ""en"")"),"A figure that seems to melt")</f>
        <v>A figure that seems to melt</v>
      </c>
    </row>
    <row r="4637" ht="15.75" customHeight="1">
      <c r="A4637" s="3" t="s">
        <v>4</v>
      </c>
      <c r="B4637" s="3" t="s">
        <v>35</v>
      </c>
      <c r="D4637" s="3" t="str">
        <f>IFERROR(__xludf.DUMMYFUNCTION("GOOGLETRANSLATE(A4637, ""nl"", ""en"")"),"Architectural and Structural Associations")</f>
        <v>Architectural and Structural Associations</v>
      </c>
      <c r="E4637" s="3" t="str">
        <f>IFERROR(__xludf.DUMMYFUNCTION("GOOGLETRANSLATE(B4637, ""nl"", ""en"")"),"A floating building without a base")</f>
        <v>A floating building without a base</v>
      </c>
    </row>
    <row r="4638" ht="15.75" customHeight="1">
      <c r="A4638" s="3" t="s">
        <v>12</v>
      </c>
      <c r="B4638" s="3" t="s">
        <v>30</v>
      </c>
      <c r="D4638" s="3" t="str">
        <f>IFERROR(__xludf.DUMMYFUNCTION("GOOGLETRANSLATE(A4638, ""nl"", ""en"")"),"Nature and Elements")</f>
        <v>Nature and Elements</v>
      </c>
      <c r="E4638" s="3" t="str">
        <f>IFERROR(__xludf.DUMMYFUNCTION("GOOGLETRANSLATE(B4638, ""nl"", ""en"")"),"Waves breaking in fractal patterns")</f>
        <v>Waves breaking in fractal patterns</v>
      </c>
    </row>
    <row r="4639" ht="15.75" customHeight="1">
      <c r="A4639" s="3" t="s">
        <v>12</v>
      </c>
      <c r="B4639" s="3" t="s">
        <v>19</v>
      </c>
      <c r="D4639" s="3" t="str">
        <f>IFERROR(__xludf.DUMMYFUNCTION("GOOGLETRANSLATE(A4639, ""nl"", ""en"")"),"Nature and Elements")</f>
        <v>Nature and Elements</v>
      </c>
      <c r="E4639" s="3" t="str">
        <f>IFERROR(__xludf.DUMMYFUNCTION("GOOGLETRANSLATE(B4639, ""nl"", ""en"")"),"A mountain range that seems to breathe")</f>
        <v>A mountain range that seems to breathe</v>
      </c>
    </row>
    <row r="4640" ht="15.75" customHeight="1">
      <c r="A4640" s="3" t="s">
        <v>24</v>
      </c>
      <c r="B4640" s="3" t="s">
        <v>32</v>
      </c>
      <c r="D4640" s="3" t="str">
        <f>IFERROR(__xludf.DUMMYFUNCTION("GOOGLETRANSLATE(A4640, ""nl"", ""en"")"),"Cosmic and Abstract Patterns")</f>
        <v>Cosmic and Abstract Patterns</v>
      </c>
      <c r="E4640" s="3" t="str">
        <f>IFERROR(__xludf.DUMMYFUNCTION("GOOGLETRANSLATE(B4640, ""nl"", ""en"")"),"A time loop captured in image")</f>
        <v>A time loop captured in image</v>
      </c>
    </row>
    <row r="4641" ht="15.75" customHeight="1">
      <c r="A4641" s="3" t="s">
        <v>4</v>
      </c>
      <c r="B4641" s="3" t="s">
        <v>35</v>
      </c>
      <c r="D4641" s="3" t="str">
        <f>IFERROR(__xludf.DUMMYFUNCTION("GOOGLETRANSLATE(A4641, ""nl"", ""en"")"),"Architectural and Structural Associations")</f>
        <v>Architectural and Structural Associations</v>
      </c>
      <c r="E4641" s="3" t="str">
        <f>IFERROR(__xludf.DUMMYFUNCTION("GOOGLETRANSLATE(B4641, ""nl"", ""en"")"),"A floating building without a base")</f>
        <v>A floating building without a base</v>
      </c>
    </row>
    <row r="4642" ht="15.75" customHeight="1">
      <c r="A4642" s="3" t="s">
        <v>7</v>
      </c>
      <c r="B4642" s="3" t="s">
        <v>34</v>
      </c>
      <c r="D4642" s="3" t="str">
        <f>IFERROR(__xludf.DUMMYFUNCTION("GOOGLETRANSLATE(A4642, ""nl"", ""en"")"),"Human Figures and Physicality")</f>
        <v>Human Figures and Physicality</v>
      </c>
      <c r="E4642" s="3" t="str">
        <f>IFERROR(__xludf.DUMMYFUNCTION("GOOGLETRANSLATE(B4642, ""nl"", ""en"")"),"Hands almost touching")</f>
        <v>Hands almost touching</v>
      </c>
    </row>
    <row r="4643" ht="15.75" customHeight="1">
      <c r="A4643" s="3" t="s">
        <v>12</v>
      </c>
      <c r="B4643" s="3" t="s">
        <v>18</v>
      </c>
      <c r="D4643" s="3" t="str">
        <f>IFERROR(__xludf.DUMMYFUNCTION("GOOGLETRANSLATE(A4643, ""nl"", ""en"")"),"Nature and Elements")</f>
        <v>Nature and Elements</v>
      </c>
      <c r="E4643" s="3" t="str">
        <f>IFERROR(__xludf.DUMMYFUNCTION("GOOGLETRANSLATE(B4643, ""nl"", ""en"")"),"A tree with endless branches")</f>
        <v>A tree with endless branches</v>
      </c>
    </row>
    <row r="4644" ht="15.75" customHeight="1">
      <c r="A4644" s="3" t="s">
        <v>12</v>
      </c>
      <c r="B4644" s="3" t="s">
        <v>23</v>
      </c>
      <c r="D4644" s="3" t="str">
        <f>IFERROR(__xludf.DUMMYFUNCTION("GOOGLETRANSLATE(A4644, ""nl"", ""en"")"),"Nature and Elements")</f>
        <v>Nature and Elements</v>
      </c>
      <c r="E4644" s="3" t="str">
        <f>IFERROR(__xludf.DUMMYFUNCTION("GOOGLETRANSLATE(B4644, ""nl"", ""en"")"),"A storm cloud splitting in two")</f>
        <v>A storm cloud splitting in two</v>
      </c>
    </row>
    <row r="4645" ht="15.75" customHeight="1">
      <c r="A4645" s="3" t="s">
        <v>9</v>
      </c>
      <c r="B4645" s="3" t="s">
        <v>49</v>
      </c>
      <c r="D4645" s="3" t="str">
        <f>IFERROR(__xludf.DUMMYFUNCTION("GOOGLETRANSLATE(A4645, ""nl"", ""en"")"),"Psychological and Emotional Interpretations")</f>
        <v>Psychological and Emotional Interpretations</v>
      </c>
      <c r="E4645" s="3" t="str">
        <f>IFERROR(__xludf.DUMMYFUNCTION("GOOGLETRANSLATE(B4645, ""nl"", ""en"")"),"A spiral that turns inward")</f>
        <v>A spiral that turns inward</v>
      </c>
    </row>
    <row r="4646" ht="15.75" customHeight="1">
      <c r="A4646" s="3" t="s">
        <v>9</v>
      </c>
      <c r="B4646" s="3" t="s">
        <v>42</v>
      </c>
      <c r="D4646" s="3" t="str">
        <f>IFERROR(__xludf.DUMMYFUNCTION("GOOGLETRANSLATE(A4646, ""nl"", ""en"")"),"Psychological and Emotional Interpretations")</f>
        <v>Psychological and Emotional Interpretations</v>
      </c>
      <c r="E4646" s="3" t="str">
        <f>IFERROR(__xludf.DUMMYFUNCTION("GOOGLETRANSLATE(B4646, ""nl"", ""en"")"),"A mask that slowly disappears")</f>
        <v>A mask that slowly disappears</v>
      </c>
    </row>
    <row r="4647" ht="15.75" customHeight="1">
      <c r="A4647" s="3" t="s">
        <v>7</v>
      </c>
      <c r="B4647" s="3" t="s">
        <v>41</v>
      </c>
      <c r="D4647" s="3" t="str">
        <f>IFERROR(__xludf.DUMMYFUNCTION("GOOGLETRANSLATE(A4647, ""nl"", ""en"")"),"Human Figures and Physicality")</f>
        <v>Human Figures and Physicality</v>
      </c>
      <c r="E4647" s="3" t="str">
        <f>IFERROR(__xludf.DUMMYFUNCTION("GOOGLETRANSLATE(B4647, ""nl"", ""en"")"),"A face that fades into abstraction")</f>
        <v>A face that fades into abstraction</v>
      </c>
    </row>
    <row r="4648" ht="15.75" customHeight="1">
      <c r="A4648" s="3" t="s">
        <v>15</v>
      </c>
      <c r="B4648" s="3" t="s">
        <v>22</v>
      </c>
      <c r="D4648" s="3" t="str">
        <f>IFERROR(__xludf.DUMMYFUNCTION("GOOGLETRANSLATE(A4648, ""nl"", ""en"")"),"Animals and Organic Forms")</f>
        <v>Animals and Organic Forms</v>
      </c>
      <c r="E4648" s="3" t="str">
        <f>IFERROR(__xludf.DUMMYFUNCTION("GOOGLETRANSLATE(B4648, ""nl"", ""en"")"),"A bird taking off")</f>
        <v>A bird taking off</v>
      </c>
    </row>
    <row r="4649" ht="15.75" customHeight="1">
      <c r="A4649" s="3" t="s">
        <v>12</v>
      </c>
      <c r="B4649" s="3" t="s">
        <v>23</v>
      </c>
      <c r="D4649" s="3" t="str">
        <f>IFERROR(__xludf.DUMMYFUNCTION("GOOGLETRANSLATE(A4649, ""nl"", ""en"")"),"Nature and Elements")</f>
        <v>Nature and Elements</v>
      </c>
      <c r="E4649" s="3" t="str">
        <f>IFERROR(__xludf.DUMMYFUNCTION("GOOGLETRANSLATE(B4649, ""nl"", ""en"")"),"A storm cloud splitting in two")</f>
        <v>A storm cloud splitting in two</v>
      </c>
    </row>
    <row r="4650" ht="15.75" customHeight="1">
      <c r="A4650" s="3" t="s">
        <v>24</v>
      </c>
      <c r="B4650" s="3" t="s">
        <v>29</v>
      </c>
      <c r="D4650" s="3" t="str">
        <f>IFERROR(__xludf.DUMMYFUNCTION("GOOGLETRANSLATE(A4650, ""nl"", ""en"")"),"Cosmic and Abstract Patterns")</f>
        <v>Cosmic and Abstract Patterns</v>
      </c>
      <c r="E4650" s="3" t="str">
        <f>IFERROR(__xludf.DUMMYFUNCTION("GOOGLETRANSLATE(B4650, ""nl"", ""en"")"),"A galaxy unfolding")</f>
        <v>A galaxy unfolding</v>
      </c>
    </row>
    <row r="4651" ht="15.75" customHeight="1">
      <c r="A4651" s="3" t="s">
        <v>12</v>
      </c>
      <c r="B4651" s="3" t="s">
        <v>18</v>
      </c>
      <c r="D4651" s="3" t="str">
        <f>IFERROR(__xludf.DUMMYFUNCTION("GOOGLETRANSLATE(A4651, ""nl"", ""en"")"),"Nature and Elements")</f>
        <v>Nature and Elements</v>
      </c>
      <c r="E4651" s="3" t="str">
        <f>IFERROR(__xludf.DUMMYFUNCTION("GOOGLETRANSLATE(B4651, ""nl"", ""en"")"),"A tree with endless branches")</f>
        <v>A tree with endless branches</v>
      </c>
    </row>
    <row r="4652" ht="15.75" customHeight="1">
      <c r="A4652" s="3" t="s">
        <v>24</v>
      </c>
      <c r="B4652" s="3" t="s">
        <v>29</v>
      </c>
      <c r="D4652" s="3" t="str">
        <f>IFERROR(__xludf.DUMMYFUNCTION("GOOGLETRANSLATE(A4652, ""nl"", ""en"")"),"Cosmic and Abstract Patterns")</f>
        <v>Cosmic and Abstract Patterns</v>
      </c>
      <c r="E4652" s="3" t="str">
        <f>IFERROR(__xludf.DUMMYFUNCTION("GOOGLETRANSLATE(B4652, ""nl"", ""en"")"),"A galaxy unfolding")</f>
        <v>A galaxy unfolding</v>
      </c>
    </row>
    <row r="4653" ht="15.75" customHeight="1">
      <c r="A4653" s="3" t="s">
        <v>12</v>
      </c>
      <c r="B4653" s="3" t="s">
        <v>18</v>
      </c>
      <c r="D4653" s="3" t="str">
        <f>IFERROR(__xludf.DUMMYFUNCTION("GOOGLETRANSLATE(A4653, ""nl"", ""en"")"),"Nature and Elements")</f>
        <v>Nature and Elements</v>
      </c>
      <c r="E4653" s="3" t="str">
        <f>IFERROR(__xludf.DUMMYFUNCTION("GOOGLETRANSLATE(B4653, ""nl"", ""en"")"),"A tree with endless branches")</f>
        <v>A tree with endless branches</v>
      </c>
    </row>
    <row r="4654" ht="15.75" customHeight="1">
      <c r="A4654" s="3" t="s">
        <v>7</v>
      </c>
      <c r="B4654" s="3" t="s">
        <v>53</v>
      </c>
      <c r="D4654" s="3" t="str">
        <f>IFERROR(__xludf.DUMMYFUNCTION("GOOGLETRANSLATE(A4654, ""nl"", ""en"")"),"Human Figures and Physicality")</f>
        <v>Human Figures and Physicality</v>
      </c>
      <c r="E4654" s="3" t="str">
        <f>IFERROR(__xludf.DUMMYFUNCTION("GOOGLETRANSLATE(B4654, ""nl"", ""en"")"),"A face that both smiles and cries")</f>
        <v>A face that both smiles and cries</v>
      </c>
    </row>
    <row r="4655" ht="15.75" customHeight="1">
      <c r="A4655" s="3" t="s">
        <v>4</v>
      </c>
      <c r="B4655" s="3" t="s">
        <v>21</v>
      </c>
      <c r="D4655" s="3" t="str">
        <f>IFERROR(__xludf.DUMMYFUNCTION("GOOGLETRANSLATE(A4655, ""nl"", ""en"")"),"Architectural and Structural Associations")</f>
        <v>Architectural and Structural Associations</v>
      </c>
      <c r="E4655" s="3" t="str">
        <f>IFERROR(__xludf.DUMMYFUNCTION("GOOGLETRANSLATE(B4655, ""nl"", ""en"")"),"A bridge that leads nowhere")</f>
        <v>A bridge that leads nowhere</v>
      </c>
    </row>
    <row r="4656" ht="15.75" customHeight="1">
      <c r="A4656" s="3" t="s">
        <v>15</v>
      </c>
      <c r="B4656" s="3" t="s">
        <v>16</v>
      </c>
      <c r="D4656" s="3" t="str">
        <f>IFERROR(__xludf.DUMMYFUNCTION("GOOGLETRANSLATE(A4656, ""nl"", ""en"")"),"Animals and Organic Forms")</f>
        <v>Animals and Organic Forms</v>
      </c>
      <c r="E4656" s="3" t="str">
        <f>IFERROR(__xludf.DUMMYFUNCTION("GOOGLETRANSLATE(B4656, ""nl"", ""en"")"),"A butterfly in transformation")</f>
        <v>A butterfly in transformation</v>
      </c>
    </row>
    <row r="4657" ht="15.75" customHeight="1">
      <c r="A4657" s="3" t="s">
        <v>7</v>
      </c>
      <c r="B4657" s="3" t="s">
        <v>28</v>
      </c>
      <c r="D4657" s="3" t="str">
        <f>IFERROR(__xludf.DUMMYFUNCTION("GOOGLETRANSLATE(A4657, ""nl"", ""en"")"),"Human Figures and Physicality")</f>
        <v>Human Figures and Physicality</v>
      </c>
      <c r="E4657" s="3" t="str">
        <f>IFERROR(__xludf.DUMMYFUNCTION("GOOGLETRANSLATE(B4657, ""nl"", ""en"")"),"A dancing silhouette")</f>
        <v>A dancing silhouette</v>
      </c>
    </row>
    <row r="4658" ht="15.75" customHeight="1">
      <c r="A4658" s="3" t="s">
        <v>24</v>
      </c>
      <c r="B4658" s="3" t="s">
        <v>29</v>
      </c>
      <c r="D4658" s="3" t="str">
        <f>IFERROR(__xludf.DUMMYFUNCTION("GOOGLETRANSLATE(A4658, ""nl"", ""en"")"),"Cosmic and Abstract Patterns")</f>
        <v>Cosmic and Abstract Patterns</v>
      </c>
      <c r="E4658" s="3" t="str">
        <f>IFERROR(__xludf.DUMMYFUNCTION("GOOGLETRANSLATE(B4658, ""nl"", ""en"")"),"A galaxy unfolding")</f>
        <v>A galaxy unfolding</v>
      </c>
    </row>
    <row r="4659" ht="15.75" customHeight="1">
      <c r="A4659" s="3" t="s">
        <v>12</v>
      </c>
      <c r="B4659" s="3" t="s">
        <v>19</v>
      </c>
      <c r="D4659" s="3" t="str">
        <f>IFERROR(__xludf.DUMMYFUNCTION("GOOGLETRANSLATE(A4659, ""nl"", ""en"")"),"Nature and Elements")</f>
        <v>Nature and Elements</v>
      </c>
      <c r="E4659" s="3" t="str">
        <f>IFERROR(__xludf.DUMMYFUNCTION("GOOGLETRANSLATE(B4659, ""nl"", ""en"")"),"A mountain range that seems to breathe")</f>
        <v>A mountain range that seems to breathe</v>
      </c>
    </row>
    <row r="4660" ht="15.75" customHeight="1">
      <c r="A4660" s="3" t="s">
        <v>15</v>
      </c>
      <c r="B4660" s="3" t="s">
        <v>26</v>
      </c>
      <c r="D4660" s="3" t="str">
        <f>IFERROR(__xludf.DUMMYFUNCTION("GOOGLETRANSLATE(A4660, ""nl"", ""en"")"),"Animals and Organic Forms")</f>
        <v>Animals and Organic Forms</v>
      </c>
      <c r="E4660" s="3" t="str">
        <f>IFERROR(__xludf.DUMMYFUNCTION("GOOGLETRANSLATE(B4660, ""nl"", ""en"")"),"A frog preparing to jump")</f>
        <v>A frog preparing to jump</v>
      </c>
    </row>
    <row r="4661" ht="15.75" customHeight="1">
      <c r="A4661" s="3" t="s">
        <v>12</v>
      </c>
      <c r="B4661" s="3" t="s">
        <v>18</v>
      </c>
      <c r="D4661" s="3" t="str">
        <f>IFERROR(__xludf.DUMMYFUNCTION("GOOGLETRANSLATE(A4661, ""nl"", ""en"")"),"Nature and Elements")</f>
        <v>Nature and Elements</v>
      </c>
      <c r="E4661" s="3" t="str">
        <f>IFERROR(__xludf.DUMMYFUNCTION("GOOGLETRANSLATE(B4661, ""nl"", ""en"")"),"A tree with endless branches")</f>
        <v>A tree with endless branches</v>
      </c>
    </row>
    <row r="4662" ht="15.75" customHeight="1">
      <c r="A4662" s="3" t="s">
        <v>24</v>
      </c>
      <c r="B4662" s="3" t="s">
        <v>25</v>
      </c>
      <c r="D4662" s="3" t="str">
        <f>IFERROR(__xludf.DUMMYFUNCTION("GOOGLETRANSLATE(A4662, ""nl"", ""en"")"),"Cosmic and Abstract Patterns")</f>
        <v>Cosmic and Abstract Patterns</v>
      </c>
      <c r="E4662" s="3" t="str">
        <f>IFERROR(__xludf.DUMMYFUNCTION("GOOGLETRANSLATE(B4662, ""nl"", ""en"")"),"A meteor shower dissolving into each other")</f>
        <v>A meteor shower dissolving into each other</v>
      </c>
    </row>
    <row r="4663" ht="15.75" customHeight="1">
      <c r="A4663" s="3" t="s">
        <v>4</v>
      </c>
      <c r="B4663" s="3" t="s">
        <v>55</v>
      </c>
      <c r="D4663" s="3" t="str">
        <f>IFERROR(__xludf.DUMMYFUNCTION("GOOGLETRANSLATE(A4663, ""nl"", ""en"")"),"Architectural and Structural Associations")</f>
        <v>Architectural and Structural Associations</v>
      </c>
      <c r="E4663" s="3" t="str">
        <f>IFERROR(__xludf.DUMMYFUNCTION("GOOGLETRANSLATE(B4663, ""nl"", ""en"")"),"A prism that splits light into colors")</f>
        <v>A prism that splits light into colors</v>
      </c>
    </row>
    <row r="4664" ht="15.75" customHeight="1">
      <c r="A4664" s="3" t="s">
        <v>12</v>
      </c>
      <c r="B4664" s="3" t="s">
        <v>18</v>
      </c>
      <c r="D4664" s="3" t="str">
        <f>IFERROR(__xludf.DUMMYFUNCTION("GOOGLETRANSLATE(A4664, ""nl"", ""en"")"),"Nature and Elements")</f>
        <v>Nature and Elements</v>
      </c>
      <c r="E4664" s="3" t="str">
        <f>IFERROR(__xludf.DUMMYFUNCTION("GOOGLETRANSLATE(B4664, ""nl"", ""en"")"),"A tree with endless branches")</f>
        <v>A tree with endless branches</v>
      </c>
    </row>
    <row r="4665" ht="15.75" customHeight="1">
      <c r="A4665" s="3" t="s">
        <v>24</v>
      </c>
      <c r="B4665" s="3" t="s">
        <v>48</v>
      </c>
      <c r="D4665" s="3" t="str">
        <f>IFERROR(__xludf.DUMMYFUNCTION("GOOGLETRANSLATE(A4665, ""nl"", ""en"")"),"Cosmic and Abstract Patterns")</f>
        <v>Cosmic and Abstract Patterns</v>
      </c>
      <c r="E4665" s="3" t="str">
        <f>IFERROR(__xludf.DUMMYFUNCTION("GOOGLETRANSLATE(B4665, ""nl"", ""en"")"),"A fractal that repeats itself")</f>
        <v>A fractal that repeats itself</v>
      </c>
    </row>
    <row r="4666" ht="15.75" customHeight="1">
      <c r="A4666" s="3" t="s">
        <v>15</v>
      </c>
      <c r="B4666" s="3" t="s">
        <v>38</v>
      </c>
      <c r="D4666" s="3" t="str">
        <f>IFERROR(__xludf.DUMMYFUNCTION("GOOGLETRANSLATE(A4666, ""nl"", ""en"")"),"Animals and Organic Forms")</f>
        <v>Animals and Organic Forms</v>
      </c>
      <c r="E4666" s="3" t="str">
        <f>IFERROR(__xludf.DUMMYFUNCTION("GOOGLETRANSLATE(B4666, ""nl"", ""en"")"),"A lion with an open mouth")</f>
        <v>A lion with an open mouth</v>
      </c>
    </row>
    <row r="4667" ht="15.75" customHeight="1">
      <c r="A4667" s="3" t="s">
        <v>4</v>
      </c>
      <c r="B4667" s="3" t="s">
        <v>44</v>
      </c>
      <c r="D4667" s="3" t="str">
        <f>IFERROR(__xludf.DUMMYFUNCTION("GOOGLETRANSLATE(A4667, ""nl"", ""en"")"),"Architectural and Structural Associations")</f>
        <v>Architectural and Structural Associations</v>
      </c>
      <c r="E4667" s="3" t="str">
        <f>IFERROR(__xludf.DUMMYFUNCTION("GOOGLETRANSLATE(B4667, ""nl"", ""en"")"),"A structure that pulsates in waves")</f>
        <v>A structure that pulsates in waves</v>
      </c>
    </row>
    <row r="4668" ht="15.75" customHeight="1">
      <c r="A4668" s="3" t="s">
        <v>7</v>
      </c>
      <c r="B4668" s="3" t="s">
        <v>56</v>
      </c>
      <c r="D4668" s="3" t="str">
        <f>IFERROR(__xludf.DUMMYFUNCTION("GOOGLETRANSLATE(A4668, ""nl"", ""en"")"),"Human Figures and Physicality")</f>
        <v>Human Figures and Physicality</v>
      </c>
      <c r="E4668" s="3" t="str">
        <f>IFERROR(__xludf.DUMMYFUNCTION("GOOGLETRANSLATE(B4668, ""nl"", ""en"")"),"A shadow that seems to move")</f>
        <v>A shadow that seems to move</v>
      </c>
    </row>
    <row r="4669" ht="15.75" customHeight="1">
      <c r="A4669" s="3" t="s">
        <v>15</v>
      </c>
      <c r="B4669" s="3" t="s">
        <v>22</v>
      </c>
      <c r="D4669" s="3" t="str">
        <f>IFERROR(__xludf.DUMMYFUNCTION("GOOGLETRANSLATE(A4669, ""nl"", ""en"")"),"Animals and Organic Forms")</f>
        <v>Animals and Organic Forms</v>
      </c>
      <c r="E4669" s="3" t="str">
        <f>IFERROR(__xludf.DUMMYFUNCTION("GOOGLETRANSLATE(B4669, ""nl"", ""en"")"),"A bird taking off")</f>
        <v>A bird taking off</v>
      </c>
    </row>
    <row r="4670" ht="15.75" customHeight="1">
      <c r="A4670" s="3" t="s">
        <v>15</v>
      </c>
      <c r="B4670" s="3" t="s">
        <v>26</v>
      </c>
      <c r="D4670" s="3" t="str">
        <f>IFERROR(__xludf.DUMMYFUNCTION("GOOGLETRANSLATE(A4670, ""nl"", ""en"")"),"Animals and Organic Forms")</f>
        <v>Animals and Organic Forms</v>
      </c>
      <c r="E4670" s="3" t="str">
        <f>IFERROR(__xludf.DUMMYFUNCTION("GOOGLETRANSLATE(B4670, ""nl"", ""en"")"),"A frog preparing to jump")</f>
        <v>A frog preparing to jump</v>
      </c>
    </row>
    <row r="4671" ht="15.75" customHeight="1">
      <c r="A4671" s="3" t="s">
        <v>12</v>
      </c>
      <c r="B4671" s="3" t="s">
        <v>19</v>
      </c>
      <c r="D4671" s="3" t="str">
        <f>IFERROR(__xludf.DUMMYFUNCTION("GOOGLETRANSLATE(A4671, ""nl"", ""en"")"),"Nature and Elements")</f>
        <v>Nature and Elements</v>
      </c>
      <c r="E4671" s="3" t="str">
        <f>IFERROR(__xludf.DUMMYFUNCTION("GOOGLETRANSLATE(B4671, ""nl"", ""en"")"),"A mountain range that seems to breathe")</f>
        <v>A mountain range that seems to breathe</v>
      </c>
    </row>
    <row r="4672" ht="15.75" customHeight="1">
      <c r="A4672" s="3" t="s">
        <v>12</v>
      </c>
      <c r="B4672" s="3" t="s">
        <v>19</v>
      </c>
      <c r="D4672" s="3" t="str">
        <f>IFERROR(__xludf.DUMMYFUNCTION("GOOGLETRANSLATE(A4672, ""nl"", ""en"")"),"Nature and Elements")</f>
        <v>Nature and Elements</v>
      </c>
      <c r="E4672" s="3" t="str">
        <f>IFERROR(__xludf.DUMMYFUNCTION("GOOGLETRANSLATE(B4672, ""nl"", ""en"")"),"A mountain range that seems to breathe")</f>
        <v>A mountain range that seems to breathe</v>
      </c>
    </row>
    <row r="4673" ht="15.75" customHeight="1">
      <c r="A4673" s="3" t="s">
        <v>24</v>
      </c>
      <c r="B4673" s="3" t="s">
        <v>32</v>
      </c>
      <c r="D4673" s="3" t="str">
        <f>IFERROR(__xludf.DUMMYFUNCTION("GOOGLETRANSLATE(A4673, ""nl"", ""en"")"),"Cosmic and Abstract Patterns")</f>
        <v>Cosmic and Abstract Patterns</v>
      </c>
      <c r="E4673" s="3" t="str">
        <f>IFERROR(__xludf.DUMMYFUNCTION("GOOGLETRANSLATE(B4673, ""nl"", ""en"")"),"A time loop captured in image")</f>
        <v>A time loop captured in image</v>
      </c>
    </row>
    <row r="4674" ht="15.75" customHeight="1">
      <c r="A4674" s="3" t="s">
        <v>7</v>
      </c>
      <c r="B4674" s="3" t="s">
        <v>39</v>
      </c>
      <c r="D4674" s="3" t="str">
        <f>IFERROR(__xludf.DUMMYFUNCTION("GOOGLETRANSLATE(A4674, ""nl"", ""en"")"),"Human Figures and Physicality")</f>
        <v>Human Figures and Physicality</v>
      </c>
      <c r="E4674" s="3" t="str">
        <f>IFERROR(__xludf.DUMMYFUNCTION("GOOGLETRANSLATE(B4674, ""nl"", ""en"")"),"A torso without a head")</f>
        <v>A torso without a head</v>
      </c>
    </row>
    <row r="4675" ht="15.75" customHeight="1">
      <c r="A4675" s="3" t="s">
        <v>4</v>
      </c>
      <c r="B4675" s="3" t="s">
        <v>43</v>
      </c>
      <c r="D4675" s="3" t="str">
        <f>IFERROR(__xludf.DUMMYFUNCTION("GOOGLETRANSLATE(A4675, ""nl"", ""en"")"),"Architectural and Structural Associations")</f>
        <v>Architectural and Structural Associations</v>
      </c>
      <c r="E4675" s="3" t="str">
        <f>IFERROR(__xludf.DUMMYFUNCTION("GOOGLETRANSLATE(B4675, ""nl"", ""en"")"),"A network of tunnels and passages")</f>
        <v>A network of tunnels and passages</v>
      </c>
    </row>
    <row r="4676" ht="15.75" customHeight="1">
      <c r="A4676" s="3" t="s">
        <v>4</v>
      </c>
      <c r="B4676" s="3" t="s">
        <v>21</v>
      </c>
      <c r="D4676" s="3" t="str">
        <f>IFERROR(__xludf.DUMMYFUNCTION("GOOGLETRANSLATE(A4676, ""nl"", ""en"")"),"Architectural and Structural Associations")</f>
        <v>Architectural and Structural Associations</v>
      </c>
      <c r="E4676" s="3" t="str">
        <f>IFERROR(__xludf.DUMMYFUNCTION("GOOGLETRANSLATE(B4676, ""nl"", ""en"")"),"A bridge that leads nowhere")</f>
        <v>A bridge that leads nowhere</v>
      </c>
    </row>
    <row r="4677" ht="15.75" customHeight="1">
      <c r="A4677" s="3" t="s">
        <v>12</v>
      </c>
      <c r="B4677" s="3" t="s">
        <v>30</v>
      </c>
      <c r="D4677" s="3" t="str">
        <f>IFERROR(__xludf.DUMMYFUNCTION("GOOGLETRANSLATE(A4677, ""nl"", ""en"")"),"Nature and Elements")</f>
        <v>Nature and Elements</v>
      </c>
      <c r="E4677" s="3" t="str">
        <f>IFERROR(__xludf.DUMMYFUNCTION("GOOGLETRANSLATE(B4677, ""nl"", ""en"")"),"Waves breaking in fractal patterns")</f>
        <v>Waves breaking in fractal patterns</v>
      </c>
    </row>
    <row r="4678" ht="15.75" customHeight="1">
      <c r="A4678" s="3" t="s">
        <v>15</v>
      </c>
      <c r="B4678" s="3" t="s">
        <v>22</v>
      </c>
      <c r="D4678" s="3" t="str">
        <f>IFERROR(__xludf.DUMMYFUNCTION("GOOGLETRANSLATE(A4678, ""nl"", ""en"")"),"Animals and Organic Forms")</f>
        <v>Animals and Organic Forms</v>
      </c>
      <c r="E4678" s="3" t="str">
        <f>IFERROR(__xludf.DUMMYFUNCTION("GOOGLETRANSLATE(B4678, ""nl"", ""en"")"),"A bird taking off")</f>
        <v>A bird taking off</v>
      </c>
    </row>
    <row r="4679" ht="15.75" customHeight="1">
      <c r="A4679" s="3" t="s">
        <v>12</v>
      </c>
      <c r="B4679" s="3" t="s">
        <v>18</v>
      </c>
      <c r="D4679" s="3" t="str">
        <f>IFERROR(__xludf.DUMMYFUNCTION("GOOGLETRANSLATE(A4679, ""nl"", ""en"")"),"Nature and Elements")</f>
        <v>Nature and Elements</v>
      </c>
      <c r="E4679" s="3" t="str">
        <f>IFERROR(__xludf.DUMMYFUNCTION("GOOGLETRANSLATE(B4679, ""nl"", ""en"")"),"A tree with endless branches")</f>
        <v>A tree with endless branches</v>
      </c>
    </row>
    <row r="4680" ht="15.75" customHeight="1">
      <c r="A4680" s="3" t="s">
        <v>24</v>
      </c>
      <c r="B4680" s="3" t="s">
        <v>25</v>
      </c>
      <c r="D4680" s="3" t="str">
        <f>IFERROR(__xludf.DUMMYFUNCTION("GOOGLETRANSLATE(A4680, ""nl"", ""en"")"),"Cosmic and Abstract Patterns")</f>
        <v>Cosmic and Abstract Patterns</v>
      </c>
      <c r="E4680" s="3" t="str">
        <f>IFERROR(__xludf.DUMMYFUNCTION("GOOGLETRANSLATE(B4680, ""nl"", ""en"")"),"A meteor shower dissolving into each other")</f>
        <v>A meteor shower dissolving into each other</v>
      </c>
    </row>
    <row r="4681" ht="15.75" customHeight="1">
      <c r="A4681" s="3" t="s">
        <v>7</v>
      </c>
      <c r="B4681" s="3" t="s">
        <v>28</v>
      </c>
      <c r="D4681" s="3" t="str">
        <f>IFERROR(__xludf.DUMMYFUNCTION("GOOGLETRANSLATE(A4681, ""nl"", ""en"")"),"Human Figures and Physicality")</f>
        <v>Human Figures and Physicality</v>
      </c>
      <c r="E4681" s="3" t="str">
        <f>IFERROR(__xludf.DUMMYFUNCTION("GOOGLETRANSLATE(B4681, ""nl"", ""en"")"),"A dancing silhouette")</f>
        <v>A dancing silhouette</v>
      </c>
    </row>
    <row r="4682" ht="15.75" customHeight="1">
      <c r="A4682" s="3" t="s">
        <v>9</v>
      </c>
      <c r="B4682" s="3" t="s">
        <v>57</v>
      </c>
      <c r="D4682" s="3" t="str">
        <f>IFERROR(__xludf.DUMMYFUNCTION("GOOGLETRANSLATE(A4682, ""nl"", ""en"")"),"Psychological and Emotional Interpretations")</f>
        <v>Psychological and Emotional Interpretations</v>
      </c>
      <c r="E4682" s="3" t="str">
        <f>IFERROR(__xludf.DUMMYFUNCTION("GOOGLETRANSLATE(B4682, ""nl"", ""en"")"),"An explosion of colours and feelings")</f>
        <v>An explosion of colours and feelings</v>
      </c>
    </row>
    <row r="4683" ht="15.75" customHeight="1">
      <c r="A4683" s="3" t="s">
        <v>24</v>
      </c>
      <c r="B4683" s="3" t="s">
        <v>31</v>
      </c>
      <c r="D4683" s="3" t="str">
        <f>IFERROR(__xludf.DUMMYFUNCTION("GOOGLETRANSLATE(A4683, ""nl"", ""en"")"),"Cosmic and Abstract Patterns")</f>
        <v>Cosmic and Abstract Patterns</v>
      </c>
      <c r="E4683" s="3" t="str">
        <f>IFERROR(__xludf.DUMMYFUNCTION("GOOGLETRANSLATE(B4683, ""nl"", ""en"")"),"A planet with unusual rings")</f>
        <v>A planet with unusual rings</v>
      </c>
    </row>
    <row r="4684" ht="15.75" customHeight="1">
      <c r="A4684" s="3" t="s">
        <v>24</v>
      </c>
      <c r="B4684" s="3" t="s">
        <v>29</v>
      </c>
      <c r="D4684" s="3" t="str">
        <f>IFERROR(__xludf.DUMMYFUNCTION("GOOGLETRANSLATE(A4684, ""nl"", ""en"")"),"Cosmic and Abstract Patterns")</f>
        <v>Cosmic and Abstract Patterns</v>
      </c>
      <c r="E4684" s="3" t="str">
        <f>IFERROR(__xludf.DUMMYFUNCTION("GOOGLETRANSLATE(B4684, ""nl"", ""en"")"),"A galaxy unfolding")</f>
        <v>A galaxy unfolding</v>
      </c>
    </row>
    <row r="4685" ht="15.75" customHeight="1">
      <c r="A4685" s="3" t="s">
        <v>9</v>
      </c>
      <c r="B4685" s="3" t="s">
        <v>14</v>
      </c>
      <c r="D4685" s="3" t="str">
        <f>IFERROR(__xludf.DUMMYFUNCTION("GOOGLETRANSLATE(A4685, ""nl"", ""en"")"),"Psychological and Emotional Interpretations")</f>
        <v>Psychological and Emotional Interpretations</v>
      </c>
      <c r="E4685" s="3" t="str">
        <f>IFERROR(__xludf.DUMMYFUNCTION("GOOGLETRANSLATE(B4685, ""nl"", ""en"")"),"An unclear hug")</f>
        <v>An unclear hug</v>
      </c>
    </row>
    <row r="4686" ht="15.75" customHeight="1">
      <c r="A4686" s="3" t="s">
        <v>12</v>
      </c>
      <c r="B4686" s="3" t="s">
        <v>19</v>
      </c>
      <c r="D4686" s="3" t="str">
        <f>IFERROR(__xludf.DUMMYFUNCTION("GOOGLETRANSLATE(A4686, ""nl"", ""en"")"),"Nature and Elements")</f>
        <v>Nature and Elements</v>
      </c>
      <c r="E4686" s="3" t="str">
        <f>IFERROR(__xludf.DUMMYFUNCTION("GOOGLETRANSLATE(B4686, ""nl"", ""en"")"),"A mountain range that seems to breathe")</f>
        <v>A mountain range that seems to breathe</v>
      </c>
    </row>
    <row r="4687" ht="15.75" customHeight="1">
      <c r="A4687" s="3" t="s">
        <v>12</v>
      </c>
      <c r="B4687" s="3" t="s">
        <v>19</v>
      </c>
      <c r="D4687" s="3" t="str">
        <f>IFERROR(__xludf.DUMMYFUNCTION("GOOGLETRANSLATE(A4687, ""nl"", ""en"")"),"Nature and Elements")</f>
        <v>Nature and Elements</v>
      </c>
      <c r="E4687" s="3" t="str">
        <f>IFERROR(__xludf.DUMMYFUNCTION("GOOGLETRANSLATE(B4687, ""nl"", ""en"")"),"A mountain range that seems to breathe")</f>
        <v>A mountain range that seems to breathe</v>
      </c>
    </row>
    <row r="4688" ht="15.75" customHeight="1">
      <c r="A4688" s="3" t="s">
        <v>24</v>
      </c>
      <c r="B4688" s="3" t="s">
        <v>32</v>
      </c>
      <c r="D4688" s="3" t="str">
        <f>IFERROR(__xludf.DUMMYFUNCTION("GOOGLETRANSLATE(A4688, ""nl"", ""en"")"),"Cosmic and Abstract Patterns")</f>
        <v>Cosmic and Abstract Patterns</v>
      </c>
      <c r="E4688" s="3" t="str">
        <f>IFERROR(__xludf.DUMMYFUNCTION("GOOGLETRANSLATE(B4688, ""nl"", ""en"")"),"A time loop captured in image")</f>
        <v>A time loop captured in image</v>
      </c>
    </row>
    <row r="4689" ht="15.75" customHeight="1">
      <c r="A4689" s="3" t="s">
        <v>24</v>
      </c>
      <c r="B4689" s="3" t="s">
        <v>29</v>
      </c>
      <c r="D4689" s="3" t="str">
        <f>IFERROR(__xludf.DUMMYFUNCTION("GOOGLETRANSLATE(A4689, ""nl"", ""en"")"),"Cosmic and Abstract Patterns")</f>
        <v>Cosmic and Abstract Patterns</v>
      </c>
      <c r="E4689" s="3" t="str">
        <f>IFERROR(__xludf.DUMMYFUNCTION("GOOGLETRANSLATE(B4689, ""nl"", ""en"")"),"A galaxy unfolding")</f>
        <v>A galaxy unfolding</v>
      </c>
    </row>
    <row r="4690" ht="15.75" customHeight="1">
      <c r="A4690" s="3" t="s">
        <v>15</v>
      </c>
      <c r="B4690" s="3" t="s">
        <v>22</v>
      </c>
      <c r="D4690" s="3" t="str">
        <f>IFERROR(__xludf.DUMMYFUNCTION("GOOGLETRANSLATE(A4690, ""nl"", ""en"")"),"Animals and Organic Forms")</f>
        <v>Animals and Organic Forms</v>
      </c>
      <c r="E4690" s="3" t="str">
        <f>IFERROR(__xludf.DUMMYFUNCTION("GOOGLETRANSLATE(B4690, ""nl"", ""en"")"),"A bird taking off")</f>
        <v>A bird taking off</v>
      </c>
    </row>
    <row r="4691" ht="15.75" customHeight="1">
      <c r="A4691" s="3" t="s">
        <v>24</v>
      </c>
      <c r="B4691" s="3" t="s">
        <v>48</v>
      </c>
      <c r="D4691" s="3" t="str">
        <f>IFERROR(__xludf.DUMMYFUNCTION("GOOGLETRANSLATE(A4691, ""nl"", ""en"")"),"Cosmic and Abstract Patterns")</f>
        <v>Cosmic and Abstract Patterns</v>
      </c>
      <c r="E4691" s="3" t="str">
        <f>IFERROR(__xludf.DUMMYFUNCTION("GOOGLETRANSLATE(B4691, ""nl"", ""en"")"),"A fractal that repeats itself")</f>
        <v>A fractal that repeats itself</v>
      </c>
    </row>
    <row r="4692" ht="15.75" customHeight="1">
      <c r="A4692" s="3" t="s">
        <v>4</v>
      </c>
      <c r="B4692" s="3" t="s">
        <v>6</v>
      </c>
      <c r="D4692" s="3" t="str">
        <f>IFERROR(__xludf.DUMMYFUNCTION("GOOGLETRANSLATE(A4692, ""nl"", ""en"")"),"Architectural and Structural Associations")</f>
        <v>Architectural and Structural Associations</v>
      </c>
      <c r="E4692" s="3" t="str">
        <f>IFERROR(__xludf.DUMMYFUNCTION("GOOGLETRANSLATE(B4692, ""nl"", ""en"")"),"An endless labyrinth")</f>
        <v>An endless labyrinth</v>
      </c>
    </row>
    <row r="4693" ht="15.75" customHeight="1">
      <c r="A4693" s="3" t="s">
        <v>4</v>
      </c>
      <c r="B4693" s="3" t="s">
        <v>35</v>
      </c>
      <c r="D4693" s="3" t="str">
        <f>IFERROR(__xludf.DUMMYFUNCTION("GOOGLETRANSLATE(A4693, ""nl"", ""en"")"),"Architectural and Structural Associations")</f>
        <v>Architectural and Structural Associations</v>
      </c>
      <c r="E4693" s="3" t="str">
        <f>IFERROR(__xludf.DUMMYFUNCTION("GOOGLETRANSLATE(B4693, ""nl"", ""en"")"),"A floating building without a base")</f>
        <v>A floating building without a base</v>
      </c>
    </row>
    <row r="4694" ht="15.75" customHeight="1">
      <c r="A4694" s="3" t="s">
        <v>4</v>
      </c>
      <c r="B4694" s="3" t="s">
        <v>5</v>
      </c>
      <c r="D4694" s="3" t="str">
        <f>IFERROR(__xludf.DUMMYFUNCTION("GOOGLETRANSLATE(A4694, ""nl"", ""en"")"),"Architectural and Structural Associations")</f>
        <v>Architectural and Structural Associations</v>
      </c>
      <c r="E4694" s="3" t="str">
        <f>IFERROR(__xludf.DUMMYFUNCTION("GOOGLETRANSLATE(B4694, ""nl"", ""en"")"),"A cathedral shaped from mist")</f>
        <v>A cathedral shaped from mist</v>
      </c>
    </row>
    <row r="4695" ht="15.75" customHeight="1">
      <c r="A4695" s="3" t="s">
        <v>15</v>
      </c>
      <c r="B4695" s="3" t="s">
        <v>38</v>
      </c>
      <c r="D4695" s="3" t="str">
        <f>IFERROR(__xludf.DUMMYFUNCTION("GOOGLETRANSLATE(A4695, ""nl"", ""en"")"),"Animals and Organic Forms")</f>
        <v>Animals and Organic Forms</v>
      </c>
      <c r="E4695" s="3" t="str">
        <f>IFERROR(__xludf.DUMMYFUNCTION("GOOGLETRANSLATE(B4695, ""nl"", ""en"")"),"A lion with an open mouth")</f>
        <v>A lion with an open mouth</v>
      </c>
    </row>
    <row r="4696" ht="15.75" customHeight="1">
      <c r="A4696" s="3" t="s">
        <v>7</v>
      </c>
      <c r="B4696" s="3" t="s">
        <v>8</v>
      </c>
      <c r="D4696" s="3" t="str">
        <f>IFERROR(__xludf.DUMMYFUNCTION("GOOGLETRANSLATE(A4696, ""nl"", ""en"")"),"Human Figures and Physicality")</f>
        <v>Human Figures and Physicality</v>
      </c>
      <c r="E4696" s="3" t="str">
        <f>IFERROR(__xludf.DUMMYFUNCTION("GOOGLETRANSLATE(B4696, ""nl"", ""en"")"),"Two figures mirroring each other")</f>
        <v>Two figures mirroring each other</v>
      </c>
    </row>
    <row r="4697" ht="15.75" customHeight="1">
      <c r="A4697" s="3" t="s">
        <v>9</v>
      </c>
      <c r="B4697" s="3" t="s">
        <v>17</v>
      </c>
      <c r="D4697" s="3" t="str">
        <f>IFERROR(__xludf.DUMMYFUNCTION("GOOGLETRANSLATE(A4697, ""nl"", ""en"")"),"Psychological and Emotional Interpretations")</f>
        <v>Psychological and Emotional Interpretations</v>
      </c>
      <c r="E4697" s="3" t="str">
        <f>IFERROR(__xludf.DUMMYFUNCTION("GOOGLETRANSLATE(B4697, ""nl"", ""en"")"),"A figure that seems to melt")</f>
        <v>A figure that seems to melt</v>
      </c>
    </row>
    <row r="4698" ht="15.75" customHeight="1">
      <c r="A4698" s="3" t="s">
        <v>12</v>
      </c>
      <c r="B4698" s="3" t="s">
        <v>30</v>
      </c>
      <c r="D4698" s="3" t="str">
        <f>IFERROR(__xludf.DUMMYFUNCTION("GOOGLETRANSLATE(A4698, ""nl"", ""en"")"),"Nature and Elements")</f>
        <v>Nature and Elements</v>
      </c>
      <c r="E4698" s="3" t="str">
        <f>IFERROR(__xludf.DUMMYFUNCTION("GOOGLETRANSLATE(B4698, ""nl"", ""en"")"),"Waves breaking in fractal patterns")</f>
        <v>Waves breaking in fractal patterns</v>
      </c>
    </row>
    <row r="4699" ht="15.75" customHeight="1">
      <c r="A4699" s="3" t="s">
        <v>12</v>
      </c>
      <c r="B4699" s="3" t="s">
        <v>47</v>
      </c>
      <c r="D4699" s="3" t="str">
        <f>IFERROR(__xludf.DUMMYFUNCTION("GOOGLETRANSLATE(A4699, ""nl"", ""en"")"),"Nature and Elements")</f>
        <v>Nature and Elements</v>
      </c>
      <c r="E4699" s="3" t="str">
        <f>IFERROR(__xludf.DUMMYFUNCTION("GOOGLETRANSLATE(B4699, ""nl"", ""en"")"),"A desert landscape that slowly changes")</f>
        <v>A desert landscape that slowly changes</v>
      </c>
    </row>
    <row r="4700" ht="15.75" customHeight="1">
      <c r="A4700" s="3" t="s">
        <v>12</v>
      </c>
      <c r="B4700" s="3" t="s">
        <v>36</v>
      </c>
      <c r="D4700" s="3" t="str">
        <f>IFERROR(__xludf.DUMMYFUNCTION("GOOGLETRANSLATE(A4700, ""nl"", ""en"")"),"Nature and Elements")</f>
        <v>Nature and Elements</v>
      </c>
      <c r="E4700" s="3" t="str">
        <f>IFERROR(__xludf.DUMMYFUNCTION("GOOGLETRANSLATE(B4700, ""nl"", ""en"")"),"A river delta from a bird's-eye view")</f>
        <v>A river delta from a bird's-eye view</v>
      </c>
    </row>
    <row r="4701" ht="15.75" customHeight="1">
      <c r="A4701" s="3" t="s">
        <v>7</v>
      </c>
      <c r="B4701" s="3" t="s">
        <v>53</v>
      </c>
      <c r="D4701" s="3" t="str">
        <f>IFERROR(__xludf.DUMMYFUNCTION("GOOGLETRANSLATE(A4701, ""nl"", ""en"")"),"Human Figures and Physicality")</f>
        <v>Human Figures and Physicality</v>
      </c>
      <c r="E4701" s="3" t="str">
        <f>IFERROR(__xludf.DUMMYFUNCTION("GOOGLETRANSLATE(B4701, ""nl"", ""en"")"),"A face that both smiles and cries")</f>
        <v>A face that both smiles and cries</v>
      </c>
    </row>
    <row r="4702" ht="15.75" customHeight="1">
      <c r="A4702" s="3" t="s">
        <v>4</v>
      </c>
      <c r="B4702" s="3" t="s">
        <v>6</v>
      </c>
      <c r="D4702" s="3" t="str">
        <f>IFERROR(__xludf.DUMMYFUNCTION("GOOGLETRANSLATE(A4702, ""nl"", ""en"")"),"Architectural and Structural Associations")</f>
        <v>Architectural and Structural Associations</v>
      </c>
      <c r="E4702" s="3" t="str">
        <f>IFERROR(__xludf.DUMMYFUNCTION("GOOGLETRANSLATE(B4702, ""nl"", ""en"")"),"An endless labyrinth")</f>
        <v>An endless labyrinth</v>
      </c>
    </row>
    <row r="4703" ht="15.75" customHeight="1">
      <c r="A4703" s="3" t="s">
        <v>4</v>
      </c>
      <c r="B4703" s="3" t="s">
        <v>21</v>
      </c>
      <c r="D4703" s="3" t="str">
        <f>IFERROR(__xludf.DUMMYFUNCTION("GOOGLETRANSLATE(A4703, ""nl"", ""en"")"),"Architectural and Structural Associations")</f>
        <v>Architectural and Structural Associations</v>
      </c>
      <c r="E4703" s="3" t="str">
        <f>IFERROR(__xludf.DUMMYFUNCTION("GOOGLETRANSLATE(B4703, ""nl"", ""en"")"),"A bridge that leads nowhere")</f>
        <v>A bridge that leads nowhere</v>
      </c>
    </row>
    <row r="4704" ht="15.75" customHeight="1">
      <c r="A4704" s="3" t="s">
        <v>7</v>
      </c>
      <c r="B4704" s="3" t="s">
        <v>56</v>
      </c>
      <c r="D4704" s="3" t="str">
        <f>IFERROR(__xludf.DUMMYFUNCTION("GOOGLETRANSLATE(A4704, ""nl"", ""en"")"),"Human Figures and Physicality")</f>
        <v>Human Figures and Physicality</v>
      </c>
      <c r="E4704" s="3" t="str">
        <f>IFERROR(__xludf.DUMMYFUNCTION("GOOGLETRANSLATE(B4704, ""nl"", ""en"")"),"A shadow that seems to move")</f>
        <v>A shadow that seems to move</v>
      </c>
    </row>
    <row r="4705" ht="15.75" customHeight="1">
      <c r="A4705" s="3" t="s">
        <v>7</v>
      </c>
      <c r="B4705" s="3" t="s">
        <v>40</v>
      </c>
      <c r="D4705" s="3" t="str">
        <f>IFERROR(__xludf.DUMMYFUNCTION("GOOGLETRANSLATE(A4705, ""nl"", ""en"")"),"Human Figures and Physicality")</f>
        <v>Human Figures and Physicality</v>
      </c>
      <c r="E4705" s="3" t="str">
        <f>IFERROR(__xludf.DUMMYFUNCTION("GOOGLETRANSLATE(B4705, ""nl"", ""en"")"),"A figure who is withdrawn into himself")</f>
        <v>A figure who is withdrawn into himself</v>
      </c>
    </row>
    <row r="4706" ht="15.75" customHeight="1">
      <c r="A4706" s="3" t="s">
        <v>12</v>
      </c>
      <c r="B4706" s="3" t="s">
        <v>13</v>
      </c>
      <c r="D4706" s="3" t="str">
        <f>IFERROR(__xludf.DUMMYFUNCTION("GOOGLETRANSLATE(A4706, ""nl"", ""en"")"),"Nature and Elements")</f>
        <v>Nature and Elements</v>
      </c>
      <c r="E4706" s="3" t="str">
        <f>IFERROR(__xludf.DUMMYFUNCTION("GOOGLETRANSLATE(B4706, ""nl"", ""en"")"),"A lightning strike in slow motion")</f>
        <v>A lightning strike in slow motion</v>
      </c>
    </row>
    <row r="4707" ht="15.75" customHeight="1">
      <c r="A4707" s="3" t="s">
        <v>15</v>
      </c>
      <c r="B4707" s="3" t="s">
        <v>52</v>
      </c>
      <c r="D4707" s="3" t="str">
        <f>IFERROR(__xludf.DUMMYFUNCTION("GOOGLETRANSLATE(A4707, ""nl"", ""en"")"),"Animals and Organic Forms")</f>
        <v>Animals and Organic Forms</v>
      </c>
      <c r="E4707" s="3" t="str">
        <f>IFERROR(__xludf.DUMMYFUNCTION("GOOGLETRANSLATE(B4707, ""nl"", ""en"")"),"A mask made of leaves")</f>
        <v>A mask made of leaves</v>
      </c>
    </row>
    <row r="4708" ht="15.75" customHeight="1">
      <c r="A4708" s="3" t="s">
        <v>7</v>
      </c>
      <c r="B4708" s="3" t="s">
        <v>56</v>
      </c>
      <c r="D4708" s="3" t="str">
        <f>IFERROR(__xludf.DUMMYFUNCTION("GOOGLETRANSLATE(A4708, ""nl"", ""en"")"),"Human Figures and Physicality")</f>
        <v>Human Figures and Physicality</v>
      </c>
      <c r="E4708" s="3" t="str">
        <f>IFERROR(__xludf.DUMMYFUNCTION("GOOGLETRANSLATE(B4708, ""nl"", ""en"")"),"A shadow that seems to move")</f>
        <v>A shadow that seems to move</v>
      </c>
    </row>
    <row r="4709" ht="15.75" customHeight="1">
      <c r="A4709" s="3" t="s">
        <v>12</v>
      </c>
      <c r="B4709" s="3" t="s">
        <v>18</v>
      </c>
      <c r="D4709" s="3" t="str">
        <f>IFERROR(__xludf.DUMMYFUNCTION("GOOGLETRANSLATE(A4709, ""nl"", ""en"")"),"Nature and Elements")</f>
        <v>Nature and Elements</v>
      </c>
      <c r="E4709" s="3" t="str">
        <f>IFERROR(__xludf.DUMMYFUNCTION("GOOGLETRANSLATE(B4709, ""nl"", ""en"")"),"A tree with endless branches")</f>
        <v>A tree with endless branches</v>
      </c>
    </row>
    <row r="4710" ht="15.75" customHeight="1">
      <c r="A4710" s="3" t="s">
        <v>7</v>
      </c>
      <c r="B4710" s="3" t="s">
        <v>53</v>
      </c>
      <c r="D4710" s="3" t="str">
        <f>IFERROR(__xludf.DUMMYFUNCTION("GOOGLETRANSLATE(A4710, ""nl"", ""en"")"),"Human Figures and Physicality")</f>
        <v>Human Figures and Physicality</v>
      </c>
      <c r="E4710" s="3" t="str">
        <f>IFERROR(__xludf.DUMMYFUNCTION("GOOGLETRANSLATE(B4710, ""nl"", ""en"")"),"A face that both smiles and cries")</f>
        <v>A face that both smiles and cries</v>
      </c>
    </row>
    <row r="4711" ht="15.75" customHeight="1">
      <c r="A4711" s="3" t="s">
        <v>12</v>
      </c>
      <c r="B4711" s="3" t="s">
        <v>23</v>
      </c>
      <c r="D4711" s="3" t="str">
        <f>IFERROR(__xludf.DUMMYFUNCTION("GOOGLETRANSLATE(A4711, ""nl"", ""en"")"),"Nature and Elements")</f>
        <v>Nature and Elements</v>
      </c>
      <c r="E4711" s="3" t="str">
        <f>IFERROR(__xludf.DUMMYFUNCTION("GOOGLETRANSLATE(B4711, ""nl"", ""en"")"),"A storm cloud splitting in two")</f>
        <v>A storm cloud splitting in two</v>
      </c>
    </row>
    <row r="4712" ht="15.75" customHeight="1">
      <c r="A4712" s="3" t="s">
        <v>7</v>
      </c>
      <c r="B4712" s="3" t="s">
        <v>8</v>
      </c>
      <c r="D4712" s="3" t="str">
        <f>IFERROR(__xludf.DUMMYFUNCTION("GOOGLETRANSLATE(A4712, ""nl"", ""en"")"),"Human Figures and Physicality")</f>
        <v>Human Figures and Physicality</v>
      </c>
      <c r="E4712" s="3" t="str">
        <f>IFERROR(__xludf.DUMMYFUNCTION("GOOGLETRANSLATE(B4712, ""nl"", ""en"")"),"Two figures mirroring each other")</f>
        <v>Two figures mirroring each other</v>
      </c>
    </row>
    <row r="4713" ht="15.75" customHeight="1">
      <c r="A4713" s="3" t="s">
        <v>4</v>
      </c>
      <c r="B4713" s="3" t="s">
        <v>20</v>
      </c>
      <c r="D4713" s="3" t="str">
        <f>IFERROR(__xludf.DUMMYFUNCTION("GOOGLETRANSLATE(A4713, ""nl"", ""en"")"),"Architectural and Structural Associations")</f>
        <v>Architectural and Structural Associations</v>
      </c>
      <c r="E4713" s="3" t="str">
        <f>IFERROR(__xludf.DUMMYFUNCTION("GOOGLETRANSLATE(B4713, ""nl"", ""en"")"),"A tower that grows by itself")</f>
        <v>A tower that grows by itself</v>
      </c>
    </row>
    <row r="4714" ht="15.75" customHeight="1">
      <c r="A4714" s="3" t="s">
        <v>7</v>
      </c>
      <c r="B4714" s="3" t="s">
        <v>34</v>
      </c>
      <c r="D4714" s="3" t="str">
        <f>IFERROR(__xludf.DUMMYFUNCTION("GOOGLETRANSLATE(A4714, ""nl"", ""en"")"),"Human Figures and Physicality")</f>
        <v>Human Figures and Physicality</v>
      </c>
      <c r="E4714" s="3" t="str">
        <f>IFERROR(__xludf.DUMMYFUNCTION("GOOGLETRANSLATE(B4714, ""nl"", ""en"")"),"Hands almost touching")</f>
        <v>Hands almost touching</v>
      </c>
    </row>
    <row r="4715" ht="15.75" customHeight="1">
      <c r="A4715" s="3" t="s">
        <v>4</v>
      </c>
      <c r="B4715" s="3" t="s">
        <v>43</v>
      </c>
      <c r="D4715" s="3" t="str">
        <f>IFERROR(__xludf.DUMMYFUNCTION("GOOGLETRANSLATE(A4715, ""nl"", ""en"")"),"Architectural and Structural Associations")</f>
        <v>Architectural and Structural Associations</v>
      </c>
      <c r="E4715" s="3" t="str">
        <f>IFERROR(__xludf.DUMMYFUNCTION("GOOGLETRANSLATE(B4715, ""nl"", ""en"")"),"A network of tunnels and passages")</f>
        <v>A network of tunnels and passages</v>
      </c>
    </row>
    <row r="4716" ht="15.75" customHeight="1">
      <c r="A4716" s="3" t="s">
        <v>12</v>
      </c>
      <c r="B4716" s="3" t="s">
        <v>18</v>
      </c>
      <c r="D4716" s="3" t="str">
        <f>IFERROR(__xludf.DUMMYFUNCTION("GOOGLETRANSLATE(A4716, ""nl"", ""en"")"),"Nature and Elements")</f>
        <v>Nature and Elements</v>
      </c>
      <c r="E4716" s="3" t="str">
        <f>IFERROR(__xludf.DUMMYFUNCTION("GOOGLETRANSLATE(B4716, ""nl"", ""en"")"),"A tree with endless branches")</f>
        <v>A tree with endless branches</v>
      </c>
    </row>
    <row r="4717" ht="15.75" customHeight="1">
      <c r="A4717" s="3" t="s">
        <v>24</v>
      </c>
      <c r="B4717" s="3" t="s">
        <v>31</v>
      </c>
      <c r="D4717" s="3" t="str">
        <f>IFERROR(__xludf.DUMMYFUNCTION("GOOGLETRANSLATE(A4717, ""nl"", ""en"")"),"Cosmic and Abstract Patterns")</f>
        <v>Cosmic and Abstract Patterns</v>
      </c>
      <c r="E4717" s="3" t="str">
        <f>IFERROR(__xludf.DUMMYFUNCTION("GOOGLETRANSLATE(B4717, ""nl"", ""en"")"),"A planet with unusual rings")</f>
        <v>A planet with unusual rings</v>
      </c>
    </row>
    <row r="4718" ht="15.75" customHeight="1">
      <c r="A4718" s="3" t="s">
        <v>12</v>
      </c>
      <c r="B4718" s="3" t="s">
        <v>47</v>
      </c>
      <c r="D4718" s="3" t="str">
        <f>IFERROR(__xludf.DUMMYFUNCTION("GOOGLETRANSLATE(A4718, ""nl"", ""en"")"),"Nature and Elements")</f>
        <v>Nature and Elements</v>
      </c>
      <c r="E4718" s="3" t="str">
        <f>IFERROR(__xludf.DUMMYFUNCTION("GOOGLETRANSLATE(B4718, ""nl"", ""en"")"),"A desert landscape that slowly changes")</f>
        <v>A desert landscape that slowly changes</v>
      </c>
    </row>
    <row r="4719" ht="15.75" customHeight="1">
      <c r="A4719" s="3" t="s">
        <v>4</v>
      </c>
      <c r="B4719" s="3" t="s">
        <v>55</v>
      </c>
      <c r="D4719" s="3" t="str">
        <f>IFERROR(__xludf.DUMMYFUNCTION("GOOGLETRANSLATE(A4719, ""nl"", ""en"")"),"Architectural and Structural Associations")</f>
        <v>Architectural and Structural Associations</v>
      </c>
      <c r="E4719" s="3" t="str">
        <f>IFERROR(__xludf.DUMMYFUNCTION("GOOGLETRANSLATE(B4719, ""nl"", ""en"")"),"A prism that splits light into colors")</f>
        <v>A prism that splits light into colors</v>
      </c>
    </row>
    <row r="4720" ht="15.75" customHeight="1">
      <c r="A4720" s="3" t="s">
        <v>12</v>
      </c>
      <c r="B4720" s="3" t="s">
        <v>47</v>
      </c>
      <c r="D4720" s="3" t="str">
        <f>IFERROR(__xludf.DUMMYFUNCTION("GOOGLETRANSLATE(A4720, ""nl"", ""en"")"),"Nature and Elements")</f>
        <v>Nature and Elements</v>
      </c>
      <c r="E4720" s="3" t="str">
        <f>IFERROR(__xludf.DUMMYFUNCTION("GOOGLETRANSLATE(B4720, ""nl"", ""en"")"),"A desert landscape that slowly changes")</f>
        <v>A desert landscape that slowly changes</v>
      </c>
    </row>
    <row r="4721" ht="15.75" customHeight="1">
      <c r="A4721" s="3" t="s">
        <v>24</v>
      </c>
      <c r="B4721" s="3" t="s">
        <v>48</v>
      </c>
      <c r="D4721" s="3" t="str">
        <f>IFERROR(__xludf.DUMMYFUNCTION("GOOGLETRANSLATE(A4721, ""nl"", ""en"")"),"Cosmic and Abstract Patterns")</f>
        <v>Cosmic and Abstract Patterns</v>
      </c>
      <c r="E4721" s="3" t="str">
        <f>IFERROR(__xludf.DUMMYFUNCTION("GOOGLETRANSLATE(B4721, ""nl"", ""en"")"),"A fractal that repeats itself")</f>
        <v>A fractal that repeats itself</v>
      </c>
    </row>
    <row r="4722" ht="15.75" customHeight="1">
      <c r="A4722" s="3" t="s">
        <v>12</v>
      </c>
      <c r="B4722" s="3" t="s">
        <v>13</v>
      </c>
      <c r="D4722" s="3" t="str">
        <f>IFERROR(__xludf.DUMMYFUNCTION("GOOGLETRANSLATE(A4722, ""nl"", ""en"")"),"Nature and Elements")</f>
        <v>Nature and Elements</v>
      </c>
      <c r="E4722" s="3" t="str">
        <f>IFERROR(__xludf.DUMMYFUNCTION("GOOGLETRANSLATE(B4722, ""nl"", ""en"")"),"A lightning strike in slow motion")</f>
        <v>A lightning strike in slow motion</v>
      </c>
    </row>
    <row r="4723" ht="15.75" customHeight="1">
      <c r="A4723" s="3" t="s">
        <v>12</v>
      </c>
      <c r="B4723" s="3" t="s">
        <v>30</v>
      </c>
      <c r="D4723" s="3" t="str">
        <f>IFERROR(__xludf.DUMMYFUNCTION("GOOGLETRANSLATE(A4723, ""nl"", ""en"")"),"Nature and Elements")</f>
        <v>Nature and Elements</v>
      </c>
      <c r="E4723" s="3" t="str">
        <f>IFERROR(__xludf.DUMMYFUNCTION("GOOGLETRANSLATE(B4723, ""nl"", ""en"")"),"Waves breaking in fractal patterns")</f>
        <v>Waves breaking in fractal patterns</v>
      </c>
    </row>
    <row r="4724" ht="15.75" customHeight="1">
      <c r="A4724" s="3" t="s">
        <v>12</v>
      </c>
      <c r="B4724" s="3" t="s">
        <v>19</v>
      </c>
      <c r="D4724" s="3" t="str">
        <f>IFERROR(__xludf.DUMMYFUNCTION("GOOGLETRANSLATE(A4724, ""nl"", ""en"")"),"Nature and Elements")</f>
        <v>Nature and Elements</v>
      </c>
      <c r="E4724" s="3" t="str">
        <f>IFERROR(__xludf.DUMMYFUNCTION("GOOGLETRANSLATE(B4724, ""nl"", ""en"")"),"A mountain range that seems to breathe")</f>
        <v>A mountain range that seems to breathe</v>
      </c>
    </row>
    <row r="4725" ht="15.75" customHeight="1">
      <c r="A4725" s="3" t="s">
        <v>9</v>
      </c>
      <c r="B4725" s="3" t="s">
        <v>17</v>
      </c>
      <c r="D4725" s="3" t="str">
        <f>IFERROR(__xludf.DUMMYFUNCTION("GOOGLETRANSLATE(A4725, ""nl"", ""en"")"),"Psychological and Emotional Interpretations")</f>
        <v>Psychological and Emotional Interpretations</v>
      </c>
      <c r="E4725" s="3" t="str">
        <f>IFERROR(__xludf.DUMMYFUNCTION("GOOGLETRANSLATE(B4725, ""nl"", ""en"")"),"A figure that seems to melt")</f>
        <v>A figure that seems to melt</v>
      </c>
    </row>
    <row r="4726" ht="15.75" customHeight="1">
      <c r="A4726" s="3" t="s">
        <v>12</v>
      </c>
      <c r="B4726" s="3" t="s">
        <v>13</v>
      </c>
      <c r="D4726" s="3" t="str">
        <f>IFERROR(__xludf.DUMMYFUNCTION("GOOGLETRANSLATE(A4726, ""nl"", ""en"")"),"Nature and Elements")</f>
        <v>Nature and Elements</v>
      </c>
      <c r="E4726" s="3" t="str">
        <f>IFERROR(__xludf.DUMMYFUNCTION("GOOGLETRANSLATE(B4726, ""nl"", ""en"")"),"A lightning strike in slow motion")</f>
        <v>A lightning strike in slow motion</v>
      </c>
    </row>
    <row r="4727" ht="15.75" customHeight="1">
      <c r="A4727" s="3" t="s">
        <v>15</v>
      </c>
      <c r="B4727" s="3" t="s">
        <v>52</v>
      </c>
      <c r="D4727" s="3" t="str">
        <f>IFERROR(__xludf.DUMMYFUNCTION("GOOGLETRANSLATE(A4727, ""nl"", ""en"")"),"Animals and Organic Forms")</f>
        <v>Animals and Organic Forms</v>
      </c>
      <c r="E4727" s="3" t="str">
        <f>IFERROR(__xludf.DUMMYFUNCTION("GOOGLETRANSLATE(B4727, ""nl"", ""en"")"),"A mask made of leaves")</f>
        <v>A mask made of leaves</v>
      </c>
    </row>
    <row r="4728" ht="15.75" customHeight="1">
      <c r="A4728" s="3" t="s">
        <v>15</v>
      </c>
      <c r="B4728" s="3" t="s">
        <v>50</v>
      </c>
      <c r="D4728" s="3" t="str">
        <f>IFERROR(__xludf.DUMMYFUNCTION("GOOGLETRANSLATE(A4728, ""nl"", ""en"")"),"Animals and Organic Forms")</f>
        <v>Animals and Organic Forms</v>
      </c>
      <c r="E4728" s="3" t="str">
        <f>IFERROR(__xludf.DUMMYFUNCTION("GOOGLETRANSLATE(B4728, ""nl"", ""en"")"),"A squid with extended tentacles")</f>
        <v>A squid with extended tentacles</v>
      </c>
    </row>
    <row r="4729" ht="15.75" customHeight="1">
      <c r="A4729" s="3" t="s">
        <v>9</v>
      </c>
      <c r="B4729" s="3" t="s">
        <v>14</v>
      </c>
      <c r="D4729" s="3" t="str">
        <f>IFERROR(__xludf.DUMMYFUNCTION("GOOGLETRANSLATE(A4729, ""nl"", ""en"")"),"Psychological and Emotional Interpretations")</f>
        <v>Psychological and Emotional Interpretations</v>
      </c>
      <c r="E4729" s="3" t="str">
        <f>IFERROR(__xludf.DUMMYFUNCTION("GOOGLETRANSLATE(B4729, ""nl"", ""en"")"),"An unclear hug")</f>
        <v>An unclear hug</v>
      </c>
    </row>
    <row r="4730" ht="15.75" customHeight="1">
      <c r="A4730" s="3" t="s">
        <v>12</v>
      </c>
      <c r="B4730" s="3" t="s">
        <v>36</v>
      </c>
      <c r="D4730" s="3" t="str">
        <f>IFERROR(__xludf.DUMMYFUNCTION("GOOGLETRANSLATE(A4730, ""nl"", ""en"")"),"Nature and Elements")</f>
        <v>Nature and Elements</v>
      </c>
      <c r="E4730" s="3" t="str">
        <f>IFERROR(__xludf.DUMMYFUNCTION("GOOGLETRANSLATE(B4730, ""nl"", ""en"")"),"A river delta from a bird's-eye view")</f>
        <v>A river delta from a bird's-eye view</v>
      </c>
    </row>
    <row r="4731" ht="15.75" customHeight="1">
      <c r="A4731" s="3" t="s">
        <v>7</v>
      </c>
      <c r="B4731" s="3" t="s">
        <v>53</v>
      </c>
      <c r="D4731" s="3" t="str">
        <f>IFERROR(__xludf.DUMMYFUNCTION("GOOGLETRANSLATE(A4731, ""nl"", ""en"")"),"Human Figures and Physicality")</f>
        <v>Human Figures and Physicality</v>
      </c>
      <c r="E4731" s="3" t="str">
        <f>IFERROR(__xludf.DUMMYFUNCTION("GOOGLETRANSLATE(B4731, ""nl"", ""en"")"),"A face that both smiles and cries")</f>
        <v>A face that both smiles and cries</v>
      </c>
    </row>
    <row r="4732" ht="15.75" customHeight="1">
      <c r="A4732" s="3" t="s">
        <v>7</v>
      </c>
      <c r="B4732" s="3" t="s">
        <v>41</v>
      </c>
      <c r="D4732" s="3" t="str">
        <f>IFERROR(__xludf.DUMMYFUNCTION("GOOGLETRANSLATE(A4732, ""nl"", ""en"")"),"Human Figures and Physicality")</f>
        <v>Human Figures and Physicality</v>
      </c>
      <c r="E4732" s="3" t="str">
        <f>IFERROR(__xludf.DUMMYFUNCTION("GOOGLETRANSLATE(B4732, ""nl"", ""en"")"),"A face that fades into abstraction")</f>
        <v>A face that fades into abstraction</v>
      </c>
    </row>
    <row r="4733" ht="15.75" customHeight="1">
      <c r="A4733" s="3" t="s">
        <v>9</v>
      </c>
      <c r="B4733" s="3" t="s">
        <v>37</v>
      </c>
      <c r="D4733" s="3" t="str">
        <f>IFERROR(__xludf.DUMMYFUNCTION("GOOGLETRANSLATE(A4733, ""nl"", ""en"")"),"Psychological and Emotional Interpretations")</f>
        <v>Psychological and Emotional Interpretations</v>
      </c>
      <c r="E4733" s="3" t="str">
        <f>IFERROR(__xludf.DUMMYFUNCTION("GOOGLETRANSLATE(B4733, ""nl"", ""en"")"),"A figure looking through itself")</f>
        <v>A figure looking through itself</v>
      </c>
    </row>
    <row r="4734" ht="15.75" customHeight="1">
      <c r="A4734" s="3" t="s">
        <v>4</v>
      </c>
      <c r="B4734" s="3" t="s">
        <v>5</v>
      </c>
      <c r="D4734" s="3" t="str">
        <f>IFERROR(__xludf.DUMMYFUNCTION("GOOGLETRANSLATE(A4734, ""nl"", ""en"")"),"Architectural and Structural Associations")</f>
        <v>Architectural and Structural Associations</v>
      </c>
      <c r="E4734" s="3" t="str">
        <f>IFERROR(__xludf.DUMMYFUNCTION("GOOGLETRANSLATE(B4734, ""nl"", ""en"")"),"A cathedral shaped from mist")</f>
        <v>A cathedral shaped from mist</v>
      </c>
    </row>
    <row r="4735" ht="15.75" customHeight="1">
      <c r="A4735" s="3" t="s">
        <v>12</v>
      </c>
      <c r="B4735" s="3" t="s">
        <v>51</v>
      </c>
      <c r="D4735" s="3" t="str">
        <f>IFERROR(__xludf.DUMMYFUNCTION("GOOGLETRANSLATE(A4735, ""nl"", ""en"")"),"Nature and Elements")</f>
        <v>Nature and Elements</v>
      </c>
      <c r="E4735" s="3" t="str">
        <f>IFERROR(__xludf.DUMMYFUNCTION("GOOGLETRANSLATE(B4735, ""nl"", ""en"")"),"An evaporating puddle of water")</f>
        <v>An evaporating puddle of water</v>
      </c>
    </row>
    <row r="4736" ht="15.75" customHeight="1">
      <c r="A4736" s="3" t="s">
        <v>4</v>
      </c>
      <c r="B4736" s="3" t="s">
        <v>35</v>
      </c>
      <c r="D4736" s="3" t="str">
        <f>IFERROR(__xludf.DUMMYFUNCTION("GOOGLETRANSLATE(A4736, ""nl"", ""en"")"),"Architectural and Structural Associations")</f>
        <v>Architectural and Structural Associations</v>
      </c>
      <c r="E4736" s="3" t="str">
        <f>IFERROR(__xludf.DUMMYFUNCTION("GOOGLETRANSLATE(B4736, ""nl"", ""en"")"),"A floating building without a base")</f>
        <v>A floating building without a base</v>
      </c>
    </row>
    <row r="4737" ht="15.75" customHeight="1">
      <c r="A4737" s="3" t="s">
        <v>12</v>
      </c>
      <c r="B4737" s="3" t="s">
        <v>36</v>
      </c>
      <c r="D4737" s="3" t="str">
        <f>IFERROR(__xludf.DUMMYFUNCTION("GOOGLETRANSLATE(A4737, ""nl"", ""en"")"),"Nature and Elements")</f>
        <v>Nature and Elements</v>
      </c>
      <c r="E4737" s="3" t="str">
        <f>IFERROR(__xludf.DUMMYFUNCTION("GOOGLETRANSLATE(B4737, ""nl"", ""en"")"),"A river delta from a bird's-eye view")</f>
        <v>A river delta from a bird's-eye view</v>
      </c>
    </row>
    <row r="4738" ht="15.75" customHeight="1">
      <c r="A4738" s="3" t="s">
        <v>24</v>
      </c>
      <c r="B4738" s="3" t="s">
        <v>31</v>
      </c>
      <c r="D4738" s="3" t="str">
        <f>IFERROR(__xludf.DUMMYFUNCTION("GOOGLETRANSLATE(A4738, ""nl"", ""en"")"),"Cosmic and Abstract Patterns")</f>
        <v>Cosmic and Abstract Patterns</v>
      </c>
      <c r="E4738" s="3" t="str">
        <f>IFERROR(__xludf.DUMMYFUNCTION("GOOGLETRANSLATE(B4738, ""nl"", ""en"")"),"A planet with unusual rings")</f>
        <v>A planet with unusual rings</v>
      </c>
    </row>
    <row r="4739" ht="15.75" customHeight="1">
      <c r="A4739" s="3" t="s">
        <v>4</v>
      </c>
      <c r="B4739" s="3" t="s">
        <v>43</v>
      </c>
      <c r="D4739" s="3" t="str">
        <f>IFERROR(__xludf.DUMMYFUNCTION("GOOGLETRANSLATE(A4739, ""nl"", ""en"")"),"Architectural and Structural Associations")</f>
        <v>Architectural and Structural Associations</v>
      </c>
      <c r="E4739" s="3" t="str">
        <f>IFERROR(__xludf.DUMMYFUNCTION("GOOGLETRANSLATE(B4739, ""nl"", ""en"")"),"A network of tunnels and passages")</f>
        <v>A network of tunnels and passages</v>
      </c>
    </row>
    <row r="4740" ht="15.75" customHeight="1">
      <c r="A4740" s="3" t="s">
        <v>7</v>
      </c>
      <c r="B4740" s="3" t="s">
        <v>8</v>
      </c>
      <c r="D4740" s="3" t="str">
        <f>IFERROR(__xludf.DUMMYFUNCTION("GOOGLETRANSLATE(A4740, ""nl"", ""en"")"),"Human Figures and Physicality")</f>
        <v>Human Figures and Physicality</v>
      </c>
      <c r="E4740" s="3" t="str">
        <f>IFERROR(__xludf.DUMMYFUNCTION("GOOGLETRANSLATE(B4740, ""nl"", ""en"")"),"Two figures mirroring each other")</f>
        <v>Two figures mirroring each other</v>
      </c>
    </row>
    <row r="4741" ht="15.75" customHeight="1">
      <c r="A4741" s="3" t="s">
        <v>9</v>
      </c>
      <c r="B4741" s="3" t="s">
        <v>57</v>
      </c>
      <c r="D4741" s="3" t="str">
        <f>IFERROR(__xludf.DUMMYFUNCTION("GOOGLETRANSLATE(A4741, ""nl"", ""en"")"),"Psychological and Emotional Interpretations")</f>
        <v>Psychological and Emotional Interpretations</v>
      </c>
      <c r="E4741" s="3" t="str">
        <f>IFERROR(__xludf.DUMMYFUNCTION("GOOGLETRANSLATE(B4741, ""nl"", ""en"")"),"An explosion of colours and feelings")</f>
        <v>An explosion of colours and feelings</v>
      </c>
    </row>
    <row r="4742" ht="15.75" customHeight="1">
      <c r="A4742" s="3" t="s">
        <v>9</v>
      </c>
      <c r="B4742" s="3" t="s">
        <v>37</v>
      </c>
      <c r="D4742" s="3" t="str">
        <f>IFERROR(__xludf.DUMMYFUNCTION("GOOGLETRANSLATE(A4742, ""nl"", ""en"")"),"Psychological and Emotional Interpretations")</f>
        <v>Psychological and Emotional Interpretations</v>
      </c>
      <c r="E4742" s="3" t="str">
        <f>IFERROR(__xludf.DUMMYFUNCTION("GOOGLETRANSLATE(B4742, ""nl"", ""en"")"),"A figure looking through itself")</f>
        <v>A figure looking through itself</v>
      </c>
    </row>
    <row r="4743" ht="15.75" customHeight="1">
      <c r="A4743" s="3" t="s">
        <v>12</v>
      </c>
      <c r="B4743" s="3" t="s">
        <v>23</v>
      </c>
      <c r="D4743" s="3" t="str">
        <f>IFERROR(__xludf.DUMMYFUNCTION("GOOGLETRANSLATE(A4743, ""nl"", ""en"")"),"Nature and Elements")</f>
        <v>Nature and Elements</v>
      </c>
      <c r="E4743" s="3" t="str">
        <f>IFERROR(__xludf.DUMMYFUNCTION("GOOGLETRANSLATE(B4743, ""nl"", ""en"")"),"A storm cloud splitting in two")</f>
        <v>A storm cloud splitting in two</v>
      </c>
    </row>
    <row r="4744" ht="15.75" customHeight="1">
      <c r="A4744" s="3" t="s">
        <v>4</v>
      </c>
      <c r="B4744" s="3" t="s">
        <v>55</v>
      </c>
      <c r="D4744" s="3" t="str">
        <f>IFERROR(__xludf.DUMMYFUNCTION("GOOGLETRANSLATE(A4744, ""nl"", ""en"")"),"Architectural and Structural Associations")</f>
        <v>Architectural and Structural Associations</v>
      </c>
      <c r="E4744" s="3" t="str">
        <f>IFERROR(__xludf.DUMMYFUNCTION("GOOGLETRANSLATE(B4744, ""nl"", ""en"")"),"A prism that splits light into colors")</f>
        <v>A prism that splits light into colors</v>
      </c>
    </row>
    <row r="4745" ht="15.75" customHeight="1">
      <c r="A4745" s="3" t="s">
        <v>15</v>
      </c>
      <c r="B4745" s="3" t="s">
        <v>50</v>
      </c>
      <c r="D4745" s="3" t="str">
        <f>IFERROR(__xludf.DUMMYFUNCTION("GOOGLETRANSLATE(A4745, ""nl"", ""en"")"),"Animals and Organic Forms")</f>
        <v>Animals and Organic Forms</v>
      </c>
      <c r="E4745" s="3" t="str">
        <f>IFERROR(__xludf.DUMMYFUNCTION("GOOGLETRANSLATE(B4745, ""nl"", ""en"")"),"A squid with extended tentacles")</f>
        <v>A squid with extended tentacles</v>
      </c>
    </row>
    <row r="4746" ht="15.75" customHeight="1">
      <c r="A4746" s="3" t="s">
        <v>4</v>
      </c>
      <c r="B4746" s="3" t="s">
        <v>55</v>
      </c>
      <c r="D4746" s="3" t="str">
        <f>IFERROR(__xludf.DUMMYFUNCTION("GOOGLETRANSLATE(A4746, ""nl"", ""en"")"),"Architectural and Structural Associations")</f>
        <v>Architectural and Structural Associations</v>
      </c>
      <c r="E4746" s="3" t="str">
        <f>IFERROR(__xludf.DUMMYFUNCTION("GOOGLETRANSLATE(B4746, ""nl"", ""en"")"),"A prism that splits light into colors")</f>
        <v>A prism that splits light into colors</v>
      </c>
    </row>
    <row r="4747" ht="15.75" customHeight="1">
      <c r="A4747" s="3" t="s">
        <v>4</v>
      </c>
      <c r="B4747" s="3" t="s">
        <v>43</v>
      </c>
      <c r="D4747" s="3" t="str">
        <f>IFERROR(__xludf.DUMMYFUNCTION("GOOGLETRANSLATE(A4747, ""nl"", ""en"")"),"Architectural and Structural Associations")</f>
        <v>Architectural and Structural Associations</v>
      </c>
      <c r="E4747" s="3" t="str">
        <f>IFERROR(__xludf.DUMMYFUNCTION("GOOGLETRANSLATE(B4747, ""nl"", ""en"")"),"A network of tunnels and passages")</f>
        <v>A network of tunnels and passages</v>
      </c>
    </row>
    <row r="4748" ht="15.75" customHeight="1">
      <c r="A4748" s="3" t="s">
        <v>9</v>
      </c>
      <c r="B4748" s="3" t="s">
        <v>42</v>
      </c>
      <c r="D4748" s="3" t="str">
        <f>IFERROR(__xludf.DUMMYFUNCTION("GOOGLETRANSLATE(A4748, ""nl"", ""en"")"),"Psychological and Emotional Interpretations")</f>
        <v>Psychological and Emotional Interpretations</v>
      </c>
      <c r="E4748" s="3" t="str">
        <f>IFERROR(__xludf.DUMMYFUNCTION("GOOGLETRANSLATE(B4748, ""nl"", ""en"")"),"A mask that slowly disappears")</f>
        <v>A mask that slowly disappears</v>
      </c>
    </row>
    <row r="4749" ht="15.75" customHeight="1">
      <c r="A4749" s="3" t="s">
        <v>9</v>
      </c>
      <c r="B4749" s="3" t="s">
        <v>17</v>
      </c>
      <c r="D4749" s="3" t="str">
        <f>IFERROR(__xludf.DUMMYFUNCTION("GOOGLETRANSLATE(A4749, ""nl"", ""en"")"),"Psychological and Emotional Interpretations")</f>
        <v>Psychological and Emotional Interpretations</v>
      </c>
      <c r="E4749" s="3" t="str">
        <f>IFERROR(__xludf.DUMMYFUNCTION("GOOGLETRANSLATE(B4749, ""nl"", ""en"")"),"A figure that seems to melt")</f>
        <v>A figure that seems to melt</v>
      </c>
    </row>
    <row r="4750" ht="15.75" customHeight="1">
      <c r="A4750" s="3" t="s">
        <v>15</v>
      </c>
      <c r="B4750" s="3" t="s">
        <v>45</v>
      </c>
      <c r="D4750" s="3" t="str">
        <f>IFERROR(__xludf.DUMMYFUNCTION("GOOGLETRANSLATE(A4750, ""nl"", ""en"")"),"Animals and Organic Forms")</f>
        <v>Animals and Organic Forms</v>
      </c>
      <c r="E4750" s="3" t="str">
        <f>IFERROR(__xludf.DUMMYFUNCTION("GOOGLETRANSLATE(B4750, ""nl"", ""en"")"),"A snake biting its own tail")</f>
        <v>A snake biting its own tail</v>
      </c>
    </row>
    <row r="4751" ht="15.75" customHeight="1">
      <c r="A4751" s="3" t="s">
        <v>24</v>
      </c>
      <c r="B4751" s="3" t="s">
        <v>48</v>
      </c>
      <c r="D4751" s="3" t="str">
        <f>IFERROR(__xludf.DUMMYFUNCTION("GOOGLETRANSLATE(A4751, ""nl"", ""en"")"),"Cosmic and Abstract Patterns")</f>
        <v>Cosmic and Abstract Patterns</v>
      </c>
      <c r="E4751" s="3" t="str">
        <f>IFERROR(__xludf.DUMMYFUNCTION("GOOGLETRANSLATE(B4751, ""nl"", ""en"")"),"A fractal that repeats itself")</f>
        <v>A fractal that repeats itself</v>
      </c>
    </row>
    <row r="4752" ht="15.75" customHeight="1">
      <c r="A4752" s="3" t="s">
        <v>7</v>
      </c>
      <c r="B4752" s="3" t="s">
        <v>39</v>
      </c>
      <c r="D4752" s="3" t="str">
        <f>IFERROR(__xludf.DUMMYFUNCTION("GOOGLETRANSLATE(A4752, ""nl"", ""en"")"),"Human Figures and Physicality")</f>
        <v>Human Figures and Physicality</v>
      </c>
      <c r="E4752" s="3" t="str">
        <f>IFERROR(__xludf.DUMMYFUNCTION("GOOGLETRANSLATE(B4752, ""nl"", ""en"")"),"A torso without a head")</f>
        <v>A torso without a head</v>
      </c>
    </row>
    <row r="4753" ht="15.75" customHeight="1">
      <c r="A4753" s="3" t="s">
        <v>9</v>
      </c>
      <c r="B4753" s="3" t="s">
        <v>10</v>
      </c>
      <c r="D4753" s="3" t="str">
        <f>IFERROR(__xludf.DUMMYFUNCTION("GOOGLETRANSLATE(A4753, ""nl"", ""en"")"),"Psychological and Emotional Interpretations")</f>
        <v>Psychological and Emotional Interpretations</v>
      </c>
      <c r="E4753" s="3" t="str">
        <f>IFERROR(__xludf.DUMMYFUNCTION("GOOGLETRANSLATE(B4753, ""nl"", ""en"")"),"A face transforming in light")</f>
        <v>A face transforming in light</v>
      </c>
    </row>
    <row r="4754" ht="15.75" customHeight="1">
      <c r="A4754" s="3" t="s">
        <v>4</v>
      </c>
      <c r="B4754" s="3" t="s">
        <v>35</v>
      </c>
      <c r="D4754" s="3" t="str">
        <f>IFERROR(__xludf.DUMMYFUNCTION("GOOGLETRANSLATE(A4754, ""nl"", ""en"")"),"Architectural and Structural Associations")</f>
        <v>Architectural and Structural Associations</v>
      </c>
      <c r="E4754" s="3" t="str">
        <f>IFERROR(__xludf.DUMMYFUNCTION("GOOGLETRANSLATE(B4754, ""nl"", ""en"")"),"A floating building without a base")</f>
        <v>A floating building without a base</v>
      </c>
    </row>
    <row r="4755" ht="15.75" customHeight="1">
      <c r="A4755" s="3" t="s">
        <v>15</v>
      </c>
      <c r="B4755" s="3" t="s">
        <v>26</v>
      </c>
      <c r="D4755" s="3" t="str">
        <f>IFERROR(__xludf.DUMMYFUNCTION("GOOGLETRANSLATE(A4755, ""nl"", ""en"")"),"Animals and Organic Forms")</f>
        <v>Animals and Organic Forms</v>
      </c>
      <c r="E4755" s="3" t="str">
        <f>IFERROR(__xludf.DUMMYFUNCTION("GOOGLETRANSLATE(B4755, ""nl"", ""en"")"),"A frog preparing to jump")</f>
        <v>A frog preparing to jump</v>
      </c>
    </row>
    <row r="4756" ht="15.75" customHeight="1">
      <c r="A4756" s="3" t="s">
        <v>4</v>
      </c>
      <c r="B4756" s="3" t="s">
        <v>43</v>
      </c>
      <c r="D4756" s="3" t="str">
        <f>IFERROR(__xludf.DUMMYFUNCTION("GOOGLETRANSLATE(A4756, ""nl"", ""en"")"),"Architectural and Structural Associations")</f>
        <v>Architectural and Structural Associations</v>
      </c>
      <c r="E4756" s="3" t="str">
        <f>IFERROR(__xludf.DUMMYFUNCTION("GOOGLETRANSLATE(B4756, ""nl"", ""en"")"),"A network of tunnels and passages")</f>
        <v>A network of tunnels and passages</v>
      </c>
    </row>
    <row r="4757" ht="15.75" customHeight="1">
      <c r="A4757" s="3" t="s">
        <v>24</v>
      </c>
      <c r="B4757" s="3" t="s">
        <v>54</v>
      </c>
      <c r="D4757" s="3" t="str">
        <f>IFERROR(__xludf.DUMMYFUNCTION("GOOGLETRANSLATE(A4757, ""nl"", ""en"")"),"Cosmic and Abstract Patterns")</f>
        <v>Cosmic and Abstract Patterns</v>
      </c>
      <c r="E4757" s="3" t="str">
        <f>IFERROR(__xludf.DUMMYFUNCTION("GOOGLETRANSLATE(B4757, ""nl"", ""en"")"),"A quantum particle in superposition")</f>
        <v>A quantum particle in superposition</v>
      </c>
    </row>
    <row r="4758" ht="15.75" customHeight="1">
      <c r="A4758" s="3" t="s">
        <v>4</v>
      </c>
      <c r="B4758" s="3" t="s">
        <v>5</v>
      </c>
      <c r="D4758" s="3" t="str">
        <f>IFERROR(__xludf.DUMMYFUNCTION("GOOGLETRANSLATE(A4758, ""nl"", ""en"")"),"Architectural and Structural Associations")</f>
        <v>Architectural and Structural Associations</v>
      </c>
      <c r="E4758" s="3" t="str">
        <f>IFERROR(__xludf.DUMMYFUNCTION("GOOGLETRANSLATE(B4758, ""nl"", ""en"")"),"A cathedral shaped from mist")</f>
        <v>A cathedral shaped from mist</v>
      </c>
    </row>
    <row r="4759" ht="15.75" customHeight="1">
      <c r="A4759" s="3" t="s">
        <v>4</v>
      </c>
      <c r="B4759" s="3" t="s">
        <v>6</v>
      </c>
      <c r="D4759" s="3" t="str">
        <f>IFERROR(__xludf.DUMMYFUNCTION("GOOGLETRANSLATE(A4759, ""nl"", ""en"")"),"Architectural and Structural Associations")</f>
        <v>Architectural and Structural Associations</v>
      </c>
      <c r="E4759" s="3" t="str">
        <f>IFERROR(__xludf.DUMMYFUNCTION("GOOGLETRANSLATE(B4759, ""nl"", ""en"")"),"An endless labyrinth")</f>
        <v>An endless labyrinth</v>
      </c>
    </row>
    <row r="4760" ht="15.75" customHeight="1">
      <c r="A4760" s="3" t="s">
        <v>15</v>
      </c>
      <c r="B4760" s="3" t="s">
        <v>52</v>
      </c>
      <c r="D4760" s="3" t="str">
        <f>IFERROR(__xludf.DUMMYFUNCTION("GOOGLETRANSLATE(A4760, ""nl"", ""en"")"),"Animals and Organic Forms")</f>
        <v>Animals and Organic Forms</v>
      </c>
      <c r="E4760" s="3" t="str">
        <f>IFERROR(__xludf.DUMMYFUNCTION("GOOGLETRANSLATE(B4760, ""nl"", ""en"")"),"A mask made of leaves")</f>
        <v>A mask made of leaves</v>
      </c>
    </row>
    <row r="4761" ht="15.75" customHeight="1">
      <c r="A4761" s="3" t="s">
        <v>7</v>
      </c>
      <c r="B4761" s="3" t="s">
        <v>56</v>
      </c>
      <c r="D4761" s="3" t="str">
        <f>IFERROR(__xludf.DUMMYFUNCTION("GOOGLETRANSLATE(A4761, ""nl"", ""en"")"),"Human Figures and Physicality")</f>
        <v>Human Figures and Physicality</v>
      </c>
      <c r="E4761" s="3" t="str">
        <f>IFERROR(__xludf.DUMMYFUNCTION("GOOGLETRANSLATE(B4761, ""nl"", ""en"")"),"A shadow that seems to move")</f>
        <v>A shadow that seems to move</v>
      </c>
    </row>
    <row r="4762" ht="15.75" customHeight="1">
      <c r="A4762" s="3" t="s">
        <v>24</v>
      </c>
      <c r="B4762" s="3" t="s">
        <v>48</v>
      </c>
      <c r="D4762" s="3" t="str">
        <f>IFERROR(__xludf.DUMMYFUNCTION("GOOGLETRANSLATE(A4762, ""nl"", ""en"")"),"Cosmic and Abstract Patterns")</f>
        <v>Cosmic and Abstract Patterns</v>
      </c>
      <c r="E4762" s="3" t="str">
        <f>IFERROR(__xludf.DUMMYFUNCTION("GOOGLETRANSLATE(B4762, ""nl"", ""en"")"),"A fractal that repeats itself")</f>
        <v>A fractal that repeats itself</v>
      </c>
    </row>
    <row r="4763" ht="15.75" customHeight="1">
      <c r="A4763" s="3" t="s">
        <v>7</v>
      </c>
      <c r="B4763" s="3" t="s">
        <v>56</v>
      </c>
      <c r="D4763" s="3" t="str">
        <f>IFERROR(__xludf.DUMMYFUNCTION("GOOGLETRANSLATE(A4763, ""nl"", ""en"")"),"Human Figures and Physicality")</f>
        <v>Human Figures and Physicality</v>
      </c>
      <c r="E4763" s="3" t="str">
        <f>IFERROR(__xludf.DUMMYFUNCTION("GOOGLETRANSLATE(B4763, ""nl"", ""en"")"),"A shadow that seems to move")</f>
        <v>A shadow that seems to move</v>
      </c>
    </row>
    <row r="4764" ht="15.75" customHeight="1">
      <c r="A4764" s="3" t="s">
        <v>7</v>
      </c>
      <c r="B4764" s="3" t="s">
        <v>40</v>
      </c>
      <c r="D4764" s="3" t="str">
        <f>IFERROR(__xludf.DUMMYFUNCTION("GOOGLETRANSLATE(A4764, ""nl"", ""en"")"),"Human Figures and Physicality")</f>
        <v>Human Figures and Physicality</v>
      </c>
      <c r="E4764" s="3" t="str">
        <f>IFERROR(__xludf.DUMMYFUNCTION("GOOGLETRANSLATE(B4764, ""nl"", ""en"")"),"A figure who is withdrawn into himself")</f>
        <v>A figure who is withdrawn into himself</v>
      </c>
    </row>
    <row r="4765" ht="15.75" customHeight="1">
      <c r="A4765" s="3" t="s">
        <v>4</v>
      </c>
      <c r="B4765" s="3" t="s">
        <v>35</v>
      </c>
      <c r="D4765" s="3" t="str">
        <f>IFERROR(__xludf.DUMMYFUNCTION("GOOGLETRANSLATE(A4765, ""nl"", ""en"")"),"Architectural and Structural Associations")</f>
        <v>Architectural and Structural Associations</v>
      </c>
      <c r="E4765" s="3" t="str">
        <f>IFERROR(__xludf.DUMMYFUNCTION("GOOGLETRANSLATE(B4765, ""nl"", ""en"")"),"A floating building without a base")</f>
        <v>A floating building without a base</v>
      </c>
    </row>
    <row r="4766" ht="15.75" customHeight="1">
      <c r="A4766" s="3" t="s">
        <v>4</v>
      </c>
      <c r="B4766" s="3" t="s">
        <v>6</v>
      </c>
      <c r="D4766" s="3" t="str">
        <f>IFERROR(__xludf.DUMMYFUNCTION("GOOGLETRANSLATE(A4766, ""nl"", ""en"")"),"Architectural and Structural Associations")</f>
        <v>Architectural and Structural Associations</v>
      </c>
      <c r="E4766" s="3" t="str">
        <f>IFERROR(__xludf.DUMMYFUNCTION("GOOGLETRANSLATE(B4766, ""nl"", ""en"")"),"An endless labyrinth")</f>
        <v>An endless labyrinth</v>
      </c>
    </row>
    <row r="4767" ht="15.75" customHeight="1">
      <c r="A4767" s="3" t="s">
        <v>4</v>
      </c>
      <c r="B4767" s="3" t="s">
        <v>43</v>
      </c>
      <c r="D4767" s="3" t="str">
        <f>IFERROR(__xludf.DUMMYFUNCTION("GOOGLETRANSLATE(A4767, ""nl"", ""en"")"),"Architectural and Structural Associations")</f>
        <v>Architectural and Structural Associations</v>
      </c>
      <c r="E4767" s="3" t="str">
        <f>IFERROR(__xludf.DUMMYFUNCTION("GOOGLETRANSLATE(B4767, ""nl"", ""en"")"),"A network of tunnels and passages")</f>
        <v>A network of tunnels and passages</v>
      </c>
    </row>
    <row r="4768" ht="15.75" customHeight="1">
      <c r="A4768" s="3" t="s">
        <v>7</v>
      </c>
      <c r="B4768" s="3" t="s">
        <v>40</v>
      </c>
      <c r="D4768" s="3" t="str">
        <f>IFERROR(__xludf.DUMMYFUNCTION("GOOGLETRANSLATE(A4768, ""nl"", ""en"")"),"Human Figures and Physicality")</f>
        <v>Human Figures and Physicality</v>
      </c>
      <c r="E4768" s="3" t="str">
        <f>IFERROR(__xludf.DUMMYFUNCTION("GOOGLETRANSLATE(B4768, ""nl"", ""en"")"),"A figure who is withdrawn into himself")</f>
        <v>A figure who is withdrawn into himself</v>
      </c>
    </row>
    <row r="4769" ht="15.75" customHeight="1">
      <c r="A4769" s="3" t="s">
        <v>9</v>
      </c>
      <c r="B4769" s="3" t="s">
        <v>42</v>
      </c>
      <c r="D4769" s="3" t="str">
        <f>IFERROR(__xludf.DUMMYFUNCTION("GOOGLETRANSLATE(A4769, ""nl"", ""en"")"),"Psychological and Emotional Interpretations")</f>
        <v>Psychological and Emotional Interpretations</v>
      </c>
      <c r="E4769" s="3" t="str">
        <f>IFERROR(__xludf.DUMMYFUNCTION("GOOGLETRANSLATE(B4769, ""nl"", ""en"")"),"A mask that slowly disappears")</f>
        <v>A mask that slowly disappears</v>
      </c>
    </row>
    <row r="4770" ht="15.75" customHeight="1">
      <c r="A4770" s="3" t="s">
        <v>9</v>
      </c>
      <c r="B4770" s="3" t="s">
        <v>42</v>
      </c>
      <c r="D4770" s="3" t="str">
        <f>IFERROR(__xludf.DUMMYFUNCTION("GOOGLETRANSLATE(A4770, ""nl"", ""en"")"),"Psychological and Emotional Interpretations")</f>
        <v>Psychological and Emotional Interpretations</v>
      </c>
      <c r="E4770" s="3" t="str">
        <f>IFERROR(__xludf.DUMMYFUNCTION("GOOGLETRANSLATE(B4770, ""nl"", ""en"")"),"A mask that slowly disappears")</f>
        <v>A mask that slowly disappears</v>
      </c>
    </row>
    <row r="4771" ht="15.75" customHeight="1">
      <c r="A4771" s="3" t="s">
        <v>9</v>
      </c>
      <c r="B4771" s="3" t="s">
        <v>42</v>
      </c>
      <c r="D4771" s="3" t="str">
        <f>IFERROR(__xludf.DUMMYFUNCTION("GOOGLETRANSLATE(A4771, ""nl"", ""en"")"),"Psychological and Emotional Interpretations")</f>
        <v>Psychological and Emotional Interpretations</v>
      </c>
      <c r="E4771" s="3" t="str">
        <f>IFERROR(__xludf.DUMMYFUNCTION("GOOGLETRANSLATE(B4771, ""nl"", ""en"")"),"A mask that slowly disappears")</f>
        <v>A mask that slowly disappears</v>
      </c>
    </row>
    <row r="4772" ht="15.75" customHeight="1">
      <c r="A4772" s="3" t="s">
        <v>12</v>
      </c>
      <c r="B4772" s="3" t="s">
        <v>13</v>
      </c>
      <c r="D4772" s="3" t="str">
        <f>IFERROR(__xludf.DUMMYFUNCTION("GOOGLETRANSLATE(A4772, ""nl"", ""en"")"),"Nature and Elements")</f>
        <v>Nature and Elements</v>
      </c>
      <c r="E4772" s="3" t="str">
        <f>IFERROR(__xludf.DUMMYFUNCTION("GOOGLETRANSLATE(B4772, ""nl"", ""en"")"),"A lightning strike in slow motion")</f>
        <v>A lightning strike in slow motion</v>
      </c>
    </row>
    <row r="4773" ht="15.75" customHeight="1">
      <c r="A4773" s="3" t="s">
        <v>24</v>
      </c>
      <c r="B4773" s="3" t="s">
        <v>31</v>
      </c>
      <c r="D4773" s="3" t="str">
        <f>IFERROR(__xludf.DUMMYFUNCTION("GOOGLETRANSLATE(A4773, ""nl"", ""en"")"),"Cosmic and Abstract Patterns")</f>
        <v>Cosmic and Abstract Patterns</v>
      </c>
      <c r="E4773" s="3" t="str">
        <f>IFERROR(__xludf.DUMMYFUNCTION("GOOGLETRANSLATE(B4773, ""nl"", ""en"")"),"A planet with unusual rings")</f>
        <v>A planet with unusual rings</v>
      </c>
    </row>
    <row r="4774" ht="15.75" customHeight="1">
      <c r="A4774" s="3" t="s">
        <v>15</v>
      </c>
      <c r="B4774" s="3" t="s">
        <v>52</v>
      </c>
      <c r="D4774" s="3" t="str">
        <f>IFERROR(__xludf.DUMMYFUNCTION("GOOGLETRANSLATE(A4774, ""nl"", ""en"")"),"Animals and Organic Forms")</f>
        <v>Animals and Organic Forms</v>
      </c>
      <c r="E4774" s="3" t="str">
        <f>IFERROR(__xludf.DUMMYFUNCTION("GOOGLETRANSLATE(B4774, ""nl"", ""en"")"),"A mask made of leaves")</f>
        <v>A mask made of leaves</v>
      </c>
    </row>
    <row r="4775" ht="15.75" customHeight="1">
      <c r="A4775" s="3" t="s">
        <v>12</v>
      </c>
      <c r="B4775" s="3" t="s">
        <v>51</v>
      </c>
      <c r="D4775" s="3" t="str">
        <f>IFERROR(__xludf.DUMMYFUNCTION("GOOGLETRANSLATE(A4775, ""nl"", ""en"")"),"Nature and Elements")</f>
        <v>Nature and Elements</v>
      </c>
      <c r="E4775" s="3" t="str">
        <f>IFERROR(__xludf.DUMMYFUNCTION("GOOGLETRANSLATE(B4775, ""nl"", ""en"")"),"An evaporating puddle of water")</f>
        <v>An evaporating puddle of water</v>
      </c>
    </row>
    <row r="4776" ht="15.75" customHeight="1">
      <c r="A4776" s="3" t="s">
        <v>9</v>
      </c>
      <c r="B4776" s="3" t="s">
        <v>57</v>
      </c>
      <c r="D4776" s="3" t="str">
        <f>IFERROR(__xludf.DUMMYFUNCTION("GOOGLETRANSLATE(A4776, ""nl"", ""en"")"),"Psychological and Emotional Interpretations")</f>
        <v>Psychological and Emotional Interpretations</v>
      </c>
      <c r="E4776" s="3" t="str">
        <f>IFERROR(__xludf.DUMMYFUNCTION("GOOGLETRANSLATE(B4776, ""nl"", ""en"")"),"An explosion of colours and feelings")</f>
        <v>An explosion of colours and feelings</v>
      </c>
    </row>
    <row r="4777" ht="15.75" customHeight="1">
      <c r="A4777" s="3" t="s">
        <v>24</v>
      </c>
      <c r="B4777" s="3" t="s">
        <v>25</v>
      </c>
      <c r="D4777" s="3" t="str">
        <f>IFERROR(__xludf.DUMMYFUNCTION("GOOGLETRANSLATE(A4777, ""nl"", ""en"")"),"Cosmic and Abstract Patterns")</f>
        <v>Cosmic and Abstract Patterns</v>
      </c>
      <c r="E4777" s="3" t="str">
        <f>IFERROR(__xludf.DUMMYFUNCTION("GOOGLETRANSLATE(B4777, ""nl"", ""en"")"),"A meteor shower dissolving into each other")</f>
        <v>A meteor shower dissolving into each other</v>
      </c>
    </row>
    <row r="4778" ht="15.75" customHeight="1">
      <c r="A4778" s="3" t="s">
        <v>24</v>
      </c>
      <c r="B4778" s="3" t="s">
        <v>32</v>
      </c>
      <c r="D4778" s="3" t="str">
        <f>IFERROR(__xludf.DUMMYFUNCTION("GOOGLETRANSLATE(A4778, ""nl"", ""en"")"),"Cosmic and Abstract Patterns")</f>
        <v>Cosmic and Abstract Patterns</v>
      </c>
      <c r="E4778" s="3" t="str">
        <f>IFERROR(__xludf.DUMMYFUNCTION("GOOGLETRANSLATE(B4778, ""nl"", ""en"")"),"A time loop captured in image")</f>
        <v>A time loop captured in image</v>
      </c>
    </row>
    <row r="4779" ht="15.75" customHeight="1">
      <c r="A4779" s="3" t="s">
        <v>9</v>
      </c>
      <c r="B4779" s="3" t="s">
        <v>14</v>
      </c>
      <c r="D4779" s="3" t="str">
        <f>IFERROR(__xludf.DUMMYFUNCTION("GOOGLETRANSLATE(A4779, ""nl"", ""en"")"),"Psychological and Emotional Interpretations")</f>
        <v>Psychological and Emotional Interpretations</v>
      </c>
      <c r="E4779" s="3" t="str">
        <f>IFERROR(__xludf.DUMMYFUNCTION("GOOGLETRANSLATE(B4779, ""nl"", ""en"")"),"An unclear hug")</f>
        <v>An unclear hug</v>
      </c>
    </row>
    <row r="4780" ht="15.75" customHeight="1">
      <c r="A4780" s="3" t="s">
        <v>24</v>
      </c>
      <c r="B4780" s="3" t="s">
        <v>32</v>
      </c>
      <c r="D4780" s="3" t="str">
        <f>IFERROR(__xludf.DUMMYFUNCTION("GOOGLETRANSLATE(A4780, ""nl"", ""en"")"),"Cosmic and Abstract Patterns")</f>
        <v>Cosmic and Abstract Patterns</v>
      </c>
      <c r="E4780" s="3" t="str">
        <f>IFERROR(__xludf.DUMMYFUNCTION("GOOGLETRANSLATE(B4780, ""nl"", ""en"")"),"A time loop captured in image")</f>
        <v>A time loop captured in image</v>
      </c>
    </row>
    <row r="4781" ht="15.75" customHeight="1">
      <c r="A4781" s="3" t="s">
        <v>15</v>
      </c>
      <c r="B4781" s="3" t="s">
        <v>26</v>
      </c>
      <c r="D4781" s="3" t="str">
        <f>IFERROR(__xludf.DUMMYFUNCTION("GOOGLETRANSLATE(A4781, ""nl"", ""en"")"),"Animals and Organic Forms")</f>
        <v>Animals and Organic Forms</v>
      </c>
      <c r="E4781" s="3" t="str">
        <f>IFERROR(__xludf.DUMMYFUNCTION("GOOGLETRANSLATE(B4781, ""nl"", ""en"")"),"A frog preparing to jump")</f>
        <v>A frog preparing to jump</v>
      </c>
    </row>
    <row r="4782" ht="15.75" customHeight="1">
      <c r="A4782" s="3" t="s">
        <v>24</v>
      </c>
      <c r="B4782" s="3" t="s">
        <v>31</v>
      </c>
      <c r="D4782" s="3" t="str">
        <f>IFERROR(__xludf.DUMMYFUNCTION("GOOGLETRANSLATE(A4782, ""nl"", ""en"")"),"Cosmic and Abstract Patterns")</f>
        <v>Cosmic and Abstract Patterns</v>
      </c>
      <c r="E4782" s="3" t="str">
        <f>IFERROR(__xludf.DUMMYFUNCTION("GOOGLETRANSLATE(B4782, ""nl"", ""en"")"),"A planet with unusual rings")</f>
        <v>A planet with unusual rings</v>
      </c>
    </row>
    <row r="4783" ht="15.75" customHeight="1">
      <c r="A4783" s="3" t="s">
        <v>9</v>
      </c>
      <c r="B4783" s="3" t="s">
        <v>42</v>
      </c>
      <c r="D4783" s="3" t="str">
        <f>IFERROR(__xludf.DUMMYFUNCTION("GOOGLETRANSLATE(A4783, ""nl"", ""en"")"),"Psychological and Emotional Interpretations")</f>
        <v>Psychological and Emotional Interpretations</v>
      </c>
      <c r="E4783" s="3" t="str">
        <f>IFERROR(__xludf.DUMMYFUNCTION("GOOGLETRANSLATE(B4783, ""nl"", ""en"")"),"A mask that slowly disappears")</f>
        <v>A mask that slowly disappears</v>
      </c>
    </row>
    <row r="4784" ht="15.75" customHeight="1">
      <c r="A4784" s="3" t="s">
        <v>15</v>
      </c>
      <c r="B4784" s="3" t="s">
        <v>52</v>
      </c>
      <c r="D4784" s="3" t="str">
        <f>IFERROR(__xludf.DUMMYFUNCTION("GOOGLETRANSLATE(A4784, ""nl"", ""en"")"),"Animals and Organic Forms")</f>
        <v>Animals and Organic Forms</v>
      </c>
      <c r="E4784" s="3" t="str">
        <f>IFERROR(__xludf.DUMMYFUNCTION("GOOGLETRANSLATE(B4784, ""nl"", ""en"")"),"A mask made of leaves")</f>
        <v>A mask made of leaves</v>
      </c>
    </row>
    <row r="4785" ht="15.75" customHeight="1">
      <c r="A4785" s="3" t="s">
        <v>24</v>
      </c>
      <c r="B4785" s="3" t="s">
        <v>25</v>
      </c>
      <c r="D4785" s="3" t="str">
        <f>IFERROR(__xludf.DUMMYFUNCTION("GOOGLETRANSLATE(A4785, ""nl"", ""en"")"),"Cosmic and Abstract Patterns")</f>
        <v>Cosmic and Abstract Patterns</v>
      </c>
      <c r="E4785" s="3" t="str">
        <f>IFERROR(__xludf.DUMMYFUNCTION("GOOGLETRANSLATE(B4785, ""nl"", ""en"")"),"A meteor shower dissolving into each other")</f>
        <v>A meteor shower dissolving into each other</v>
      </c>
    </row>
    <row r="4786" ht="15.75" customHeight="1">
      <c r="A4786" s="3" t="s">
        <v>4</v>
      </c>
      <c r="B4786" s="3" t="s">
        <v>43</v>
      </c>
      <c r="D4786" s="3" t="str">
        <f>IFERROR(__xludf.DUMMYFUNCTION("GOOGLETRANSLATE(A4786, ""nl"", ""en"")"),"Architectural and Structural Associations")</f>
        <v>Architectural and Structural Associations</v>
      </c>
      <c r="E4786" s="3" t="str">
        <f>IFERROR(__xludf.DUMMYFUNCTION("GOOGLETRANSLATE(B4786, ""nl"", ""en"")"),"A network of tunnels and passages")</f>
        <v>A network of tunnels and passages</v>
      </c>
    </row>
    <row r="4787" ht="15.75" customHeight="1">
      <c r="A4787" s="3" t="s">
        <v>4</v>
      </c>
      <c r="B4787" s="3" t="s">
        <v>44</v>
      </c>
      <c r="D4787" s="3" t="str">
        <f>IFERROR(__xludf.DUMMYFUNCTION("GOOGLETRANSLATE(A4787, ""nl"", ""en"")"),"Architectural and Structural Associations")</f>
        <v>Architectural and Structural Associations</v>
      </c>
      <c r="E4787" s="3" t="str">
        <f>IFERROR(__xludf.DUMMYFUNCTION("GOOGLETRANSLATE(B4787, ""nl"", ""en"")"),"A structure that pulsates in waves")</f>
        <v>A structure that pulsates in waves</v>
      </c>
    </row>
    <row r="4788" ht="15.75" customHeight="1">
      <c r="A4788" s="3" t="s">
        <v>4</v>
      </c>
      <c r="B4788" s="3" t="s">
        <v>35</v>
      </c>
      <c r="D4788" s="3" t="str">
        <f>IFERROR(__xludf.DUMMYFUNCTION("GOOGLETRANSLATE(A4788, ""nl"", ""en"")"),"Architectural and Structural Associations")</f>
        <v>Architectural and Structural Associations</v>
      </c>
      <c r="E4788" s="3" t="str">
        <f>IFERROR(__xludf.DUMMYFUNCTION("GOOGLETRANSLATE(B4788, ""nl"", ""en"")"),"A floating building without a base")</f>
        <v>A floating building without a base</v>
      </c>
    </row>
    <row r="4789" ht="15.75" customHeight="1">
      <c r="A4789" s="3" t="s">
        <v>12</v>
      </c>
      <c r="B4789" s="3" t="s">
        <v>36</v>
      </c>
      <c r="D4789" s="3" t="str">
        <f>IFERROR(__xludf.DUMMYFUNCTION("GOOGLETRANSLATE(A4789, ""nl"", ""en"")"),"Nature and Elements")</f>
        <v>Nature and Elements</v>
      </c>
      <c r="E4789" s="3" t="str">
        <f>IFERROR(__xludf.DUMMYFUNCTION("GOOGLETRANSLATE(B4789, ""nl"", ""en"")"),"A river delta from a bird's-eye view")</f>
        <v>A river delta from a bird's-eye view</v>
      </c>
    </row>
    <row r="4790" ht="15.75" customHeight="1">
      <c r="A4790" s="3" t="s">
        <v>12</v>
      </c>
      <c r="B4790" s="3" t="s">
        <v>36</v>
      </c>
      <c r="D4790" s="3" t="str">
        <f>IFERROR(__xludf.DUMMYFUNCTION("GOOGLETRANSLATE(A4790, ""nl"", ""en"")"),"Nature and Elements")</f>
        <v>Nature and Elements</v>
      </c>
      <c r="E4790" s="3" t="str">
        <f>IFERROR(__xludf.DUMMYFUNCTION("GOOGLETRANSLATE(B4790, ""nl"", ""en"")"),"A river delta from a bird's-eye view")</f>
        <v>A river delta from a bird's-eye view</v>
      </c>
    </row>
    <row r="4791" ht="15.75" customHeight="1">
      <c r="A4791" s="3" t="s">
        <v>12</v>
      </c>
      <c r="B4791" s="3" t="s">
        <v>13</v>
      </c>
      <c r="D4791" s="3" t="str">
        <f>IFERROR(__xludf.DUMMYFUNCTION("GOOGLETRANSLATE(A4791, ""nl"", ""en"")"),"Nature and Elements")</f>
        <v>Nature and Elements</v>
      </c>
      <c r="E4791" s="3" t="str">
        <f>IFERROR(__xludf.DUMMYFUNCTION("GOOGLETRANSLATE(B4791, ""nl"", ""en"")"),"A lightning strike in slow motion")</f>
        <v>A lightning strike in slow motion</v>
      </c>
    </row>
    <row r="4792" ht="15.75" customHeight="1">
      <c r="A4792" s="3" t="s">
        <v>7</v>
      </c>
      <c r="B4792" s="3" t="s">
        <v>41</v>
      </c>
      <c r="D4792" s="3" t="str">
        <f>IFERROR(__xludf.DUMMYFUNCTION("GOOGLETRANSLATE(A4792, ""nl"", ""en"")"),"Human Figures and Physicality")</f>
        <v>Human Figures and Physicality</v>
      </c>
      <c r="E4792" s="3" t="str">
        <f>IFERROR(__xludf.DUMMYFUNCTION("GOOGLETRANSLATE(B4792, ""nl"", ""en"")"),"A face that fades into abstraction")</f>
        <v>A face that fades into abstraction</v>
      </c>
    </row>
    <row r="4793" ht="15.75" customHeight="1">
      <c r="A4793" s="3" t="s">
        <v>15</v>
      </c>
      <c r="B4793" s="3" t="s">
        <v>45</v>
      </c>
      <c r="D4793" s="3" t="str">
        <f>IFERROR(__xludf.DUMMYFUNCTION("GOOGLETRANSLATE(A4793, ""nl"", ""en"")"),"Animals and Organic Forms")</f>
        <v>Animals and Organic Forms</v>
      </c>
      <c r="E4793" s="3" t="str">
        <f>IFERROR(__xludf.DUMMYFUNCTION("GOOGLETRANSLATE(B4793, ""nl"", ""en"")"),"A snake biting its own tail")</f>
        <v>A snake biting its own tail</v>
      </c>
    </row>
    <row r="4794" ht="15.75" customHeight="1">
      <c r="A4794" s="3" t="s">
        <v>7</v>
      </c>
      <c r="B4794" s="3" t="s">
        <v>53</v>
      </c>
      <c r="D4794" s="3" t="str">
        <f>IFERROR(__xludf.DUMMYFUNCTION("GOOGLETRANSLATE(A4794, ""nl"", ""en"")"),"Human Figures and Physicality")</f>
        <v>Human Figures and Physicality</v>
      </c>
      <c r="E4794" s="3" t="str">
        <f>IFERROR(__xludf.DUMMYFUNCTION("GOOGLETRANSLATE(B4794, ""nl"", ""en"")"),"A face that both smiles and cries")</f>
        <v>A face that both smiles and cries</v>
      </c>
    </row>
    <row r="4795" ht="15.75" customHeight="1">
      <c r="A4795" s="3" t="s">
        <v>4</v>
      </c>
      <c r="B4795" s="3" t="s">
        <v>35</v>
      </c>
      <c r="D4795" s="3" t="str">
        <f>IFERROR(__xludf.DUMMYFUNCTION("GOOGLETRANSLATE(A4795, ""nl"", ""en"")"),"Architectural and Structural Associations")</f>
        <v>Architectural and Structural Associations</v>
      </c>
      <c r="E4795" s="3" t="str">
        <f>IFERROR(__xludf.DUMMYFUNCTION("GOOGLETRANSLATE(B4795, ""nl"", ""en"")"),"A floating building without a base")</f>
        <v>A floating building without a base</v>
      </c>
    </row>
    <row r="4796" ht="15.75" customHeight="1">
      <c r="A4796" s="3" t="s">
        <v>7</v>
      </c>
      <c r="B4796" s="3" t="s">
        <v>39</v>
      </c>
      <c r="D4796" s="3" t="str">
        <f>IFERROR(__xludf.DUMMYFUNCTION("GOOGLETRANSLATE(A4796, ""nl"", ""en"")"),"Human Figures and Physicality")</f>
        <v>Human Figures and Physicality</v>
      </c>
      <c r="E4796" s="3" t="str">
        <f>IFERROR(__xludf.DUMMYFUNCTION("GOOGLETRANSLATE(B4796, ""nl"", ""en"")"),"A torso without a head")</f>
        <v>A torso without a head</v>
      </c>
    </row>
    <row r="4797" ht="15.75" customHeight="1">
      <c r="A4797" s="3" t="s">
        <v>9</v>
      </c>
      <c r="B4797" s="3" t="s">
        <v>49</v>
      </c>
      <c r="D4797" s="3" t="str">
        <f>IFERROR(__xludf.DUMMYFUNCTION("GOOGLETRANSLATE(A4797, ""nl"", ""en"")"),"Psychological and Emotional Interpretations")</f>
        <v>Psychological and Emotional Interpretations</v>
      </c>
      <c r="E4797" s="3" t="str">
        <f>IFERROR(__xludf.DUMMYFUNCTION("GOOGLETRANSLATE(B4797, ""nl"", ""en"")"),"A spiral that turns inward")</f>
        <v>A spiral that turns inward</v>
      </c>
    </row>
    <row r="4798" ht="15.75" customHeight="1">
      <c r="A4798" s="3" t="s">
        <v>9</v>
      </c>
      <c r="B4798" s="3" t="s">
        <v>42</v>
      </c>
      <c r="D4798" s="3" t="str">
        <f>IFERROR(__xludf.DUMMYFUNCTION("GOOGLETRANSLATE(A4798, ""nl"", ""en"")"),"Psychological and Emotional Interpretations")</f>
        <v>Psychological and Emotional Interpretations</v>
      </c>
      <c r="E4798" s="3" t="str">
        <f>IFERROR(__xludf.DUMMYFUNCTION("GOOGLETRANSLATE(B4798, ""nl"", ""en"")"),"A mask that slowly disappears")</f>
        <v>A mask that slowly disappears</v>
      </c>
    </row>
    <row r="4799" ht="15.75" customHeight="1">
      <c r="A4799" s="3" t="s">
        <v>4</v>
      </c>
      <c r="B4799" s="3" t="s">
        <v>5</v>
      </c>
      <c r="D4799" s="3" t="str">
        <f>IFERROR(__xludf.DUMMYFUNCTION("GOOGLETRANSLATE(A4799, ""nl"", ""en"")"),"Architectural and Structural Associations")</f>
        <v>Architectural and Structural Associations</v>
      </c>
      <c r="E4799" s="3" t="str">
        <f>IFERROR(__xludf.DUMMYFUNCTION("GOOGLETRANSLATE(B4799, ""nl"", ""en"")"),"A cathedral shaped from mist")</f>
        <v>A cathedral shaped from mist</v>
      </c>
    </row>
    <row r="4800" ht="15.75" customHeight="1">
      <c r="A4800" s="3" t="s">
        <v>9</v>
      </c>
      <c r="B4800" s="3" t="s">
        <v>17</v>
      </c>
      <c r="D4800" s="3" t="str">
        <f>IFERROR(__xludf.DUMMYFUNCTION("GOOGLETRANSLATE(A4800, ""nl"", ""en"")"),"Psychological and Emotional Interpretations")</f>
        <v>Psychological and Emotional Interpretations</v>
      </c>
      <c r="E4800" s="3" t="str">
        <f>IFERROR(__xludf.DUMMYFUNCTION("GOOGLETRANSLATE(B4800, ""nl"", ""en"")"),"A figure that seems to melt")</f>
        <v>A figure that seems to melt</v>
      </c>
    </row>
    <row r="4801" ht="15.75" customHeight="1">
      <c r="A4801" s="3" t="s">
        <v>24</v>
      </c>
      <c r="B4801" s="3" t="s">
        <v>31</v>
      </c>
      <c r="D4801" s="3" t="str">
        <f>IFERROR(__xludf.DUMMYFUNCTION("GOOGLETRANSLATE(A4801, ""nl"", ""en"")"),"Cosmic and Abstract Patterns")</f>
        <v>Cosmic and Abstract Patterns</v>
      </c>
      <c r="E4801" s="3" t="str">
        <f>IFERROR(__xludf.DUMMYFUNCTION("GOOGLETRANSLATE(B4801, ""nl"", ""en"")"),"A planet with unusual rings")</f>
        <v>A planet with unusual rings</v>
      </c>
    </row>
    <row r="4802" ht="15.75" customHeight="1">
      <c r="A4802" s="3" t="s">
        <v>4</v>
      </c>
      <c r="B4802" s="3" t="s">
        <v>55</v>
      </c>
      <c r="D4802" s="3" t="str">
        <f>IFERROR(__xludf.DUMMYFUNCTION("GOOGLETRANSLATE(A4802, ""nl"", ""en"")"),"Architectural and Structural Associations")</f>
        <v>Architectural and Structural Associations</v>
      </c>
      <c r="E4802" s="3" t="str">
        <f>IFERROR(__xludf.DUMMYFUNCTION("GOOGLETRANSLATE(B4802, ""nl"", ""en"")"),"A prism that splits light into colors")</f>
        <v>A prism that splits light into colors</v>
      </c>
    </row>
    <row r="4803" ht="15.75" customHeight="1">
      <c r="A4803" s="3" t="s">
        <v>7</v>
      </c>
      <c r="B4803" s="3" t="s">
        <v>28</v>
      </c>
      <c r="D4803" s="3" t="str">
        <f>IFERROR(__xludf.DUMMYFUNCTION("GOOGLETRANSLATE(A4803, ""nl"", ""en"")"),"Human Figures and Physicality")</f>
        <v>Human Figures and Physicality</v>
      </c>
      <c r="E4803" s="3" t="str">
        <f>IFERROR(__xludf.DUMMYFUNCTION("GOOGLETRANSLATE(B4803, ""nl"", ""en"")"),"A dancing silhouette")</f>
        <v>A dancing silhouette</v>
      </c>
    </row>
    <row r="4804" ht="15.75" customHeight="1">
      <c r="A4804" s="3" t="s">
        <v>15</v>
      </c>
      <c r="B4804" s="3" t="s">
        <v>52</v>
      </c>
      <c r="D4804" s="3" t="str">
        <f>IFERROR(__xludf.DUMMYFUNCTION("GOOGLETRANSLATE(A4804, ""nl"", ""en"")"),"Animals and Organic Forms")</f>
        <v>Animals and Organic Forms</v>
      </c>
      <c r="E4804" s="3" t="str">
        <f>IFERROR(__xludf.DUMMYFUNCTION("GOOGLETRANSLATE(B4804, ""nl"", ""en"")"),"A mask made of leaves")</f>
        <v>A mask made of leaves</v>
      </c>
    </row>
    <row r="4805" ht="15.75" customHeight="1">
      <c r="A4805" s="3" t="s">
        <v>15</v>
      </c>
      <c r="B4805" s="3" t="s">
        <v>16</v>
      </c>
      <c r="D4805" s="3" t="str">
        <f>IFERROR(__xludf.DUMMYFUNCTION("GOOGLETRANSLATE(A4805, ""nl"", ""en"")"),"Animals and Organic Forms")</f>
        <v>Animals and Organic Forms</v>
      </c>
      <c r="E4805" s="3" t="str">
        <f>IFERROR(__xludf.DUMMYFUNCTION("GOOGLETRANSLATE(B4805, ""nl"", ""en"")"),"A butterfly in transformation")</f>
        <v>A butterfly in transformation</v>
      </c>
    </row>
    <row r="4806" ht="15.75" customHeight="1">
      <c r="A4806" s="3" t="s">
        <v>24</v>
      </c>
      <c r="B4806" s="3" t="s">
        <v>27</v>
      </c>
      <c r="D4806" s="3" t="str">
        <f>IFERROR(__xludf.DUMMYFUNCTION("GOOGLETRANSLATE(A4806, ""nl"", ""en"")"),"Cosmic and Abstract Patterns")</f>
        <v>Cosmic and Abstract Patterns</v>
      </c>
      <c r="E4806" s="3" t="str">
        <f>IFERROR(__xludf.DUMMYFUNCTION("GOOGLETRANSLATE(B4806, ""nl"", ""en"")"),"A pair of black holes in dance")</f>
        <v>A pair of black holes in dance</v>
      </c>
    </row>
    <row r="4807" ht="15.75" customHeight="1">
      <c r="A4807" s="3" t="s">
        <v>7</v>
      </c>
      <c r="B4807" s="3" t="s">
        <v>53</v>
      </c>
      <c r="D4807" s="3" t="str">
        <f>IFERROR(__xludf.DUMMYFUNCTION("GOOGLETRANSLATE(A4807, ""nl"", ""en"")"),"Human Figures and Physicality")</f>
        <v>Human Figures and Physicality</v>
      </c>
      <c r="E4807" s="3" t="str">
        <f>IFERROR(__xludf.DUMMYFUNCTION("GOOGLETRANSLATE(B4807, ""nl"", ""en"")"),"A face that both smiles and cries")</f>
        <v>A face that both smiles and cries</v>
      </c>
    </row>
    <row r="4808" ht="15.75" customHeight="1">
      <c r="A4808" s="3" t="s">
        <v>7</v>
      </c>
      <c r="B4808" s="3" t="s">
        <v>39</v>
      </c>
      <c r="D4808" s="3" t="str">
        <f>IFERROR(__xludf.DUMMYFUNCTION("GOOGLETRANSLATE(A4808, ""nl"", ""en"")"),"Human Figures and Physicality")</f>
        <v>Human Figures and Physicality</v>
      </c>
      <c r="E4808" s="3" t="str">
        <f>IFERROR(__xludf.DUMMYFUNCTION("GOOGLETRANSLATE(B4808, ""nl"", ""en"")"),"A torso without a head")</f>
        <v>A torso without a head</v>
      </c>
    </row>
    <row r="4809" ht="15.75" customHeight="1">
      <c r="A4809" s="3" t="s">
        <v>9</v>
      </c>
      <c r="B4809" s="3" t="s">
        <v>10</v>
      </c>
      <c r="D4809" s="3" t="str">
        <f>IFERROR(__xludf.DUMMYFUNCTION("GOOGLETRANSLATE(A4809, ""nl"", ""en"")"),"Psychological and Emotional Interpretations")</f>
        <v>Psychological and Emotional Interpretations</v>
      </c>
      <c r="E4809" s="3" t="str">
        <f>IFERROR(__xludf.DUMMYFUNCTION("GOOGLETRANSLATE(B4809, ""nl"", ""en"")"),"A face transforming in light")</f>
        <v>A face transforming in light</v>
      </c>
    </row>
    <row r="4810" ht="15.75" customHeight="1">
      <c r="A4810" s="3" t="s">
        <v>7</v>
      </c>
      <c r="B4810" s="3" t="s">
        <v>40</v>
      </c>
      <c r="D4810" s="3" t="str">
        <f>IFERROR(__xludf.DUMMYFUNCTION("GOOGLETRANSLATE(A4810, ""nl"", ""en"")"),"Human Figures and Physicality")</f>
        <v>Human Figures and Physicality</v>
      </c>
      <c r="E4810" s="3" t="str">
        <f>IFERROR(__xludf.DUMMYFUNCTION("GOOGLETRANSLATE(B4810, ""nl"", ""en"")"),"A figure who is withdrawn into himself")</f>
        <v>A figure who is withdrawn into himself</v>
      </c>
    </row>
    <row r="4811" ht="15.75" customHeight="1">
      <c r="A4811" s="3" t="s">
        <v>4</v>
      </c>
      <c r="B4811" s="3" t="s">
        <v>43</v>
      </c>
      <c r="D4811" s="3" t="str">
        <f>IFERROR(__xludf.DUMMYFUNCTION("GOOGLETRANSLATE(A4811, ""nl"", ""en"")"),"Architectural and Structural Associations")</f>
        <v>Architectural and Structural Associations</v>
      </c>
      <c r="E4811" s="3" t="str">
        <f>IFERROR(__xludf.DUMMYFUNCTION("GOOGLETRANSLATE(B4811, ""nl"", ""en"")"),"A network of tunnels and passages")</f>
        <v>A network of tunnels and passages</v>
      </c>
    </row>
    <row r="4812" ht="15.75" customHeight="1">
      <c r="A4812" s="3" t="s">
        <v>4</v>
      </c>
      <c r="B4812" s="3" t="s">
        <v>5</v>
      </c>
      <c r="D4812" s="3" t="str">
        <f>IFERROR(__xludf.DUMMYFUNCTION("GOOGLETRANSLATE(A4812, ""nl"", ""en"")"),"Architectural and Structural Associations")</f>
        <v>Architectural and Structural Associations</v>
      </c>
      <c r="E4812" s="3" t="str">
        <f>IFERROR(__xludf.DUMMYFUNCTION("GOOGLETRANSLATE(B4812, ""nl"", ""en"")"),"A cathedral shaped from mist")</f>
        <v>A cathedral shaped from mist</v>
      </c>
    </row>
    <row r="4813" ht="15.75" customHeight="1">
      <c r="A4813" s="3" t="s">
        <v>15</v>
      </c>
      <c r="B4813" s="3" t="s">
        <v>16</v>
      </c>
      <c r="D4813" s="3" t="str">
        <f>IFERROR(__xludf.DUMMYFUNCTION("GOOGLETRANSLATE(A4813, ""nl"", ""en"")"),"Animals and Organic Forms")</f>
        <v>Animals and Organic Forms</v>
      </c>
      <c r="E4813" s="3" t="str">
        <f>IFERROR(__xludf.DUMMYFUNCTION("GOOGLETRANSLATE(B4813, ""nl"", ""en"")"),"A butterfly in transformation")</f>
        <v>A butterfly in transformation</v>
      </c>
    </row>
    <row r="4814" ht="15.75" customHeight="1">
      <c r="A4814" s="3" t="s">
        <v>4</v>
      </c>
      <c r="B4814" s="3" t="s">
        <v>21</v>
      </c>
      <c r="D4814" s="3" t="str">
        <f>IFERROR(__xludf.DUMMYFUNCTION("GOOGLETRANSLATE(A4814, ""nl"", ""en"")"),"Architectural and Structural Associations")</f>
        <v>Architectural and Structural Associations</v>
      </c>
      <c r="E4814" s="3" t="str">
        <f>IFERROR(__xludf.DUMMYFUNCTION("GOOGLETRANSLATE(B4814, ""nl"", ""en"")"),"A bridge that leads nowhere")</f>
        <v>A bridge that leads nowhere</v>
      </c>
    </row>
    <row r="4815" ht="15.75" customHeight="1">
      <c r="A4815" s="3" t="s">
        <v>4</v>
      </c>
      <c r="B4815" s="3" t="s">
        <v>35</v>
      </c>
      <c r="D4815" s="3" t="str">
        <f>IFERROR(__xludf.DUMMYFUNCTION("GOOGLETRANSLATE(A4815, ""nl"", ""en"")"),"Architectural and Structural Associations")</f>
        <v>Architectural and Structural Associations</v>
      </c>
      <c r="E4815" s="3" t="str">
        <f>IFERROR(__xludf.DUMMYFUNCTION("GOOGLETRANSLATE(B4815, ""nl"", ""en"")"),"A floating building without a base")</f>
        <v>A floating building without a base</v>
      </c>
    </row>
    <row r="4816" ht="15.75" customHeight="1">
      <c r="A4816" s="3" t="s">
        <v>7</v>
      </c>
      <c r="B4816" s="3" t="s">
        <v>40</v>
      </c>
      <c r="D4816" s="3" t="str">
        <f>IFERROR(__xludf.DUMMYFUNCTION("GOOGLETRANSLATE(A4816, ""nl"", ""en"")"),"Human Figures and Physicality")</f>
        <v>Human Figures and Physicality</v>
      </c>
      <c r="E4816" s="3" t="str">
        <f>IFERROR(__xludf.DUMMYFUNCTION("GOOGLETRANSLATE(B4816, ""nl"", ""en"")"),"A figure who is withdrawn into himself")</f>
        <v>A figure who is withdrawn into himself</v>
      </c>
    </row>
    <row r="4817" ht="15.75" customHeight="1">
      <c r="A4817" s="3" t="s">
        <v>7</v>
      </c>
      <c r="B4817" s="3" t="s">
        <v>28</v>
      </c>
      <c r="D4817" s="3" t="str">
        <f>IFERROR(__xludf.DUMMYFUNCTION("GOOGLETRANSLATE(A4817, ""nl"", ""en"")"),"Human Figures and Physicality")</f>
        <v>Human Figures and Physicality</v>
      </c>
      <c r="E4817" s="3" t="str">
        <f>IFERROR(__xludf.DUMMYFUNCTION("GOOGLETRANSLATE(B4817, ""nl"", ""en"")"),"A dancing silhouette")</f>
        <v>A dancing silhouette</v>
      </c>
    </row>
    <row r="4818" ht="15.75" customHeight="1">
      <c r="A4818" s="3" t="s">
        <v>9</v>
      </c>
      <c r="B4818" s="3" t="s">
        <v>11</v>
      </c>
      <c r="D4818" s="3" t="str">
        <f>IFERROR(__xludf.DUMMYFUNCTION("GOOGLETRANSLATE(A4818, ""nl"", ""en"")"),"Psychological and Emotional Interpretations")</f>
        <v>Psychological and Emotional Interpretations</v>
      </c>
      <c r="E4818" s="3" t="str">
        <f>IFERROR(__xludf.DUMMYFUNCTION("GOOGLETRANSLATE(B4818, ""nl"", ""en"")"),"An emotion captured in abstraction")</f>
        <v>An emotion captured in abstraction</v>
      </c>
    </row>
    <row r="4819" ht="15.75" customHeight="1">
      <c r="A4819" s="3" t="s">
        <v>4</v>
      </c>
      <c r="B4819" s="3" t="s">
        <v>6</v>
      </c>
      <c r="D4819" s="3" t="str">
        <f>IFERROR(__xludf.DUMMYFUNCTION("GOOGLETRANSLATE(A4819, ""nl"", ""en"")"),"Architectural and Structural Associations")</f>
        <v>Architectural and Structural Associations</v>
      </c>
      <c r="E4819" s="3" t="str">
        <f>IFERROR(__xludf.DUMMYFUNCTION("GOOGLETRANSLATE(B4819, ""nl"", ""en"")"),"An endless labyrinth")</f>
        <v>An endless labyrinth</v>
      </c>
    </row>
    <row r="4820" ht="15.75" customHeight="1">
      <c r="A4820" s="3" t="s">
        <v>15</v>
      </c>
      <c r="B4820" s="3" t="s">
        <v>45</v>
      </c>
      <c r="D4820" s="3" t="str">
        <f>IFERROR(__xludf.DUMMYFUNCTION("GOOGLETRANSLATE(A4820, ""nl"", ""en"")"),"Animals and Organic Forms")</f>
        <v>Animals and Organic Forms</v>
      </c>
      <c r="E4820" s="3" t="str">
        <f>IFERROR(__xludf.DUMMYFUNCTION("GOOGLETRANSLATE(B4820, ""nl"", ""en"")"),"A snake biting its own tail")</f>
        <v>A snake biting its own tail</v>
      </c>
    </row>
    <row r="4821" ht="15.75" customHeight="1">
      <c r="A4821" s="3" t="s">
        <v>12</v>
      </c>
      <c r="B4821" s="3" t="s">
        <v>36</v>
      </c>
      <c r="D4821" s="3" t="str">
        <f>IFERROR(__xludf.DUMMYFUNCTION("GOOGLETRANSLATE(A4821, ""nl"", ""en"")"),"Nature and Elements")</f>
        <v>Nature and Elements</v>
      </c>
      <c r="E4821" s="3" t="str">
        <f>IFERROR(__xludf.DUMMYFUNCTION("GOOGLETRANSLATE(B4821, ""nl"", ""en"")"),"A river delta from a bird's-eye view")</f>
        <v>A river delta from a bird's-eye view</v>
      </c>
    </row>
    <row r="4822" ht="15.75" customHeight="1">
      <c r="A4822" s="3" t="s">
        <v>7</v>
      </c>
      <c r="B4822" s="3" t="s">
        <v>8</v>
      </c>
      <c r="D4822" s="3" t="str">
        <f>IFERROR(__xludf.DUMMYFUNCTION("GOOGLETRANSLATE(A4822, ""nl"", ""en"")"),"Human Figures and Physicality")</f>
        <v>Human Figures and Physicality</v>
      </c>
      <c r="E4822" s="3" t="str">
        <f>IFERROR(__xludf.DUMMYFUNCTION("GOOGLETRANSLATE(B4822, ""nl"", ""en"")"),"Two figures mirroring each other")</f>
        <v>Two figures mirroring each other</v>
      </c>
    </row>
    <row r="4823" ht="15.75" customHeight="1">
      <c r="A4823" s="3" t="s">
        <v>7</v>
      </c>
      <c r="B4823" s="3" t="s">
        <v>39</v>
      </c>
      <c r="D4823" s="3" t="str">
        <f>IFERROR(__xludf.DUMMYFUNCTION("GOOGLETRANSLATE(A4823, ""nl"", ""en"")"),"Human Figures and Physicality")</f>
        <v>Human Figures and Physicality</v>
      </c>
      <c r="E4823" s="3" t="str">
        <f>IFERROR(__xludf.DUMMYFUNCTION("GOOGLETRANSLATE(B4823, ""nl"", ""en"")"),"A torso without a head")</f>
        <v>A torso without a head</v>
      </c>
    </row>
    <row r="4824" ht="15.75" customHeight="1">
      <c r="A4824" s="3" t="s">
        <v>4</v>
      </c>
      <c r="B4824" s="3" t="s">
        <v>44</v>
      </c>
      <c r="D4824" s="3" t="str">
        <f>IFERROR(__xludf.DUMMYFUNCTION("GOOGLETRANSLATE(A4824, ""nl"", ""en"")"),"Architectural and Structural Associations")</f>
        <v>Architectural and Structural Associations</v>
      </c>
      <c r="E4824" s="3" t="str">
        <f>IFERROR(__xludf.DUMMYFUNCTION("GOOGLETRANSLATE(B4824, ""nl"", ""en"")"),"A structure that pulsates in waves")</f>
        <v>A structure that pulsates in waves</v>
      </c>
    </row>
    <row r="4825" ht="15.75" customHeight="1">
      <c r="A4825" s="3" t="s">
        <v>12</v>
      </c>
      <c r="B4825" s="3" t="s">
        <v>23</v>
      </c>
      <c r="D4825" s="3" t="str">
        <f>IFERROR(__xludf.DUMMYFUNCTION("GOOGLETRANSLATE(A4825, ""nl"", ""en"")"),"Nature and Elements")</f>
        <v>Nature and Elements</v>
      </c>
      <c r="E4825" s="3" t="str">
        <f>IFERROR(__xludf.DUMMYFUNCTION("GOOGLETRANSLATE(B4825, ""nl"", ""en"")"),"A storm cloud splitting in two")</f>
        <v>A storm cloud splitting in two</v>
      </c>
    </row>
    <row r="4826" ht="15.75" customHeight="1">
      <c r="A4826" s="3" t="s">
        <v>15</v>
      </c>
      <c r="B4826" s="3" t="s">
        <v>46</v>
      </c>
      <c r="D4826" s="3" t="str">
        <f>IFERROR(__xludf.DUMMYFUNCTION("GOOGLETRANSLATE(A4826, ""nl"", ""en"")"),"Animals and Organic Forms")</f>
        <v>Animals and Organic Forms</v>
      </c>
      <c r="E4826" s="3" t="str">
        <f>IFERROR(__xludf.DUMMYFUNCTION("GOOGLETRANSLATE(B4826, ""nl"", ""en"")"),"A flock of fish moving as one")</f>
        <v>A flock of fish moving as one</v>
      </c>
    </row>
    <row r="4827" ht="15.75" customHeight="1">
      <c r="A4827" s="3" t="s">
        <v>15</v>
      </c>
      <c r="B4827" s="3" t="s">
        <v>52</v>
      </c>
      <c r="D4827" s="3" t="str">
        <f>IFERROR(__xludf.DUMMYFUNCTION("GOOGLETRANSLATE(A4827, ""nl"", ""en"")"),"Animals and Organic Forms")</f>
        <v>Animals and Organic Forms</v>
      </c>
      <c r="E4827" s="3" t="str">
        <f>IFERROR(__xludf.DUMMYFUNCTION("GOOGLETRANSLATE(B4827, ""nl"", ""en"")"),"A mask made of leaves")</f>
        <v>A mask made of leaves</v>
      </c>
    </row>
    <row r="4828" ht="15.75" customHeight="1">
      <c r="A4828" s="3" t="s">
        <v>15</v>
      </c>
      <c r="B4828" s="3" t="s">
        <v>45</v>
      </c>
      <c r="D4828" s="3" t="str">
        <f>IFERROR(__xludf.DUMMYFUNCTION("GOOGLETRANSLATE(A4828, ""nl"", ""en"")"),"Animals and Organic Forms")</f>
        <v>Animals and Organic Forms</v>
      </c>
      <c r="E4828" s="3" t="str">
        <f>IFERROR(__xludf.DUMMYFUNCTION("GOOGLETRANSLATE(B4828, ""nl"", ""en"")"),"A snake biting its own tail")</f>
        <v>A snake biting its own tail</v>
      </c>
    </row>
    <row r="4829" ht="15.75" customHeight="1">
      <c r="A4829" s="3" t="s">
        <v>7</v>
      </c>
      <c r="B4829" s="3" t="s">
        <v>39</v>
      </c>
      <c r="D4829" s="3" t="str">
        <f>IFERROR(__xludf.DUMMYFUNCTION("GOOGLETRANSLATE(A4829, ""nl"", ""en"")"),"Human Figures and Physicality")</f>
        <v>Human Figures and Physicality</v>
      </c>
      <c r="E4829" s="3" t="str">
        <f>IFERROR(__xludf.DUMMYFUNCTION("GOOGLETRANSLATE(B4829, ""nl"", ""en"")"),"A torso without a head")</f>
        <v>A torso without a head</v>
      </c>
    </row>
    <row r="4830" ht="15.75" customHeight="1">
      <c r="A4830" s="3" t="s">
        <v>9</v>
      </c>
      <c r="B4830" s="3" t="s">
        <v>10</v>
      </c>
      <c r="D4830" s="3" t="str">
        <f>IFERROR(__xludf.DUMMYFUNCTION("GOOGLETRANSLATE(A4830, ""nl"", ""en"")"),"Psychological and Emotional Interpretations")</f>
        <v>Psychological and Emotional Interpretations</v>
      </c>
      <c r="E4830" s="3" t="str">
        <f>IFERROR(__xludf.DUMMYFUNCTION("GOOGLETRANSLATE(B4830, ""nl"", ""en"")"),"A face transforming in light")</f>
        <v>A face transforming in light</v>
      </c>
    </row>
    <row r="4831" ht="15.75" customHeight="1">
      <c r="A4831" s="3" t="s">
        <v>24</v>
      </c>
      <c r="B4831" s="3" t="s">
        <v>33</v>
      </c>
      <c r="D4831" s="3" t="str">
        <f>IFERROR(__xludf.DUMMYFUNCTION("GOOGLETRANSLATE(A4831, ""nl"", ""en"")"),"Cosmic and Abstract Patterns")</f>
        <v>Cosmic and Abstract Patterns</v>
      </c>
      <c r="E4831" s="3" t="str">
        <f>IFERROR(__xludf.DUMMYFUNCTION("GOOGLETRANSLATE(B4831, ""nl"", ""en"")"),"An eye that repeats itself in endless patterns")</f>
        <v>An eye that repeats itself in endless patterns</v>
      </c>
    </row>
    <row r="4832" ht="15.75" customHeight="1">
      <c r="A4832" s="3" t="s">
        <v>24</v>
      </c>
      <c r="B4832" s="3" t="s">
        <v>25</v>
      </c>
      <c r="D4832" s="3" t="str">
        <f>IFERROR(__xludf.DUMMYFUNCTION("GOOGLETRANSLATE(A4832, ""nl"", ""en"")"),"Cosmic and Abstract Patterns")</f>
        <v>Cosmic and Abstract Patterns</v>
      </c>
      <c r="E4832" s="3" t="str">
        <f>IFERROR(__xludf.DUMMYFUNCTION("GOOGLETRANSLATE(B4832, ""nl"", ""en"")"),"A meteor shower dissolving into each other")</f>
        <v>A meteor shower dissolving into each other</v>
      </c>
    </row>
    <row r="4833" ht="15.75" customHeight="1">
      <c r="A4833" s="3" t="s">
        <v>15</v>
      </c>
      <c r="B4833" s="3" t="s">
        <v>50</v>
      </c>
      <c r="D4833" s="3" t="str">
        <f>IFERROR(__xludf.DUMMYFUNCTION("GOOGLETRANSLATE(A4833, ""nl"", ""en"")"),"Animals and Organic Forms")</f>
        <v>Animals and Organic Forms</v>
      </c>
      <c r="E4833" s="3" t="str">
        <f>IFERROR(__xludf.DUMMYFUNCTION("GOOGLETRANSLATE(B4833, ""nl"", ""en"")"),"A squid with extended tentacles")</f>
        <v>A squid with extended tentacles</v>
      </c>
    </row>
    <row r="4834" ht="15.75" customHeight="1">
      <c r="A4834" s="3" t="s">
        <v>24</v>
      </c>
      <c r="B4834" s="3" t="s">
        <v>32</v>
      </c>
      <c r="D4834" s="3" t="str">
        <f>IFERROR(__xludf.DUMMYFUNCTION("GOOGLETRANSLATE(A4834, ""nl"", ""en"")"),"Cosmic and Abstract Patterns")</f>
        <v>Cosmic and Abstract Patterns</v>
      </c>
      <c r="E4834" s="3" t="str">
        <f>IFERROR(__xludf.DUMMYFUNCTION("GOOGLETRANSLATE(B4834, ""nl"", ""en"")"),"A time loop captured in image")</f>
        <v>A time loop captured in image</v>
      </c>
    </row>
    <row r="4835" ht="15.75" customHeight="1">
      <c r="A4835" s="3" t="s">
        <v>9</v>
      </c>
      <c r="B4835" s="3" t="s">
        <v>17</v>
      </c>
      <c r="D4835" s="3" t="str">
        <f>IFERROR(__xludf.DUMMYFUNCTION("GOOGLETRANSLATE(A4835, ""nl"", ""en"")"),"Psychological and Emotional Interpretations")</f>
        <v>Psychological and Emotional Interpretations</v>
      </c>
      <c r="E4835" s="3" t="str">
        <f>IFERROR(__xludf.DUMMYFUNCTION("GOOGLETRANSLATE(B4835, ""nl"", ""en"")"),"A figure that seems to melt")</f>
        <v>A figure that seems to melt</v>
      </c>
    </row>
    <row r="4836" ht="15.75" customHeight="1">
      <c r="A4836" s="3" t="s">
        <v>9</v>
      </c>
      <c r="B4836" s="3" t="s">
        <v>42</v>
      </c>
      <c r="D4836" s="3" t="str">
        <f>IFERROR(__xludf.DUMMYFUNCTION("GOOGLETRANSLATE(A4836, ""nl"", ""en"")"),"Psychological and Emotional Interpretations")</f>
        <v>Psychological and Emotional Interpretations</v>
      </c>
      <c r="E4836" s="3" t="str">
        <f>IFERROR(__xludf.DUMMYFUNCTION("GOOGLETRANSLATE(B4836, ""nl"", ""en"")"),"A mask that slowly disappears")</f>
        <v>A mask that slowly disappears</v>
      </c>
    </row>
    <row r="4837" ht="15.75" customHeight="1">
      <c r="A4837" s="3" t="s">
        <v>15</v>
      </c>
      <c r="B4837" s="3" t="s">
        <v>16</v>
      </c>
      <c r="D4837" s="3" t="str">
        <f>IFERROR(__xludf.DUMMYFUNCTION("GOOGLETRANSLATE(A4837, ""nl"", ""en"")"),"Animals and Organic Forms")</f>
        <v>Animals and Organic Forms</v>
      </c>
      <c r="E4837" s="3" t="str">
        <f>IFERROR(__xludf.DUMMYFUNCTION("GOOGLETRANSLATE(B4837, ""nl"", ""en"")"),"A butterfly in transformation")</f>
        <v>A butterfly in transformation</v>
      </c>
    </row>
    <row r="4838" ht="15.75" customHeight="1">
      <c r="A4838" s="3" t="s">
        <v>9</v>
      </c>
      <c r="B4838" s="3" t="s">
        <v>17</v>
      </c>
      <c r="D4838" s="3" t="str">
        <f>IFERROR(__xludf.DUMMYFUNCTION("GOOGLETRANSLATE(A4838, ""nl"", ""en"")"),"Psychological and Emotional Interpretations")</f>
        <v>Psychological and Emotional Interpretations</v>
      </c>
      <c r="E4838" s="3" t="str">
        <f>IFERROR(__xludf.DUMMYFUNCTION("GOOGLETRANSLATE(B4838, ""nl"", ""en"")"),"A figure that seems to melt")</f>
        <v>A figure that seems to melt</v>
      </c>
    </row>
    <row r="4839" ht="15.75" customHeight="1">
      <c r="A4839" s="3" t="s">
        <v>9</v>
      </c>
      <c r="B4839" s="3" t="s">
        <v>10</v>
      </c>
      <c r="D4839" s="3" t="str">
        <f>IFERROR(__xludf.DUMMYFUNCTION("GOOGLETRANSLATE(A4839, ""nl"", ""en"")"),"Psychological and Emotional Interpretations")</f>
        <v>Psychological and Emotional Interpretations</v>
      </c>
      <c r="E4839" s="3" t="str">
        <f>IFERROR(__xludf.DUMMYFUNCTION("GOOGLETRANSLATE(B4839, ""nl"", ""en"")"),"A face transforming in light")</f>
        <v>A face transforming in light</v>
      </c>
    </row>
    <row r="4840" ht="15.75" customHeight="1">
      <c r="A4840" s="3" t="s">
        <v>9</v>
      </c>
      <c r="B4840" s="3" t="s">
        <v>49</v>
      </c>
      <c r="D4840" s="3" t="str">
        <f>IFERROR(__xludf.DUMMYFUNCTION("GOOGLETRANSLATE(A4840, ""nl"", ""en"")"),"Psychological and Emotional Interpretations")</f>
        <v>Psychological and Emotional Interpretations</v>
      </c>
      <c r="E4840" s="3" t="str">
        <f>IFERROR(__xludf.DUMMYFUNCTION("GOOGLETRANSLATE(B4840, ""nl"", ""en"")"),"A spiral that turns inward")</f>
        <v>A spiral that turns inward</v>
      </c>
    </row>
    <row r="4841" ht="15.75" customHeight="1">
      <c r="A4841" s="3" t="s">
        <v>9</v>
      </c>
      <c r="B4841" s="3" t="s">
        <v>37</v>
      </c>
      <c r="D4841" s="3" t="str">
        <f>IFERROR(__xludf.DUMMYFUNCTION("GOOGLETRANSLATE(A4841, ""nl"", ""en"")"),"Psychological and Emotional Interpretations")</f>
        <v>Psychological and Emotional Interpretations</v>
      </c>
      <c r="E4841" s="3" t="str">
        <f>IFERROR(__xludf.DUMMYFUNCTION("GOOGLETRANSLATE(B4841, ""nl"", ""en"")"),"A figure looking through itself")</f>
        <v>A figure looking through itself</v>
      </c>
    </row>
    <row r="4842" ht="15.75" customHeight="1">
      <c r="A4842" s="3" t="s">
        <v>4</v>
      </c>
      <c r="B4842" s="3" t="s">
        <v>6</v>
      </c>
      <c r="D4842" s="3" t="str">
        <f>IFERROR(__xludf.DUMMYFUNCTION("GOOGLETRANSLATE(A4842, ""nl"", ""en"")"),"Architectural and Structural Associations")</f>
        <v>Architectural and Structural Associations</v>
      </c>
      <c r="E4842" s="3" t="str">
        <f>IFERROR(__xludf.DUMMYFUNCTION("GOOGLETRANSLATE(B4842, ""nl"", ""en"")"),"An endless labyrinth")</f>
        <v>An endless labyrinth</v>
      </c>
    </row>
    <row r="4843" ht="15.75" customHeight="1">
      <c r="A4843" s="3" t="s">
        <v>4</v>
      </c>
      <c r="B4843" s="3" t="s">
        <v>35</v>
      </c>
      <c r="D4843" s="3" t="str">
        <f>IFERROR(__xludf.DUMMYFUNCTION("GOOGLETRANSLATE(A4843, ""nl"", ""en"")"),"Architectural and Structural Associations")</f>
        <v>Architectural and Structural Associations</v>
      </c>
      <c r="E4843" s="3" t="str">
        <f>IFERROR(__xludf.DUMMYFUNCTION("GOOGLETRANSLATE(B4843, ""nl"", ""en"")"),"A floating building without a base")</f>
        <v>A floating building without a base</v>
      </c>
    </row>
    <row r="4844" ht="15.75" customHeight="1">
      <c r="A4844" s="3" t="s">
        <v>24</v>
      </c>
      <c r="B4844" s="3" t="s">
        <v>25</v>
      </c>
      <c r="D4844" s="3" t="str">
        <f>IFERROR(__xludf.DUMMYFUNCTION("GOOGLETRANSLATE(A4844, ""nl"", ""en"")"),"Cosmic and Abstract Patterns")</f>
        <v>Cosmic and Abstract Patterns</v>
      </c>
      <c r="E4844" s="3" t="str">
        <f>IFERROR(__xludf.DUMMYFUNCTION("GOOGLETRANSLATE(B4844, ""nl"", ""en"")"),"A meteor shower dissolving into each other")</f>
        <v>A meteor shower dissolving into each other</v>
      </c>
    </row>
    <row r="4845" ht="15.75" customHeight="1">
      <c r="A4845" s="3" t="s">
        <v>24</v>
      </c>
      <c r="B4845" s="3" t="s">
        <v>32</v>
      </c>
      <c r="D4845" s="3" t="str">
        <f>IFERROR(__xludf.DUMMYFUNCTION("GOOGLETRANSLATE(A4845, ""nl"", ""en"")"),"Cosmic and Abstract Patterns")</f>
        <v>Cosmic and Abstract Patterns</v>
      </c>
      <c r="E4845" s="3" t="str">
        <f>IFERROR(__xludf.DUMMYFUNCTION("GOOGLETRANSLATE(B4845, ""nl"", ""en"")"),"A time loop captured in image")</f>
        <v>A time loop captured in image</v>
      </c>
    </row>
    <row r="4846" ht="15.75" customHeight="1">
      <c r="A4846" s="3" t="s">
        <v>7</v>
      </c>
      <c r="B4846" s="3" t="s">
        <v>28</v>
      </c>
      <c r="D4846" s="3" t="str">
        <f>IFERROR(__xludf.DUMMYFUNCTION("GOOGLETRANSLATE(A4846, ""nl"", ""en"")"),"Human Figures and Physicality")</f>
        <v>Human Figures and Physicality</v>
      </c>
      <c r="E4846" s="3" t="str">
        <f>IFERROR(__xludf.DUMMYFUNCTION("GOOGLETRANSLATE(B4846, ""nl"", ""en"")"),"A dancing silhouette")</f>
        <v>A dancing silhouette</v>
      </c>
    </row>
    <row r="4847" ht="15.75" customHeight="1">
      <c r="A4847" s="3" t="s">
        <v>7</v>
      </c>
      <c r="B4847" s="3" t="s">
        <v>53</v>
      </c>
      <c r="D4847" s="3" t="str">
        <f>IFERROR(__xludf.DUMMYFUNCTION("GOOGLETRANSLATE(A4847, ""nl"", ""en"")"),"Human Figures and Physicality")</f>
        <v>Human Figures and Physicality</v>
      </c>
      <c r="E4847" s="3" t="str">
        <f>IFERROR(__xludf.DUMMYFUNCTION("GOOGLETRANSLATE(B4847, ""nl"", ""en"")"),"A face that both smiles and cries")</f>
        <v>A face that both smiles and cries</v>
      </c>
    </row>
    <row r="4848" ht="15.75" customHeight="1">
      <c r="A4848" s="3" t="s">
        <v>4</v>
      </c>
      <c r="B4848" s="3" t="s">
        <v>21</v>
      </c>
      <c r="D4848" s="3" t="str">
        <f>IFERROR(__xludf.DUMMYFUNCTION("GOOGLETRANSLATE(A4848, ""nl"", ""en"")"),"Architectural and Structural Associations")</f>
        <v>Architectural and Structural Associations</v>
      </c>
      <c r="E4848" s="3" t="str">
        <f>IFERROR(__xludf.DUMMYFUNCTION("GOOGLETRANSLATE(B4848, ""nl"", ""en"")"),"A bridge that leads nowhere")</f>
        <v>A bridge that leads nowhere</v>
      </c>
    </row>
    <row r="4849" ht="15.75" customHeight="1">
      <c r="A4849" s="3" t="s">
        <v>12</v>
      </c>
      <c r="B4849" s="3" t="s">
        <v>19</v>
      </c>
      <c r="D4849" s="3" t="str">
        <f>IFERROR(__xludf.DUMMYFUNCTION("GOOGLETRANSLATE(A4849, ""nl"", ""en"")"),"Nature and Elements")</f>
        <v>Nature and Elements</v>
      </c>
      <c r="E4849" s="3" t="str">
        <f>IFERROR(__xludf.DUMMYFUNCTION("GOOGLETRANSLATE(B4849, ""nl"", ""en"")"),"A mountain range that seems to breathe")</f>
        <v>A mountain range that seems to breathe</v>
      </c>
    </row>
    <row r="4850" ht="15.75" customHeight="1">
      <c r="A4850" s="3" t="s">
        <v>4</v>
      </c>
      <c r="B4850" s="3" t="s">
        <v>44</v>
      </c>
      <c r="D4850" s="3" t="str">
        <f>IFERROR(__xludf.DUMMYFUNCTION("GOOGLETRANSLATE(A4850, ""nl"", ""en"")"),"Architectural and Structural Associations")</f>
        <v>Architectural and Structural Associations</v>
      </c>
      <c r="E4850" s="3" t="str">
        <f>IFERROR(__xludf.DUMMYFUNCTION("GOOGLETRANSLATE(B4850, ""nl"", ""en"")"),"A structure that pulsates in waves")</f>
        <v>A structure that pulsates in waves</v>
      </c>
    </row>
    <row r="4851" ht="15.75" customHeight="1">
      <c r="A4851" s="3" t="s">
        <v>15</v>
      </c>
      <c r="B4851" s="3" t="s">
        <v>45</v>
      </c>
      <c r="D4851" s="3" t="str">
        <f>IFERROR(__xludf.DUMMYFUNCTION("GOOGLETRANSLATE(A4851, ""nl"", ""en"")"),"Animals and Organic Forms")</f>
        <v>Animals and Organic Forms</v>
      </c>
      <c r="E4851" s="3" t="str">
        <f>IFERROR(__xludf.DUMMYFUNCTION("GOOGLETRANSLATE(B4851, ""nl"", ""en"")"),"A snake biting its own tail")</f>
        <v>A snake biting its own tail</v>
      </c>
    </row>
    <row r="4852" ht="15.75" customHeight="1">
      <c r="A4852" s="3" t="s">
        <v>9</v>
      </c>
      <c r="B4852" s="3" t="s">
        <v>10</v>
      </c>
      <c r="D4852" s="3" t="str">
        <f>IFERROR(__xludf.DUMMYFUNCTION("GOOGLETRANSLATE(A4852, ""nl"", ""en"")"),"Psychological and Emotional Interpretations")</f>
        <v>Psychological and Emotional Interpretations</v>
      </c>
      <c r="E4852" s="3" t="str">
        <f>IFERROR(__xludf.DUMMYFUNCTION("GOOGLETRANSLATE(B4852, ""nl"", ""en"")"),"A face transforming in light")</f>
        <v>A face transforming in light</v>
      </c>
    </row>
    <row r="4853" ht="15.75" customHeight="1">
      <c r="A4853" s="3" t="s">
        <v>4</v>
      </c>
      <c r="B4853" s="3" t="s">
        <v>35</v>
      </c>
      <c r="D4853" s="3" t="str">
        <f>IFERROR(__xludf.DUMMYFUNCTION("GOOGLETRANSLATE(A4853, ""nl"", ""en"")"),"Architectural and Structural Associations")</f>
        <v>Architectural and Structural Associations</v>
      </c>
      <c r="E4853" s="3" t="str">
        <f>IFERROR(__xludf.DUMMYFUNCTION("GOOGLETRANSLATE(B4853, ""nl"", ""en"")"),"A floating building without a base")</f>
        <v>A floating building without a base</v>
      </c>
    </row>
    <row r="4854" ht="15.75" customHeight="1">
      <c r="A4854" s="3" t="s">
        <v>24</v>
      </c>
      <c r="B4854" s="3" t="s">
        <v>54</v>
      </c>
      <c r="D4854" s="3" t="str">
        <f>IFERROR(__xludf.DUMMYFUNCTION("GOOGLETRANSLATE(A4854, ""nl"", ""en"")"),"Cosmic and Abstract Patterns")</f>
        <v>Cosmic and Abstract Patterns</v>
      </c>
      <c r="E4854" s="3" t="str">
        <f>IFERROR(__xludf.DUMMYFUNCTION("GOOGLETRANSLATE(B4854, ""nl"", ""en"")"),"A quantum particle in superposition")</f>
        <v>A quantum particle in superposition</v>
      </c>
    </row>
    <row r="4855" ht="15.75" customHeight="1">
      <c r="A4855" s="3" t="s">
        <v>15</v>
      </c>
      <c r="B4855" s="3" t="s">
        <v>16</v>
      </c>
      <c r="D4855" s="3" t="str">
        <f>IFERROR(__xludf.DUMMYFUNCTION("GOOGLETRANSLATE(A4855, ""nl"", ""en"")"),"Animals and Organic Forms")</f>
        <v>Animals and Organic Forms</v>
      </c>
      <c r="E4855" s="3" t="str">
        <f>IFERROR(__xludf.DUMMYFUNCTION("GOOGLETRANSLATE(B4855, ""nl"", ""en"")"),"A butterfly in transformation")</f>
        <v>A butterfly in transformation</v>
      </c>
    </row>
    <row r="4856" ht="15.75" customHeight="1">
      <c r="A4856" s="3" t="s">
        <v>15</v>
      </c>
      <c r="B4856" s="3" t="s">
        <v>22</v>
      </c>
      <c r="D4856" s="3" t="str">
        <f>IFERROR(__xludf.DUMMYFUNCTION("GOOGLETRANSLATE(A4856, ""nl"", ""en"")"),"Animals and Organic Forms")</f>
        <v>Animals and Organic Forms</v>
      </c>
      <c r="E4856" s="3" t="str">
        <f>IFERROR(__xludf.DUMMYFUNCTION("GOOGLETRANSLATE(B4856, ""nl"", ""en"")"),"A bird taking off")</f>
        <v>A bird taking off</v>
      </c>
    </row>
    <row r="4857" ht="15.75" customHeight="1">
      <c r="A4857" s="3" t="s">
        <v>4</v>
      </c>
      <c r="B4857" s="3" t="s">
        <v>43</v>
      </c>
      <c r="D4857" s="3" t="str">
        <f>IFERROR(__xludf.DUMMYFUNCTION("GOOGLETRANSLATE(A4857, ""nl"", ""en"")"),"Architectural and Structural Associations")</f>
        <v>Architectural and Structural Associations</v>
      </c>
      <c r="E4857" s="3" t="str">
        <f>IFERROR(__xludf.DUMMYFUNCTION("GOOGLETRANSLATE(B4857, ""nl"", ""en"")"),"A network of tunnels and passages")</f>
        <v>A network of tunnels and passages</v>
      </c>
    </row>
    <row r="4858" ht="15.75" customHeight="1">
      <c r="A4858" s="3" t="s">
        <v>12</v>
      </c>
      <c r="B4858" s="3" t="s">
        <v>51</v>
      </c>
      <c r="D4858" s="3" t="str">
        <f>IFERROR(__xludf.DUMMYFUNCTION("GOOGLETRANSLATE(A4858, ""nl"", ""en"")"),"Nature and Elements")</f>
        <v>Nature and Elements</v>
      </c>
      <c r="E4858" s="3" t="str">
        <f>IFERROR(__xludf.DUMMYFUNCTION("GOOGLETRANSLATE(B4858, ""nl"", ""en"")"),"An evaporating puddle of water")</f>
        <v>An evaporating puddle of water</v>
      </c>
    </row>
    <row r="4859" ht="15.75" customHeight="1">
      <c r="A4859" s="3" t="s">
        <v>24</v>
      </c>
      <c r="B4859" s="3" t="s">
        <v>25</v>
      </c>
      <c r="D4859" s="3" t="str">
        <f>IFERROR(__xludf.DUMMYFUNCTION("GOOGLETRANSLATE(A4859, ""nl"", ""en"")"),"Cosmic and Abstract Patterns")</f>
        <v>Cosmic and Abstract Patterns</v>
      </c>
      <c r="E4859" s="3" t="str">
        <f>IFERROR(__xludf.DUMMYFUNCTION("GOOGLETRANSLATE(B4859, ""nl"", ""en"")"),"A meteor shower dissolving into each other")</f>
        <v>A meteor shower dissolving into each other</v>
      </c>
    </row>
    <row r="4860" ht="15.75" customHeight="1">
      <c r="A4860" s="3" t="s">
        <v>15</v>
      </c>
      <c r="B4860" s="3" t="s">
        <v>45</v>
      </c>
      <c r="D4860" s="3" t="str">
        <f>IFERROR(__xludf.DUMMYFUNCTION("GOOGLETRANSLATE(A4860, ""nl"", ""en"")"),"Animals and Organic Forms")</f>
        <v>Animals and Organic Forms</v>
      </c>
      <c r="E4860" s="3" t="str">
        <f>IFERROR(__xludf.DUMMYFUNCTION("GOOGLETRANSLATE(B4860, ""nl"", ""en"")"),"A snake biting its own tail")</f>
        <v>A snake biting its own tail</v>
      </c>
    </row>
    <row r="4861" ht="15.75" customHeight="1">
      <c r="A4861" s="3" t="s">
        <v>9</v>
      </c>
      <c r="B4861" s="3" t="s">
        <v>17</v>
      </c>
      <c r="D4861" s="3" t="str">
        <f>IFERROR(__xludf.DUMMYFUNCTION("GOOGLETRANSLATE(A4861, ""nl"", ""en"")"),"Psychological and Emotional Interpretations")</f>
        <v>Psychological and Emotional Interpretations</v>
      </c>
      <c r="E4861" s="3" t="str">
        <f>IFERROR(__xludf.DUMMYFUNCTION("GOOGLETRANSLATE(B4861, ""nl"", ""en"")"),"A figure that seems to melt")</f>
        <v>A figure that seems to melt</v>
      </c>
    </row>
    <row r="4862" ht="15.75" customHeight="1">
      <c r="A4862" s="3" t="s">
        <v>9</v>
      </c>
      <c r="B4862" s="3" t="s">
        <v>14</v>
      </c>
      <c r="D4862" s="3" t="str">
        <f>IFERROR(__xludf.DUMMYFUNCTION("GOOGLETRANSLATE(A4862, ""nl"", ""en"")"),"Psychological and Emotional Interpretations")</f>
        <v>Psychological and Emotional Interpretations</v>
      </c>
      <c r="E4862" s="3" t="str">
        <f>IFERROR(__xludf.DUMMYFUNCTION("GOOGLETRANSLATE(B4862, ""nl"", ""en"")"),"An unclear hug")</f>
        <v>An unclear hug</v>
      </c>
    </row>
    <row r="4863" ht="15.75" customHeight="1">
      <c r="A4863" s="3" t="s">
        <v>7</v>
      </c>
      <c r="B4863" s="3" t="s">
        <v>40</v>
      </c>
      <c r="D4863" s="3" t="str">
        <f>IFERROR(__xludf.DUMMYFUNCTION("GOOGLETRANSLATE(A4863, ""nl"", ""en"")"),"Human Figures and Physicality")</f>
        <v>Human Figures and Physicality</v>
      </c>
      <c r="E4863" s="3" t="str">
        <f>IFERROR(__xludf.DUMMYFUNCTION("GOOGLETRANSLATE(B4863, ""nl"", ""en"")"),"A figure who is withdrawn into himself")</f>
        <v>A figure who is withdrawn into himself</v>
      </c>
    </row>
    <row r="4864" ht="15.75" customHeight="1">
      <c r="A4864" s="3" t="s">
        <v>9</v>
      </c>
      <c r="B4864" s="3" t="s">
        <v>10</v>
      </c>
      <c r="D4864" s="3" t="str">
        <f>IFERROR(__xludf.DUMMYFUNCTION("GOOGLETRANSLATE(A4864, ""nl"", ""en"")"),"Psychological and Emotional Interpretations")</f>
        <v>Psychological and Emotional Interpretations</v>
      </c>
      <c r="E4864" s="3" t="str">
        <f>IFERROR(__xludf.DUMMYFUNCTION("GOOGLETRANSLATE(B4864, ""nl"", ""en"")"),"A face transforming in light")</f>
        <v>A face transforming in light</v>
      </c>
    </row>
    <row r="4865" ht="15.75" customHeight="1">
      <c r="A4865" s="3" t="s">
        <v>7</v>
      </c>
      <c r="B4865" s="3" t="s">
        <v>34</v>
      </c>
      <c r="D4865" s="3" t="str">
        <f>IFERROR(__xludf.DUMMYFUNCTION("GOOGLETRANSLATE(A4865, ""nl"", ""en"")"),"Human Figures and Physicality")</f>
        <v>Human Figures and Physicality</v>
      </c>
      <c r="E4865" s="3" t="str">
        <f>IFERROR(__xludf.DUMMYFUNCTION("GOOGLETRANSLATE(B4865, ""nl"", ""en"")"),"Hands almost touching")</f>
        <v>Hands almost touching</v>
      </c>
    </row>
    <row r="4866" ht="15.75" customHeight="1">
      <c r="A4866" s="3" t="s">
        <v>12</v>
      </c>
      <c r="B4866" s="3" t="s">
        <v>51</v>
      </c>
      <c r="D4866" s="3" t="str">
        <f>IFERROR(__xludf.DUMMYFUNCTION("GOOGLETRANSLATE(A4866, ""nl"", ""en"")"),"Nature and Elements")</f>
        <v>Nature and Elements</v>
      </c>
      <c r="E4866" s="3" t="str">
        <f>IFERROR(__xludf.DUMMYFUNCTION("GOOGLETRANSLATE(B4866, ""nl"", ""en"")"),"An evaporating puddle of water")</f>
        <v>An evaporating puddle of water</v>
      </c>
    </row>
    <row r="4867" ht="15.75" customHeight="1">
      <c r="A4867" s="3" t="s">
        <v>24</v>
      </c>
      <c r="B4867" s="3" t="s">
        <v>29</v>
      </c>
      <c r="D4867" s="3" t="str">
        <f>IFERROR(__xludf.DUMMYFUNCTION("GOOGLETRANSLATE(A4867, ""nl"", ""en"")"),"Cosmic and Abstract Patterns")</f>
        <v>Cosmic and Abstract Patterns</v>
      </c>
      <c r="E4867" s="3" t="str">
        <f>IFERROR(__xludf.DUMMYFUNCTION("GOOGLETRANSLATE(B4867, ""nl"", ""en"")"),"A galaxy unfolding")</f>
        <v>A galaxy unfolding</v>
      </c>
    </row>
    <row r="4868" ht="15.75" customHeight="1">
      <c r="A4868" s="3" t="s">
        <v>4</v>
      </c>
      <c r="B4868" s="3" t="s">
        <v>6</v>
      </c>
      <c r="D4868" s="3" t="str">
        <f>IFERROR(__xludf.DUMMYFUNCTION("GOOGLETRANSLATE(A4868, ""nl"", ""en"")"),"Architectural and Structural Associations")</f>
        <v>Architectural and Structural Associations</v>
      </c>
      <c r="E4868" s="3" t="str">
        <f>IFERROR(__xludf.DUMMYFUNCTION("GOOGLETRANSLATE(B4868, ""nl"", ""en"")"),"An endless labyrinth")</f>
        <v>An endless labyrinth</v>
      </c>
    </row>
    <row r="4869" ht="15.75" customHeight="1">
      <c r="A4869" s="3" t="s">
        <v>7</v>
      </c>
      <c r="B4869" s="3" t="s">
        <v>53</v>
      </c>
      <c r="D4869" s="3" t="str">
        <f>IFERROR(__xludf.DUMMYFUNCTION("GOOGLETRANSLATE(A4869, ""nl"", ""en"")"),"Human Figures and Physicality")</f>
        <v>Human Figures and Physicality</v>
      </c>
      <c r="E4869" s="3" t="str">
        <f>IFERROR(__xludf.DUMMYFUNCTION("GOOGLETRANSLATE(B4869, ""nl"", ""en"")"),"A face that both smiles and cries")</f>
        <v>A face that both smiles and cries</v>
      </c>
    </row>
    <row r="4870" ht="15.75" customHeight="1">
      <c r="A4870" s="3" t="s">
        <v>15</v>
      </c>
      <c r="B4870" s="3" t="s">
        <v>46</v>
      </c>
      <c r="D4870" s="3" t="str">
        <f>IFERROR(__xludf.DUMMYFUNCTION("GOOGLETRANSLATE(A4870, ""nl"", ""en"")"),"Animals and Organic Forms")</f>
        <v>Animals and Organic Forms</v>
      </c>
      <c r="E4870" s="3" t="str">
        <f>IFERROR(__xludf.DUMMYFUNCTION("GOOGLETRANSLATE(B4870, ""nl"", ""en"")"),"A flock of fish moving as one")</f>
        <v>A flock of fish moving as one</v>
      </c>
    </row>
    <row r="4871" ht="15.75" customHeight="1">
      <c r="A4871" s="3" t="s">
        <v>24</v>
      </c>
      <c r="B4871" s="3" t="s">
        <v>29</v>
      </c>
      <c r="D4871" s="3" t="str">
        <f>IFERROR(__xludf.DUMMYFUNCTION("GOOGLETRANSLATE(A4871, ""nl"", ""en"")"),"Cosmic and Abstract Patterns")</f>
        <v>Cosmic and Abstract Patterns</v>
      </c>
      <c r="E4871" s="3" t="str">
        <f>IFERROR(__xludf.DUMMYFUNCTION("GOOGLETRANSLATE(B4871, ""nl"", ""en"")"),"A galaxy unfolding")</f>
        <v>A galaxy unfolding</v>
      </c>
    </row>
    <row r="4872" ht="15.75" customHeight="1">
      <c r="A4872" s="3" t="s">
        <v>24</v>
      </c>
      <c r="B4872" s="3" t="s">
        <v>32</v>
      </c>
      <c r="D4872" s="3" t="str">
        <f>IFERROR(__xludf.DUMMYFUNCTION("GOOGLETRANSLATE(A4872, ""nl"", ""en"")"),"Cosmic and Abstract Patterns")</f>
        <v>Cosmic and Abstract Patterns</v>
      </c>
      <c r="E4872" s="3" t="str">
        <f>IFERROR(__xludf.DUMMYFUNCTION("GOOGLETRANSLATE(B4872, ""nl"", ""en"")"),"A time loop captured in image")</f>
        <v>A time loop captured in image</v>
      </c>
    </row>
    <row r="4873" ht="15.75" customHeight="1">
      <c r="A4873" s="3" t="s">
        <v>7</v>
      </c>
      <c r="B4873" s="3" t="s">
        <v>28</v>
      </c>
      <c r="D4873" s="3" t="str">
        <f>IFERROR(__xludf.DUMMYFUNCTION("GOOGLETRANSLATE(A4873, ""nl"", ""en"")"),"Human Figures and Physicality")</f>
        <v>Human Figures and Physicality</v>
      </c>
      <c r="E4873" s="3" t="str">
        <f>IFERROR(__xludf.DUMMYFUNCTION("GOOGLETRANSLATE(B4873, ""nl"", ""en"")"),"A dancing silhouette")</f>
        <v>A dancing silhouette</v>
      </c>
    </row>
    <row r="4874" ht="15.75" customHeight="1">
      <c r="A4874" s="3" t="s">
        <v>4</v>
      </c>
      <c r="B4874" s="3" t="s">
        <v>35</v>
      </c>
      <c r="D4874" s="3" t="str">
        <f>IFERROR(__xludf.DUMMYFUNCTION("GOOGLETRANSLATE(A4874, ""nl"", ""en"")"),"Architectural and Structural Associations")</f>
        <v>Architectural and Structural Associations</v>
      </c>
      <c r="E4874" s="3" t="str">
        <f>IFERROR(__xludf.DUMMYFUNCTION("GOOGLETRANSLATE(B4874, ""nl"", ""en"")"),"A floating building without a base")</f>
        <v>A floating building without a base</v>
      </c>
    </row>
    <row r="4875" ht="15.75" customHeight="1">
      <c r="A4875" s="3" t="s">
        <v>24</v>
      </c>
      <c r="B4875" s="3" t="s">
        <v>33</v>
      </c>
      <c r="D4875" s="3" t="str">
        <f>IFERROR(__xludf.DUMMYFUNCTION("GOOGLETRANSLATE(A4875, ""nl"", ""en"")"),"Cosmic and Abstract Patterns")</f>
        <v>Cosmic and Abstract Patterns</v>
      </c>
      <c r="E4875" s="3" t="str">
        <f>IFERROR(__xludf.DUMMYFUNCTION("GOOGLETRANSLATE(B4875, ""nl"", ""en"")"),"An eye that repeats itself in endless patterns")</f>
        <v>An eye that repeats itself in endless patterns</v>
      </c>
    </row>
    <row r="4876" ht="15.75" customHeight="1">
      <c r="A4876" s="3" t="s">
        <v>12</v>
      </c>
      <c r="B4876" s="3" t="s">
        <v>23</v>
      </c>
      <c r="D4876" s="3" t="str">
        <f>IFERROR(__xludf.DUMMYFUNCTION("GOOGLETRANSLATE(A4876, ""nl"", ""en"")"),"Nature and Elements")</f>
        <v>Nature and Elements</v>
      </c>
      <c r="E4876" s="3" t="str">
        <f>IFERROR(__xludf.DUMMYFUNCTION("GOOGLETRANSLATE(B4876, ""nl"", ""en"")"),"A storm cloud splitting in two")</f>
        <v>A storm cloud splitting in two</v>
      </c>
    </row>
    <row r="4877" ht="15.75" customHeight="1">
      <c r="A4877" s="3" t="s">
        <v>9</v>
      </c>
      <c r="B4877" s="3" t="s">
        <v>37</v>
      </c>
      <c r="D4877" s="3" t="str">
        <f>IFERROR(__xludf.DUMMYFUNCTION("GOOGLETRANSLATE(A4877, ""nl"", ""en"")"),"Psychological and Emotional Interpretations")</f>
        <v>Psychological and Emotional Interpretations</v>
      </c>
      <c r="E4877" s="3" t="str">
        <f>IFERROR(__xludf.DUMMYFUNCTION("GOOGLETRANSLATE(B4877, ""nl"", ""en"")"),"A figure looking through itself")</f>
        <v>A figure looking through itself</v>
      </c>
    </row>
    <row r="4878" ht="15.75" customHeight="1">
      <c r="A4878" s="3" t="s">
        <v>12</v>
      </c>
      <c r="B4878" s="3" t="s">
        <v>23</v>
      </c>
      <c r="D4878" s="3" t="str">
        <f>IFERROR(__xludf.DUMMYFUNCTION("GOOGLETRANSLATE(A4878, ""nl"", ""en"")"),"Nature and Elements")</f>
        <v>Nature and Elements</v>
      </c>
      <c r="E4878" s="3" t="str">
        <f>IFERROR(__xludf.DUMMYFUNCTION("GOOGLETRANSLATE(B4878, ""nl"", ""en"")"),"A storm cloud splitting in two")</f>
        <v>A storm cloud splitting in two</v>
      </c>
    </row>
    <row r="4879" ht="15.75" customHeight="1">
      <c r="A4879" s="3" t="s">
        <v>9</v>
      </c>
      <c r="B4879" s="3" t="s">
        <v>37</v>
      </c>
      <c r="D4879" s="3" t="str">
        <f>IFERROR(__xludf.DUMMYFUNCTION("GOOGLETRANSLATE(A4879, ""nl"", ""en"")"),"Psychological and Emotional Interpretations")</f>
        <v>Psychological and Emotional Interpretations</v>
      </c>
      <c r="E4879" s="3" t="str">
        <f>IFERROR(__xludf.DUMMYFUNCTION("GOOGLETRANSLATE(B4879, ""nl"", ""en"")"),"A figure looking through itself")</f>
        <v>A figure looking through itself</v>
      </c>
    </row>
    <row r="4880" ht="15.75" customHeight="1">
      <c r="A4880" s="3" t="s">
        <v>7</v>
      </c>
      <c r="B4880" s="3" t="s">
        <v>53</v>
      </c>
      <c r="D4880" s="3" t="str">
        <f>IFERROR(__xludf.DUMMYFUNCTION("GOOGLETRANSLATE(A4880, ""nl"", ""en"")"),"Human Figures and Physicality")</f>
        <v>Human Figures and Physicality</v>
      </c>
      <c r="E4880" s="3" t="str">
        <f>IFERROR(__xludf.DUMMYFUNCTION("GOOGLETRANSLATE(B4880, ""nl"", ""en"")"),"A face that both smiles and cries")</f>
        <v>A face that both smiles and cries</v>
      </c>
    </row>
    <row r="4881" ht="15.75" customHeight="1">
      <c r="A4881" s="3" t="s">
        <v>15</v>
      </c>
      <c r="B4881" s="3" t="s">
        <v>52</v>
      </c>
      <c r="D4881" s="3" t="str">
        <f>IFERROR(__xludf.DUMMYFUNCTION("GOOGLETRANSLATE(A4881, ""nl"", ""en"")"),"Animals and Organic Forms")</f>
        <v>Animals and Organic Forms</v>
      </c>
      <c r="E4881" s="3" t="str">
        <f>IFERROR(__xludf.DUMMYFUNCTION("GOOGLETRANSLATE(B4881, ""nl"", ""en"")"),"A mask made of leaves")</f>
        <v>A mask made of leaves</v>
      </c>
    </row>
    <row r="4882" ht="15.75" customHeight="1">
      <c r="A4882" s="3" t="s">
        <v>24</v>
      </c>
      <c r="B4882" s="3" t="s">
        <v>54</v>
      </c>
      <c r="D4882" s="3" t="str">
        <f>IFERROR(__xludf.DUMMYFUNCTION("GOOGLETRANSLATE(A4882, ""nl"", ""en"")"),"Cosmic and Abstract Patterns")</f>
        <v>Cosmic and Abstract Patterns</v>
      </c>
      <c r="E4882" s="3" t="str">
        <f>IFERROR(__xludf.DUMMYFUNCTION("GOOGLETRANSLATE(B4882, ""nl"", ""en"")"),"A quantum particle in superposition")</f>
        <v>A quantum particle in superposition</v>
      </c>
    </row>
    <row r="4883" ht="15.75" customHeight="1">
      <c r="A4883" s="3" t="s">
        <v>7</v>
      </c>
      <c r="B4883" s="3" t="s">
        <v>53</v>
      </c>
      <c r="D4883" s="3" t="str">
        <f>IFERROR(__xludf.DUMMYFUNCTION("GOOGLETRANSLATE(A4883, ""nl"", ""en"")"),"Human Figures and Physicality")</f>
        <v>Human Figures and Physicality</v>
      </c>
      <c r="E4883" s="3" t="str">
        <f>IFERROR(__xludf.DUMMYFUNCTION("GOOGLETRANSLATE(B4883, ""nl"", ""en"")"),"A face that both smiles and cries")</f>
        <v>A face that both smiles and cries</v>
      </c>
    </row>
    <row r="4884" ht="15.75" customHeight="1">
      <c r="A4884" s="3" t="s">
        <v>15</v>
      </c>
      <c r="B4884" s="3" t="s">
        <v>38</v>
      </c>
      <c r="D4884" s="3" t="str">
        <f>IFERROR(__xludf.DUMMYFUNCTION("GOOGLETRANSLATE(A4884, ""nl"", ""en"")"),"Animals and Organic Forms")</f>
        <v>Animals and Organic Forms</v>
      </c>
      <c r="E4884" s="3" t="str">
        <f>IFERROR(__xludf.DUMMYFUNCTION("GOOGLETRANSLATE(B4884, ""nl"", ""en"")"),"A lion with an open mouth")</f>
        <v>A lion with an open mouth</v>
      </c>
    </row>
    <row r="4885" ht="15.75" customHeight="1">
      <c r="A4885" s="3" t="s">
        <v>9</v>
      </c>
      <c r="B4885" s="3" t="s">
        <v>49</v>
      </c>
      <c r="D4885" s="3" t="str">
        <f>IFERROR(__xludf.DUMMYFUNCTION("GOOGLETRANSLATE(A4885, ""nl"", ""en"")"),"Psychological and Emotional Interpretations")</f>
        <v>Psychological and Emotional Interpretations</v>
      </c>
      <c r="E4885" s="3" t="str">
        <f>IFERROR(__xludf.DUMMYFUNCTION("GOOGLETRANSLATE(B4885, ""nl"", ""en"")"),"A spiral that turns inward")</f>
        <v>A spiral that turns inward</v>
      </c>
    </row>
    <row r="4886" ht="15.75" customHeight="1">
      <c r="A4886" s="3" t="s">
        <v>7</v>
      </c>
      <c r="B4886" s="3" t="s">
        <v>56</v>
      </c>
      <c r="D4886" s="3" t="str">
        <f>IFERROR(__xludf.DUMMYFUNCTION("GOOGLETRANSLATE(A4886, ""nl"", ""en"")"),"Human Figures and Physicality")</f>
        <v>Human Figures and Physicality</v>
      </c>
      <c r="E4886" s="3" t="str">
        <f>IFERROR(__xludf.DUMMYFUNCTION("GOOGLETRANSLATE(B4886, ""nl"", ""en"")"),"A shadow that seems to move")</f>
        <v>A shadow that seems to move</v>
      </c>
    </row>
    <row r="4887" ht="15.75" customHeight="1">
      <c r="A4887" s="3" t="s">
        <v>12</v>
      </c>
      <c r="B4887" s="3" t="s">
        <v>13</v>
      </c>
      <c r="D4887" s="3" t="str">
        <f>IFERROR(__xludf.DUMMYFUNCTION("GOOGLETRANSLATE(A4887, ""nl"", ""en"")"),"Nature and Elements")</f>
        <v>Nature and Elements</v>
      </c>
      <c r="E4887" s="3" t="str">
        <f>IFERROR(__xludf.DUMMYFUNCTION("GOOGLETRANSLATE(B4887, ""nl"", ""en"")"),"A lightning strike in slow motion")</f>
        <v>A lightning strike in slow motion</v>
      </c>
    </row>
    <row r="4888" ht="15.75" customHeight="1">
      <c r="A4888" s="3" t="s">
        <v>7</v>
      </c>
      <c r="B4888" s="3" t="s">
        <v>34</v>
      </c>
      <c r="D4888" s="3" t="str">
        <f>IFERROR(__xludf.DUMMYFUNCTION("GOOGLETRANSLATE(A4888, ""nl"", ""en"")"),"Human Figures and Physicality")</f>
        <v>Human Figures and Physicality</v>
      </c>
      <c r="E4888" s="3" t="str">
        <f>IFERROR(__xludf.DUMMYFUNCTION("GOOGLETRANSLATE(B4888, ""nl"", ""en"")"),"Hands almost touching")</f>
        <v>Hands almost touching</v>
      </c>
    </row>
    <row r="4889" ht="15.75" customHeight="1">
      <c r="A4889" s="3" t="s">
        <v>7</v>
      </c>
      <c r="B4889" s="3" t="s">
        <v>34</v>
      </c>
      <c r="D4889" s="3" t="str">
        <f>IFERROR(__xludf.DUMMYFUNCTION("GOOGLETRANSLATE(A4889, ""nl"", ""en"")"),"Human Figures and Physicality")</f>
        <v>Human Figures and Physicality</v>
      </c>
      <c r="E4889" s="3" t="str">
        <f>IFERROR(__xludf.DUMMYFUNCTION("GOOGLETRANSLATE(B4889, ""nl"", ""en"")"),"Hands almost touching")</f>
        <v>Hands almost touching</v>
      </c>
    </row>
    <row r="4890" ht="15.75" customHeight="1">
      <c r="A4890" s="3" t="s">
        <v>9</v>
      </c>
      <c r="B4890" s="3" t="s">
        <v>49</v>
      </c>
      <c r="D4890" s="3" t="str">
        <f>IFERROR(__xludf.DUMMYFUNCTION("GOOGLETRANSLATE(A4890, ""nl"", ""en"")"),"Psychological and Emotional Interpretations")</f>
        <v>Psychological and Emotional Interpretations</v>
      </c>
      <c r="E4890" s="3" t="str">
        <f>IFERROR(__xludf.DUMMYFUNCTION("GOOGLETRANSLATE(B4890, ""nl"", ""en"")"),"A spiral that turns inward")</f>
        <v>A spiral that turns inward</v>
      </c>
    </row>
    <row r="4891" ht="15.75" customHeight="1">
      <c r="A4891" s="3" t="s">
        <v>7</v>
      </c>
      <c r="B4891" s="3" t="s">
        <v>8</v>
      </c>
      <c r="D4891" s="3" t="str">
        <f>IFERROR(__xludf.DUMMYFUNCTION("GOOGLETRANSLATE(A4891, ""nl"", ""en"")"),"Human Figures and Physicality")</f>
        <v>Human Figures and Physicality</v>
      </c>
      <c r="E4891" s="3" t="str">
        <f>IFERROR(__xludf.DUMMYFUNCTION("GOOGLETRANSLATE(B4891, ""nl"", ""en"")"),"Two figures mirroring each other")</f>
        <v>Two figures mirroring each other</v>
      </c>
    </row>
    <row r="4892" ht="15.75" customHeight="1">
      <c r="A4892" s="3" t="s">
        <v>12</v>
      </c>
      <c r="B4892" s="3" t="s">
        <v>47</v>
      </c>
      <c r="D4892" s="3" t="str">
        <f>IFERROR(__xludf.DUMMYFUNCTION("GOOGLETRANSLATE(A4892, ""nl"", ""en"")"),"Nature and Elements")</f>
        <v>Nature and Elements</v>
      </c>
      <c r="E4892" s="3" t="str">
        <f>IFERROR(__xludf.DUMMYFUNCTION("GOOGLETRANSLATE(B4892, ""nl"", ""en"")"),"A desert landscape that slowly changes")</f>
        <v>A desert landscape that slowly changes</v>
      </c>
    </row>
    <row r="4893" ht="15.75" customHeight="1">
      <c r="A4893" s="3" t="s">
        <v>15</v>
      </c>
      <c r="B4893" s="3" t="s">
        <v>45</v>
      </c>
      <c r="D4893" s="3" t="str">
        <f>IFERROR(__xludf.DUMMYFUNCTION("GOOGLETRANSLATE(A4893, ""nl"", ""en"")"),"Animals and Organic Forms")</f>
        <v>Animals and Organic Forms</v>
      </c>
      <c r="E4893" s="3" t="str">
        <f>IFERROR(__xludf.DUMMYFUNCTION("GOOGLETRANSLATE(B4893, ""nl"", ""en"")"),"A snake biting its own tail")</f>
        <v>A snake biting its own tail</v>
      </c>
    </row>
    <row r="4894" ht="15.75" customHeight="1">
      <c r="A4894" s="3" t="s">
        <v>12</v>
      </c>
      <c r="B4894" s="3" t="s">
        <v>47</v>
      </c>
      <c r="D4894" s="3" t="str">
        <f>IFERROR(__xludf.DUMMYFUNCTION("GOOGLETRANSLATE(A4894, ""nl"", ""en"")"),"Nature and Elements")</f>
        <v>Nature and Elements</v>
      </c>
      <c r="E4894" s="3" t="str">
        <f>IFERROR(__xludf.DUMMYFUNCTION("GOOGLETRANSLATE(B4894, ""nl"", ""en"")"),"A desert landscape that slowly changes")</f>
        <v>A desert landscape that slowly changes</v>
      </c>
    </row>
    <row r="4895" ht="15.75" customHeight="1">
      <c r="A4895" s="3" t="s">
        <v>12</v>
      </c>
      <c r="B4895" s="3" t="s">
        <v>23</v>
      </c>
      <c r="D4895" s="3" t="str">
        <f>IFERROR(__xludf.DUMMYFUNCTION("GOOGLETRANSLATE(A4895, ""nl"", ""en"")"),"Nature and Elements")</f>
        <v>Nature and Elements</v>
      </c>
      <c r="E4895" s="3" t="str">
        <f>IFERROR(__xludf.DUMMYFUNCTION("GOOGLETRANSLATE(B4895, ""nl"", ""en"")"),"A storm cloud splitting in two")</f>
        <v>A storm cloud splitting in two</v>
      </c>
    </row>
    <row r="4896" ht="15.75" customHeight="1">
      <c r="A4896" s="3" t="s">
        <v>7</v>
      </c>
      <c r="B4896" s="3" t="s">
        <v>40</v>
      </c>
      <c r="D4896" s="3" t="str">
        <f>IFERROR(__xludf.DUMMYFUNCTION("GOOGLETRANSLATE(A4896, ""nl"", ""en"")"),"Human Figures and Physicality")</f>
        <v>Human Figures and Physicality</v>
      </c>
      <c r="E4896" s="3" t="str">
        <f>IFERROR(__xludf.DUMMYFUNCTION("GOOGLETRANSLATE(B4896, ""nl"", ""en"")"),"A figure who is withdrawn into himself")</f>
        <v>A figure who is withdrawn into himself</v>
      </c>
    </row>
    <row r="4897" ht="15.75" customHeight="1">
      <c r="A4897" s="3" t="s">
        <v>9</v>
      </c>
      <c r="B4897" s="3" t="s">
        <v>17</v>
      </c>
      <c r="D4897" s="3" t="str">
        <f>IFERROR(__xludf.DUMMYFUNCTION("GOOGLETRANSLATE(A4897, ""nl"", ""en"")"),"Psychological and Emotional Interpretations")</f>
        <v>Psychological and Emotional Interpretations</v>
      </c>
      <c r="E4897" s="3" t="str">
        <f>IFERROR(__xludf.DUMMYFUNCTION("GOOGLETRANSLATE(B4897, ""nl"", ""en"")"),"A figure that seems to melt")</f>
        <v>A figure that seems to melt</v>
      </c>
    </row>
    <row r="4898" ht="15.75" customHeight="1">
      <c r="A4898" s="3" t="s">
        <v>9</v>
      </c>
      <c r="B4898" s="3" t="s">
        <v>49</v>
      </c>
      <c r="D4898" s="3" t="str">
        <f>IFERROR(__xludf.DUMMYFUNCTION("GOOGLETRANSLATE(A4898, ""nl"", ""en"")"),"Psychological and Emotional Interpretations")</f>
        <v>Psychological and Emotional Interpretations</v>
      </c>
      <c r="E4898" s="3" t="str">
        <f>IFERROR(__xludf.DUMMYFUNCTION("GOOGLETRANSLATE(B4898, ""nl"", ""en"")"),"A spiral that turns inward")</f>
        <v>A spiral that turns inward</v>
      </c>
    </row>
    <row r="4899" ht="15.75" customHeight="1">
      <c r="A4899" s="3" t="s">
        <v>4</v>
      </c>
      <c r="B4899" s="3" t="s">
        <v>21</v>
      </c>
      <c r="D4899" s="3" t="str">
        <f>IFERROR(__xludf.DUMMYFUNCTION("GOOGLETRANSLATE(A4899, ""nl"", ""en"")"),"Architectural and Structural Associations")</f>
        <v>Architectural and Structural Associations</v>
      </c>
      <c r="E4899" s="3" t="str">
        <f>IFERROR(__xludf.DUMMYFUNCTION("GOOGLETRANSLATE(B4899, ""nl"", ""en"")"),"A bridge that leads nowhere")</f>
        <v>A bridge that leads nowhere</v>
      </c>
    </row>
    <row r="4900" ht="15.75" customHeight="1">
      <c r="A4900" s="3" t="s">
        <v>15</v>
      </c>
      <c r="B4900" s="3" t="s">
        <v>26</v>
      </c>
      <c r="D4900" s="3" t="str">
        <f>IFERROR(__xludf.DUMMYFUNCTION("GOOGLETRANSLATE(A4900, ""nl"", ""en"")"),"Animals and Organic Forms")</f>
        <v>Animals and Organic Forms</v>
      </c>
      <c r="E4900" s="3" t="str">
        <f>IFERROR(__xludf.DUMMYFUNCTION("GOOGLETRANSLATE(B4900, ""nl"", ""en"")"),"A frog preparing to jump")</f>
        <v>A frog preparing to jump</v>
      </c>
    </row>
    <row r="4901" ht="15.75" customHeight="1">
      <c r="A4901" s="3" t="s">
        <v>7</v>
      </c>
      <c r="B4901" s="3" t="s">
        <v>8</v>
      </c>
      <c r="D4901" s="3" t="str">
        <f>IFERROR(__xludf.DUMMYFUNCTION("GOOGLETRANSLATE(A4901, ""nl"", ""en"")"),"Human Figures and Physicality")</f>
        <v>Human Figures and Physicality</v>
      </c>
      <c r="E4901" s="3" t="str">
        <f>IFERROR(__xludf.DUMMYFUNCTION("GOOGLETRANSLATE(B4901, ""nl"", ""en"")"),"Two figures mirroring each other")</f>
        <v>Two figures mirroring each other</v>
      </c>
    </row>
    <row r="4902" ht="15.75" customHeight="1">
      <c r="A4902" s="3" t="s">
        <v>9</v>
      </c>
      <c r="B4902" s="3" t="s">
        <v>37</v>
      </c>
      <c r="D4902" s="3" t="str">
        <f>IFERROR(__xludf.DUMMYFUNCTION("GOOGLETRANSLATE(A4902, ""nl"", ""en"")"),"Psychological and Emotional Interpretations")</f>
        <v>Psychological and Emotional Interpretations</v>
      </c>
      <c r="E4902" s="3" t="str">
        <f>IFERROR(__xludf.DUMMYFUNCTION("GOOGLETRANSLATE(B4902, ""nl"", ""en"")"),"A figure looking through itself")</f>
        <v>A figure looking through itself</v>
      </c>
    </row>
    <row r="4903" ht="15.75" customHeight="1">
      <c r="A4903" s="3" t="s">
        <v>24</v>
      </c>
      <c r="B4903" s="3" t="s">
        <v>29</v>
      </c>
      <c r="D4903" s="3" t="str">
        <f>IFERROR(__xludf.DUMMYFUNCTION("GOOGLETRANSLATE(A4903, ""nl"", ""en"")"),"Cosmic and Abstract Patterns")</f>
        <v>Cosmic and Abstract Patterns</v>
      </c>
      <c r="E4903" s="3" t="str">
        <f>IFERROR(__xludf.DUMMYFUNCTION("GOOGLETRANSLATE(B4903, ""nl"", ""en"")"),"A galaxy unfolding")</f>
        <v>A galaxy unfolding</v>
      </c>
    </row>
    <row r="4904" ht="15.75" customHeight="1">
      <c r="A4904" s="3" t="s">
        <v>15</v>
      </c>
      <c r="B4904" s="3" t="s">
        <v>26</v>
      </c>
      <c r="D4904" s="3" t="str">
        <f>IFERROR(__xludf.DUMMYFUNCTION("GOOGLETRANSLATE(A4904, ""nl"", ""en"")"),"Animals and Organic Forms")</f>
        <v>Animals and Organic Forms</v>
      </c>
      <c r="E4904" s="3" t="str">
        <f>IFERROR(__xludf.DUMMYFUNCTION("GOOGLETRANSLATE(B4904, ""nl"", ""en"")"),"A frog preparing to jump")</f>
        <v>A frog preparing to jump</v>
      </c>
    </row>
    <row r="4905" ht="15.75" customHeight="1">
      <c r="A4905" s="3" t="s">
        <v>4</v>
      </c>
      <c r="B4905" s="3" t="s">
        <v>35</v>
      </c>
      <c r="D4905" s="3" t="str">
        <f>IFERROR(__xludf.DUMMYFUNCTION("GOOGLETRANSLATE(A4905, ""nl"", ""en"")"),"Architectural and Structural Associations")</f>
        <v>Architectural and Structural Associations</v>
      </c>
      <c r="E4905" s="3" t="str">
        <f>IFERROR(__xludf.DUMMYFUNCTION("GOOGLETRANSLATE(B4905, ""nl"", ""en"")"),"A floating building without a base")</f>
        <v>A floating building without a base</v>
      </c>
    </row>
    <row r="4906" ht="15.75" customHeight="1">
      <c r="A4906" s="3" t="s">
        <v>4</v>
      </c>
      <c r="B4906" s="3" t="s">
        <v>5</v>
      </c>
      <c r="D4906" s="3" t="str">
        <f>IFERROR(__xludf.DUMMYFUNCTION("GOOGLETRANSLATE(A4906, ""nl"", ""en"")"),"Architectural and Structural Associations")</f>
        <v>Architectural and Structural Associations</v>
      </c>
      <c r="E4906" s="3" t="str">
        <f>IFERROR(__xludf.DUMMYFUNCTION("GOOGLETRANSLATE(B4906, ""nl"", ""en"")"),"A cathedral shaped from mist")</f>
        <v>A cathedral shaped from mist</v>
      </c>
    </row>
    <row r="4907" ht="15.75" customHeight="1">
      <c r="A4907" s="3" t="s">
        <v>4</v>
      </c>
      <c r="B4907" s="3" t="s">
        <v>5</v>
      </c>
      <c r="D4907" s="3" t="str">
        <f>IFERROR(__xludf.DUMMYFUNCTION("GOOGLETRANSLATE(A4907, ""nl"", ""en"")"),"Architectural and Structural Associations")</f>
        <v>Architectural and Structural Associations</v>
      </c>
      <c r="E4907" s="3" t="str">
        <f>IFERROR(__xludf.DUMMYFUNCTION("GOOGLETRANSLATE(B4907, ""nl"", ""en"")"),"A cathedral shaped from mist")</f>
        <v>A cathedral shaped from mist</v>
      </c>
    </row>
    <row r="4908" ht="15.75" customHeight="1">
      <c r="A4908" s="3" t="s">
        <v>12</v>
      </c>
      <c r="B4908" s="3" t="s">
        <v>23</v>
      </c>
      <c r="D4908" s="3" t="str">
        <f>IFERROR(__xludf.DUMMYFUNCTION("GOOGLETRANSLATE(A4908, ""nl"", ""en"")"),"Nature and Elements")</f>
        <v>Nature and Elements</v>
      </c>
      <c r="E4908" s="3" t="str">
        <f>IFERROR(__xludf.DUMMYFUNCTION("GOOGLETRANSLATE(B4908, ""nl"", ""en"")"),"A storm cloud splitting in two")</f>
        <v>A storm cloud splitting in two</v>
      </c>
    </row>
    <row r="4909" ht="15.75" customHeight="1">
      <c r="A4909" s="3" t="s">
        <v>9</v>
      </c>
      <c r="B4909" s="3" t="s">
        <v>49</v>
      </c>
      <c r="D4909" s="3" t="str">
        <f>IFERROR(__xludf.DUMMYFUNCTION("GOOGLETRANSLATE(A4909, ""nl"", ""en"")"),"Psychological and Emotional Interpretations")</f>
        <v>Psychological and Emotional Interpretations</v>
      </c>
      <c r="E4909" s="3" t="str">
        <f>IFERROR(__xludf.DUMMYFUNCTION("GOOGLETRANSLATE(B4909, ""nl"", ""en"")"),"A spiral that turns inward")</f>
        <v>A spiral that turns inward</v>
      </c>
    </row>
    <row r="4910" ht="15.75" customHeight="1">
      <c r="A4910" s="3" t="s">
        <v>12</v>
      </c>
      <c r="B4910" s="3" t="s">
        <v>19</v>
      </c>
      <c r="D4910" s="3" t="str">
        <f>IFERROR(__xludf.DUMMYFUNCTION("GOOGLETRANSLATE(A4910, ""nl"", ""en"")"),"Nature and Elements")</f>
        <v>Nature and Elements</v>
      </c>
      <c r="E4910" s="3" t="str">
        <f>IFERROR(__xludf.DUMMYFUNCTION("GOOGLETRANSLATE(B4910, ""nl"", ""en"")"),"A mountain range that seems to breathe")</f>
        <v>A mountain range that seems to breathe</v>
      </c>
    </row>
    <row r="4911" ht="15.75" customHeight="1">
      <c r="A4911" s="3" t="s">
        <v>7</v>
      </c>
      <c r="B4911" s="3" t="s">
        <v>8</v>
      </c>
      <c r="D4911" s="3" t="str">
        <f>IFERROR(__xludf.DUMMYFUNCTION("GOOGLETRANSLATE(A4911, ""nl"", ""en"")"),"Human Figures and Physicality")</f>
        <v>Human Figures and Physicality</v>
      </c>
      <c r="E4911" s="3" t="str">
        <f>IFERROR(__xludf.DUMMYFUNCTION("GOOGLETRANSLATE(B4911, ""nl"", ""en"")"),"Two figures mirroring each other")</f>
        <v>Two figures mirroring each other</v>
      </c>
    </row>
    <row r="4912" ht="15.75" customHeight="1">
      <c r="A4912" s="3" t="s">
        <v>12</v>
      </c>
      <c r="B4912" s="3" t="s">
        <v>36</v>
      </c>
      <c r="D4912" s="3" t="str">
        <f>IFERROR(__xludf.DUMMYFUNCTION("GOOGLETRANSLATE(A4912, ""nl"", ""en"")"),"Nature and Elements")</f>
        <v>Nature and Elements</v>
      </c>
      <c r="E4912" s="3" t="str">
        <f>IFERROR(__xludf.DUMMYFUNCTION("GOOGLETRANSLATE(B4912, ""nl"", ""en"")"),"A river delta from a bird's-eye view")</f>
        <v>A river delta from a bird's-eye view</v>
      </c>
    </row>
    <row r="4913" ht="15.75" customHeight="1">
      <c r="A4913" s="3" t="s">
        <v>24</v>
      </c>
      <c r="B4913" s="3" t="s">
        <v>31</v>
      </c>
      <c r="D4913" s="3" t="str">
        <f>IFERROR(__xludf.DUMMYFUNCTION("GOOGLETRANSLATE(A4913, ""nl"", ""en"")"),"Cosmic and Abstract Patterns")</f>
        <v>Cosmic and Abstract Patterns</v>
      </c>
      <c r="E4913" s="3" t="str">
        <f>IFERROR(__xludf.DUMMYFUNCTION("GOOGLETRANSLATE(B4913, ""nl"", ""en"")"),"A planet with unusual rings")</f>
        <v>A planet with unusual rings</v>
      </c>
    </row>
    <row r="4914" ht="15.75" customHeight="1">
      <c r="A4914" s="3" t="s">
        <v>24</v>
      </c>
      <c r="B4914" s="3" t="s">
        <v>54</v>
      </c>
      <c r="D4914" s="3" t="str">
        <f>IFERROR(__xludf.DUMMYFUNCTION("GOOGLETRANSLATE(A4914, ""nl"", ""en"")"),"Cosmic and Abstract Patterns")</f>
        <v>Cosmic and Abstract Patterns</v>
      </c>
      <c r="E4914" s="3" t="str">
        <f>IFERROR(__xludf.DUMMYFUNCTION("GOOGLETRANSLATE(B4914, ""nl"", ""en"")"),"A quantum particle in superposition")</f>
        <v>A quantum particle in superposition</v>
      </c>
    </row>
    <row r="4915" ht="15.75" customHeight="1">
      <c r="A4915" s="3" t="s">
        <v>7</v>
      </c>
      <c r="B4915" s="3" t="s">
        <v>41</v>
      </c>
      <c r="D4915" s="3" t="str">
        <f>IFERROR(__xludf.DUMMYFUNCTION("GOOGLETRANSLATE(A4915, ""nl"", ""en"")"),"Human Figures and Physicality")</f>
        <v>Human Figures and Physicality</v>
      </c>
      <c r="E4915" s="3" t="str">
        <f>IFERROR(__xludf.DUMMYFUNCTION("GOOGLETRANSLATE(B4915, ""nl"", ""en"")"),"A face that fades into abstraction")</f>
        <v>A face that fades into abstraction</v>
      </c>
    </row>
    <row r="4916" ht="15.75" customHeight="1">
      <c r="A4916" s="3" t="s">
        <v>24</v>
      </c>
      <c r="B4916" s="3" t="s">
        <v>48</v>
      </c>
      <c r="D4916" s="3" t="str">
        <f>IFERROR(__xludf.DUMMYFUNCTION("GOOGLETRANSLATE(A4916, ""nl"", ""en"")"),"Cosmic and Abstract Patterns")</f>
        <v>Cosmic and Abstract Patterns</v>
      </c>
      <c r="E4916" s="3" t="str">
        <f>IFERROR(__xludf.DUMMYFUNCTION("GOOGLETRANSLATE(B4916, ""nl"", ""en"")"),"A fractal that repeats itself")</f>
        <v>A fractal that repeats itself</v>
      </c>
    </row>
    <row r="4917" ht="15.75" customHeight="1">
      <c r="A4917" s="3" t="s">
        <v>24</v>
      </c>
      <c r="B4917" s="3" t="s">
        <v>48</v>
      </c>
      <c r="D4917" s="3" t="str">
        <f>IFERROR(__xludf.DUMMYFUNCTION("GOOGLETRANSLATE(A4917, ""nl"", ""en"")"),"Cosmic and Abstract Patterns")</f>
        <v>Cosmic and Abstract Patterns</v>
      </c>
      <c r="E4917" s="3" t="str">
        <f>IFERROR(__xludf.DUMMYFUNCTION("GOOGLETRANSLATE(B4917, ""nl"", ""en"")"),"A fractal that repeats itself")</f>
        <v>A fractal that repeats itself</v>
      </c>
    </row>
    <row r="4918" ht="15.75" customHeight="1">
      <c r="A4918" s="3" t="s">
        <v>9</v>
      </c>
      <c r="B4918" s="3" t="s">
        <v>14</v>
      </c>
      <c r="D4918" s="3" t="str">
        <f>IFERROR(__xludf.DUMMYFUNCTION("GOOGLETRANSLATE(A4918, ""nl"", ""en"")"),"Psychological and Emotional Interpretations")</f>
        <v>Psychological and Emotional Interpretations</v>
      </c>
      <c r="E4918" s="3" t="str">
        <f>IFERROR(__xludf.DUMMYFUNCTION("GOOGLETRANSLATE(B4918, ""nl"", ""en"")"),"An unclear hug")</f>
        <v>An unclear hug</v>
      </c>
    </row>
    <row r="4919" ht="15.75" customHeight="1">
      <c r="A4919" s="3" t="s">
        <v>4</v>
      </c>
      <c r="B4919" s="3" t="s">
        <v>55</v>
      </c>
      <c r="D4919" s="3" t="str">
        <f>IFERROR(__xludf.DUMMYFUNCTION("GOOGLETRANSLATE(A4919, ""nl"", ""en"")"),"Architectural and Structural Associations")</f>
        <v>Architectural and Structural Associations</v>
      </c>
      <c r="E4919" s="3" t="str">
        <f>IFERROR(__xludf.DUMMYFUNCTION("GOOGLETRANSLATE(B4919, ""nl"", ""en"")"),"A prism that splits light into colors")</f>
        <v>A prism that splits light into colors</v>
      </c>
    </row>
    <row r="4920" ht="15.75" customHeight="1">
      <c r="A4920" s="3" t="s">
        <v>15</v>
      </c>
      <c r="B4920" s="3" t="s">
        <v>45</v>
      </c>
      <c r="D4920" s="3" t="str">
        <f>IFERROR(__xludf.DUMMYFUNCTION("GOOGLETRANSLATE(A4920, ""nl"", ""en"")"),"Animals and Organic Forms")</f>
        <v>Animals and Organic Forms</v>
      </c>
      <c r="E4920" s="3" t="str">
        <f>IFERROR(__xludf.DUMMYFUNCTION("GOOGLETRANSLATE(B4920, ""nl"", ""en"")"),"A snake biting its own tail")</f>
        <v>A snake biting its own tail</v>
      </c>
    </row>
    <row r="4921" ht="15.75" customHeight="1">
      <c r="A4921" s="3" t="s">
        <v>9</v>
      </c>
      <c r="B4921" s="3" t="s">
        <v>10</v>
      </c>
      <c r="D4921" s="3" t="str">
        <f>IFERROR(__xludf.DUMMYFUNCTION("GOOGLETRANSLATE(A4921, ""nl"", ""en"")"),"Psychological and Emotional Interpretations")</f>
        <v>Psychological and Emotional Interpretations</v>
      </c>
      <c r="E4921" s="3" t="str">
        <f>IFERROR(__xludf.DUMMYFUNCTION("GOOGLETRANSLATE(B4921, ""nl"", ""en"")"),"A face transforming in light")</f>
        <v>A face transforming in light</v>
      </c>
    </row>
    <row r="4922" ht="15.75" customHeight="1">
      <c r="A4922" s="3" t="s">
        <v>24</v>
      </c>
      <c r="B4922" s="3" t="s">
        <v>27</v>
      </c>
      <c r="D4922" s="3" t="str">
        <f>IFERROR(__xludf.DUMMYFUNCTION("GOOGLETRANSLATE(A4922, ""nl"", ""en"")"),"Cosmic and Abstract Patterns")</f>
        <v>Cosmic and Abstract Patterns</v>
      </c>
      <c r="E4922" s="3" t="str">
        <f>IFERROR(__xludf.DUMMYFUNCTION("GOOGLETRANSLATE(B4922, ""nl"", ""en"")"),"A pair of black holes in dance")</f>
        <v>A pair of black holes in dance</v>
      </c>
    </row>
    <row r="4923" ht="15.75" customHeight="1">
      <c r="A4923" s="3" t="s">
        <v>12</v>
      </c>
      <c r="B4923" s="3" t="s">
        <v>13</v>
      </c>
      <c r="D4923" s="3" t="str">
        <f>IFERROR(__xludf.DUMMYFUNCTION("GOOGLETRANSLATE(A4923, ""nl"", ""en"")"),"Nature and Elements")</f>
        <v>Nature and Elements</v>
      </c>
      <c r="E4923" s="3" t="str">
        <f>IFERROR(__xludf.DUMMYFUNCTION("GOOGLETRANSLATE(B4923, ""nl"", ""en"")"),"A lightning strike in slow motion")</f>
        <v>A lightning strike in slow motion</v>
      </c>
    </row>
    <row r="4924" ht="15.75" customHeight="1">
      <c r="A4924" s="3" t="s">
        <v>24</v>
      </c>
      <c r="B4924" s="3" t="s">
        <v>32</v>
      </c>
      <c r="D4924" s="3" t="str">
        <f>IFERROR(__xludf.DUMMYFUNCTION("GOOGLETRANSLATE(A4924, ""nl"", ""en"")"),"Cosmic and Abstract Patterns")</f>
        <v>Cosmic and Abstract Patterns</v>
      </c>
      <c r="E4924" s="3" t="str">
        <f>IFERROR(__xludf.DUMMYFUNCTION("GOOGLETRANSLATE(B4924, ""nl"", ""en"")"),"A time loop captured in image")</f>
        <v>A time loop captured in image</v>
      </c>
    </row>
    <row r="4925" ht="15.75" customHeight="1">
      <c r="A4925" s="3" t="s">
        <v>4</v>
      </c>
      <c r="B4925" s="3" t="s">
        <v>21</v>
      </c>
      <c r="D4925" s="3" t="str">
        <f>IFERROR(__xludf.DUMMYFUNCTION("GOOGLETRANSLATE(A4925, ""nl"", ""en"")"),"Architectural and Structural Associations")</f>
        <v>Architectural and Structural Associations</v>
      </c>
      <c r="E4925" s="3" t="str">
        <f>IFERROR(__xludf.DUMMYFUNCTION("GOOGLETRANSLATE(B4925, ""nl"", ""en"")"),"A bridge that leads nowhere")</f>
        <v>A bridge that leads nowhere</v>
      </c>
    </row>
    <row r="4926" ht="15.75" customHeight="1">
      <c r="A4926" s="3" t="s">
        <v>4</v>
      </c>
      <c r="B4926" s="3" t="s">
        <v>21</v>
      </c>
      <c r="D4926" s="3" t="str">
        <f>IFERROR(__xludf.DUMMYFUNCTION("GOOGLETRANSLATE(A4926, ""nl"", ""en"")"),"Architectural and Structural Associations")</f>
        <v>Architectural and Structural Associations</v>
      </c>
      <c r="E4926" s="3" t="str">
        <f>IFERROR(__xludf.DUMMYFUNCTION("GOOGLETRANSLATE(B4926, ""nl"", ""en"")"),"A bridge that leads nowhere")</f>
        <v>A bridge that leads nowhere</v>
      </c>
    </row>
    <row r="4927" ht="15.75" customHeight="1">
      <c r="A4927" s="3" t="s">
        <v>12</v>
      </c>
      <c r="B4927" s="3" t="s">
        <v>47</v>
      </c>
      <c r="D4927" s="3" t="str">
        <f>IFERROR(__xludf.DUMMYFUNCTION("GOOGLETRANSLATE(A4927, ""nl"", ""en"")"),"Nature and Elements")</f>
        <v>Nature and Elements</v>
      </c>
      <c r="E4927" s="3" t="str">
        <f>IFERROR(__xludf.DUMMYFUNCTION("GOOGLETRANSLATE(B4927, ""nl"", ""en"")"),"A desert landscape that slowly changes")</f>
        <v>A desert landscape that slowly changes</v>
      </c>
    </row>
    <row r="4928" ht="15.75" customHeight="1">
      <c r="A4928" s="3" t="s">
        <v>4</v>
      </c>
      <c r="B4928" s="3" t="s">
        <v>21</v>
      </c>
      <c r="D4928" s="3" t="str">
        <f>IFERROR(__xludf.DUMMYFUNCTION("GOOGLETRANSLATE(A4928, ""nl"", ""en"")"),"Architectural and Structural Associations")</f>
        <v>Architectural and Structural Associations</v>
      </c>
      <c r="E4928" s="3" t="str">
        <f>IFERROR(__xludf.DUMMYFUNCTION("GOOGLETRANSLATE(B4928, ""nl"", ""en"")"),"A bridge that leads nowhere")</f>
        <v>A bridge that leads nowhere</v>
      </c>
    </row>
    <row r="4929" ht="15.75" customHeight="1">
      <c r="A4929" s="3" t="s">
        <v>15</v>
      </c>
      <c r="B4929" s="3" t="s">
        <v>50</v>
      </c>
      <c r="D4929" s="3" t="str">
        <f>IFERROR(__xludf.DUMMYFUNCTION("GOOGLETRANSLATE(A4929, ""nl"", ""en"")"),"Animals and Organic Forms")</f>
        <v>Animals and Organic Forms</v>
      </c>
      <c r="E4929" s="3" t="str">
        <f>IFERROR(__xludf.DUMMYFUNCTION("GOOGLETRANSLATE(B4929, ""nl"", ""en"")"),"A squid with extended tentacles")</f>
        <v>A squid with extended tentacles</v>
      </c>
    </row>
    <row r="4930" ht="15.75" customHeight="1">
      <c r="A4930" s="3" t="s">
        <v>24</v>
      </c>
      <c r="B4930" s="3" t="s">
        <v>27</v>
      </c>
      <c r="D4930" s="3" t="str">
        <f>IFERROR(__xludf.DUMMYFUNCTION("GOOGLETRANSLATE(A4930, ""nl"", ""en"")"),"Cosmic and Abstract Patterns")</f>
        <v>Cosmic and Abstract Patterns</v>
      </c>
      <c r="E4930" s="3" t="str">
        <f>IFERROR(__xludf.DUMMYFUNCTION("GOOGLETRANSLATE(B4930, ""nl"", ""en"")"),"A pair of black holes in dance")</f>
        <v>A pair of black holes in dance</v>
      </c>
    </row>
    <row r="4931" ht="15.75" customHeight="1">
      <c r="A4931" s="3" t="s">
        <v>9</v>
      </c>
      <c r="B4931" s="3" t="s">
        <v>49</v>
      </c>
      <c r="D4931" s="3" t="str">
        <f>IFERROR(__xludf.DUMMYFUNCTION("GOOGLETRANSLATE(A4931, ""nl"", ""en"")"),"Psychological and Emotional Interpretations")</f>
        <v>Psychological and Emotional Interpretations</v>
      </c>
      <c r="E4931" s="3" t="str">
        <f>IFERROR(__xludf.DUMMYFUNCTION("GOOGLETRANSLATE(B4931, ""nl"", ""en"")"),"A spiral that turns inward")</f>
        <v>A spiral that turns inward</v>
      </c>
    </row>
    <row r="4932" ht="15.75" customHeight="1">
      <c r="A4932" s="3" t="s">
        <v>4</v>
      </c>
      <c r="B4932" s="3" t="s">
        <v>44</v>
      </c>
      <c r="D4932" s="3" t="str">
        <f>IFERROR(__xludf.DUMMYFUNCTION("GOOGLETRANSLATE(A4932, ""nl"", ""en"")"),"Architectural and Structural Associations")</f>
        <v>Architectural and Structural Associations</v>
      </c>
      <c r="E4932" s="3" t="str">
        <f>IFERROR(__xludf.DUMMYFUNCTION("GOOGLETRANSLATE(B4932, ""nl"", ""en"")"),"A structure that pulsates in waves")</f>
        <v>A structure that pulsates in waves</v>
      </c>
    </row>
    <row r="4933" ht="15.75" customHeight="1">
      <c r="A4933" s="3" t="s">
        <v>24</v>
      </c>
      <c r="B4933" s="3" t="s">
        <v>54</v>
      </c>
      <c r="D4933" s="3" t="str">
        <f>IFERROR(__xludf.DUMMYFUNCTION("GOOGLETRANSLATE(A4933, ""nl"", ""en"")"),"Cosmic and Abstract Patterns")</f>
        <v>Cosmic and Abstract Patterns</v>
      </c>
      <c r="E4933" s="3" t="str">
        <f>IFERROR(__xludf.DUMMYFUNCTION("GOOGLETRANSLATE(B4933, ""nl"", ""en"")"),"A quantum particle in superposition")</f>
        <v>A quantum particle in superposition</v>
      </c>
    </row>
    <row r="4934" ht="15.75" customHeight="1">
      <c r="A4934" s="3" t="s">
        <v>9</v>
      </c>
      <c r="B4934" s="3" t="s">
        <v>37</v>
      </c>
      <c r="D4934" s="3" t="str">
        <f>IFERROR(__xludf.DUMMYFUNCTION("GOOGLETRANSLATE(A4934, ""nl"", ""en"")"),"Psychological and Emotional Interpretations")</f>
        <v>Psychological and Emotional Interpretations</v>
      </c>
      <c r="E4934" s="3" t="str">
        <f>IFERROR(__xludf.DUMMYFUNCTION("GOOGLETRANSLATE(B4934, ""nl"", ""en"")"),"A figure looking through itself")</f>
        <v>A figure looking through itself</v>
      </c>
    </row>
    <row r="4935" ht="15.75" customHeight="1">
      <c r="A4935" s="3" t="s">
        <v>24</v>
      </c>
      <c r="B4935" s="3" t="s">
        <v>25</v>
      </c>
      <c r="D4935" s="3" t="str">
        <f>IFERROR(__xludf.DUMMYFUNCTION("GOOGLETRANSLATE(A4935, ""nl"", ""en"")"),"Cosmic and Abstract Patterns")</f>
        <v>Cosmic and Abstract Patterns</v>
      </c>
      <c r="E4935" s="3" t="str">
        <f>IFERROR(__xludf.DUMMYFUNCTION("GOOGLETRANSLATE(B4935, ""nl"", ""en"")"),"A meteor shower dissolving into each other")</f>
        <v>A meteor shower dissolving into each other</v>
      </c>
    </row>
    <row r="4936" ht="15.75" customHeight="1">
      <c r="A4936" s="3" t="s">
        <v>12</v>
      </c>
      <c r="B4936" s="3" t="s">
        <v>51</v>
      </c>
      <c r="D4936" s="3" t="str">
        <f>IFERROR(__xludf.DUMMYFUNCTION("GOOGLETRANSLATE(A4936, ""nl"", ""en"")"),"Nature and Elements")</f>
        <v>Nature and Elements</v>
      </c>
      <c r="E4936" s="3" t="str">
        <f>IFERROR(__xludf.DUMMYFUNCTION("GOOGLETRANSLATE(B4936, ""nl"", ""en"")"),"An evaporating puddle of water")</f>
        <v>An evaporating puddle of water</v>
      </c>
    </row>
    <row r="4937" ht="15.75" customHeight="1">
      <c r="A4937" s="3" t="s">
        <v>4</v>
      </c>
      <c r="B4937" s="3" t="s">
        <v>20</v>
      </c>
      <c r="D4937" s="3" t="str">
        <f>IFERROR(__xludf.DUMMYFUNCTION("GOOGLETRANSLATE(A4937, ""nl"", ""en"")"),"Architectural and Structural Associations")</f>
        <v>Architectural and Structural Associations</v>
      </c>
      <c r="E4937" s="3" t="str">
        <f>IFERROR(__xludf.DUMMYFUNCTION("GOOGLETRANSLATE(B4937, ""nl"", ""en"")"),"A tower that grows by itself")</f>
        <v>A tower that grows by itself</v>
      </c>
    </row>
    <row r="4938" ht="15.75" customHeight="1">
      <c r="A4938" s="3" t="s">
        <v>9</v>
      </c>
      <c r="B4938" s="3" t="s">
        <v>11</v>
      </c>
      <c r="D4938" s="3" t="str">
        <f>IFERROR(__xludf.DUMMYFUNCTION("GOOGLETRANSLATE(A4938, ""nl"", ""en"")"),"Psychological and Emotional Interpretations")</f>
        <v>Psychological and Emotional Interpretations</v>
      </c>
      <c r="E4938" s="3" t="str">
        <f>IFERROR(__xludf.DUMMYFUNCTION("GOOGLETRANSLATE(B4938, ""nl"", ""en"")"),"An emotion captured in abstraction")</f>
        <v>An emotion captured in abstraction</v>
      </c>
    </row>
    <row r="4939" ht="15.75" customHeight="1">
      <c r="A4939" s="3" t="s">
        <v>12</v>
      </c>
      <c r="B4939" s="3" t="s">
        <v>13</v>
      </c>
      <c r="D4939" s="3" t="str">
        <f>IFERROR(__xludf.DUMMYFUNCTION("GOOGLETRANSLATE(A4939, ""nl"", ""en"")"),"Nature and Elements")</f>
        <v>Nature and Elements</v>
      </c>
      <c r="E4939" s="3" t="str">
        <f>IFERROR(__xludf.DUMMYFUNCTION("GOOGLETRANSLATE(B4939, ""nl"", ""en"")"),"A lightning strike in slow motion")</f>
        <v>A lightning strike in slow motion</v>
      </c>
    </row>
    <row r="4940" ht="15.75" customHeight="1">
      <c r="A4940" s="3" t="s">
        <v>12</v>
      </c>
      <c r="B4940" s="3" t="s">
        <v>30</v>
      </c>
      <c r="D4940" s="3" t="str">
        <f>IFERROR(__xludf.DUMMYFUNCTION("GOOGLETRANSLATE(A4940, ""nl"", ""en"")"),"Nature and Elements")</f>
        <v>Nature and Elements</v>
      </c>
      <c r="E4940" s="3" t="str">
        <f>IFERROR(__xludf.DUMMYFUNCTION("GOOGLETRANSLATE(B4940, ""nl"", ""en"")"),"Waves breaking in fractal patterns")</f>
        <v>Waves breaking in fractal patterns</v>
      </c>
    </row>
    <row r="4941" ht="15.75" customHeight="1">
      <c r="A4941" s="3" t="s">
        <v>12</v>
      </c>
      <c r="B4941" s="3" t="s">
        <v>19</v>
      </c>
      <c r="D4941" s="3" t="str">
        <f>IFERROR(__xludf.DUMMYFUNCTION("GOOGLETRANSLATE(A4941, ""nl"", ""en"")"),"Nature and Elements")</f>
        <v>Nature and Elements</v>
      </c>
      <c r="E4941" s="3" t="str">
        <f>IFERROR(__xludf.DUMMYFUNCTION("GOOGLETRANSLATE(B4941, ""nl"", ""en"")"),"A mountain range that seems to breathe")</f>
        <v>A mountain range that seems to breathe</v>
      </c>
    </row>
    <row r="4942" ht="15.75" customHeight="1">
      <c r="A4942" s="3" t="s">
        <v>12</v>
      </c>
      <c r="B4942" s="3" t="s">
        <v>18</v>
      </c>
      <c r="D4942" s="3" t="str">
        <f>IFERROR(__xludf.DUMMYFUNCTION("GOOGLETRANSLATE(A4942, ""nl"", ""en"")"),"Nature and Elements")</f>
        <v>Nature and Elements</v>
      </c>
      <c r="E4942" s="3" t="str">
        <f>IFERROR(__xludf.DUMMYFUNCTION("GOOGLETRANSLATE(B4942, ""nl"", ""en"")"),"A tree with endless branches")</f>
        <v>A tree with endless branches</v>
      </c>
    </row>
    <row r="4943" ht="15.75" customHeight="1">
      <c r="A4943" s="3" t="s">
        <v>15</v>
      </c>
      <c r="B4943" s="3" t="s">
        <v>50</v>
      </c>
      <c r="D4943" s="3" t="str">
        <f>IFERROR(__xludf.DUMMYFUNCTION("GOOGLETRANSLATE(A4943, ""nl"", ""en"")"),"Animals and Organic Forms")</f>
        <v>Animals and Organic Forms</v>
      </c>
      <c r="E4943" s="3" t="str">
        <f>IFERROR(__xludf.DUMMYFUNCTION("GOOGLETRANSLATE(B4943, ""nl"", ""en"")"),"A squid with extended tentacles")</f>
        <v>A squid with extended tentacles</v>
      </c>
    </row>
    <row r="4944" ht="15.75" customHeight="1">
      <c r="A4944" s="3" t="s">
        <v>12</v>
      </c>
      <c r="B4944" s="3" t="s">
        <v>47</v>
      </c>
      <c r="D4944" s="3" t="str">
        <f>IFERROR(__xludf.DUMMYFUNCTION("GOOGLETRANSLATE(A4944, ""nl"", ""en"")"),"Nature and Elements")</f>
        <v>Nature and Elements</v>
      </c>
      <c r="E4944" s="3" t="str">
        <f>IFERROR(__xludf.DUMMYFUNCTION("GOOGLETRANSLATE(B4944, ""nl"", ""en"")"),"A desert landscape that slowly changes")</f>
        <v>A desert landscape that slowly changes</v>
      </c>
    </row>
    <row r="4945" ht="15.75" customHeight="1">
      <c r="A4945" s="3" t="s">
        <v>4</v>
      </c>
      <c r="B4945" s="3" t="s">
        <v>43</v>
      </c>
      <c r="D4945" s="3" t="str">
        <f>IFERROR(__xludf.DUMMYFUNCTION("GOOGLETRANSLATE(A4945, ""nl"", ""en"")"),"Architectural and Structural Associations")</f>
        <v>Architectural and Structural Associations</v>
      </c>
      <c r="E4945" s="3" t="str">
        <f>IFERROR(__xludf.DUMMYFUNCTION("GOOGLETRANSLATE(B4945, ""nl"", ""en"")"),"A network of tunnels and passages")</f>
        <v>A network of tunnels and passages</v>
      </c>
    </row>
    <row r="4946" ht="15.75" customHeight="1">
      <c r="A4946" s="3" t="s">
        <v>4</v>
      </c>
      <c r="B4946" s="3" t="s">
        <v>6</v>
      </c>
      <c r="D4946" s="3" t="str">
        <f>IFERROR(__xludf.DUMMYFUNCTION("GOOGLETRANSLATE(A4946, ""nl"", ""en"")"),"Architectural and Structural Associations")</f>
        <v>Architectural and Structural Associations</v>
      </c>
      <c r="E4946" s="3" t="str">
        <f>IFERROR(__xludf.DUMMYFUNCTION("GOOGLETRANSLATE(B4946, ""nl"", ""en"")"),"An endless labyrinth")</f>
        <v>An endless labyrinth</v>
      </c>
    </row>
    <row r="4947" ht="15.75" customHeight="1">
      <c r="A4947" s="3" t="s">
        <v>7</v>
      </c>
      <c r="B4947" s="3" t="s">
        <v>39</v>
      </c>
      <c r="D4947" s="3" t="str">
        <f>IFERROR(__xludf.DUMMYFUNCTION("GOOGLETRANSLATE(A4947, ""nl"", ""en"")"),"Human Figures and Physicality")</f>
        <v>Human Figures and Physicality</v>
      </c>
      <c r="E4947" s="3" t="str">
        <f>IFERROR(__xludf.DUMMYFUNCTION("GOOGLETRANSLATE(B4947, ""nl"", ""en"")"),"A torso without a head")</f>
        <v>A torso without a head</v>
      </c>
    </row>
    <row r="4948" ht="15.75" customHeight="1">
      <c r="A4948" s="3" t="s">
        <v>15</v>
      </c>
      <c r="B4948" s="3" t="s">
        <v>16</v>
      </c>
      <c r="D4948" s="3" t="str">
        <f>IFERROR(__xludf.DUMMYFUNCTION("GOOGLETRANSLATE(A4948, ""nl"", ""en"")"),"Animals and Organic Forms")</f>
        <v>Animals and Organic Forms</v>
      </c>
      <c r="E4948" s="3" t="str">
        <f>IFERROR(__xludf.DUMMYFUNCTION("GOOGLETRANSLATE(B4948, ""nl"", ""en"")"),"A butterfly in transformation")</f>
        <v>A butterfly in transformation</v>
      </c>
    </row>
    <row r="4949" ht="15.75" customHeight="1">
      <c r="A4949" s="3" t="s">
        <v>4</v>
      </c>
      <c r="B4949" s="3" t="s">
        <v>35</v>
      </c>
      <c r="D4949" s="3" t="str">
        <f>IFERROR(__xludf.DUMMYFUNCTION("GOOGLETRANSLATE(A4949, ""nl"", ""en"")"),"Architectural and Structural Associations")</f>
        <v>Architectural and Structural Associations</v>
      </c>
      <c r="E4949" s="3" t="str">
        <f>IFERROR(__xludf.DUMMYFUNCTION("GOOGLETRANSLATE(B4949, ""nl"", ""en"")"),"A floating building without a base")</f>
        <v>A floating building without a base</v>
      </c>
    </row>
    <row r="4950" ht="15.75" customHeight="1">
      <c r="A4950" s="3" t="s">
        <v>9</v>
      </c>
      <c r="B4950" s="3" t="s">
        <v>37</v>
      </c>
      <c r="D4950" s="3" t="str">
        <f>IFERROR(__xludf.DUMMYFUNCTION("GOOGLETRANSLATE(A4950, ""nl"", ""en"")"),"Psychological and Emotional Interpretations")</f>
        <v>Psychological and Emotional Interpretations</v>
      </c>
      <c r="E4950" s="3" t="str">
        <f>IFERROR(__xludf.DUMMYFUNCTION("GOOGLETRANSLATE(B4950, ""nl"", ""en"")"),"A figure looking through itself")</f>
        <v>A figure looking through itself</v>
      </c>
    </row>
    <row r="4951" ht="15.75" customHeight="1">
      <c r="A4951" s="3" t="s">
        <v>7</v>
      </c>
      <c r="B4951" s="3" t="s">
        <v>40</v>
      </c>
      <c r="D4951" s="3" t="str">
        <f>IFERROR(__xludf.DUMMYFUNCTION("GOOGLETRANSLATE(A4951, ""nl"", ""en"")"),"Human Figures and Physicality")</f>
        <v>Human Figures and Physicality</v>
      </c>
      <c r="E4951" s="3" t="str">
        <f>IFERROR(__xludf.DUMMYFUNCTION("GOOGLETRANSLATE(B4951, ""nl"", ""en"")"),"A figure who is withdrawn into himself")</f>
        <v>A figure who is withdrawn into himself</v>
      </c>
    </row>
    <row r="4952" ht="15.75" customHeight="1">
      <c r="A4952" s="3" t="s">
        <v>12</v>
      </c>
      <c r="B4952" s="3" t="s">
        <v>13</v>
      </c>
      <c r="D4952" s="3" t="str">
        <f>IFERROR(__xludf.DUMMYFUNCTION("GOOGLETRANSLATE(A4952, ""nl"", ""en"")"),"Nature and Elements")</f>
        <v>Nature and Elements</v>
      </c>
      <c r="E4952" s="3" t="str">
        <f>IFERROR(__xludf.DUMMYFUNCTION("GOOGLETRANSLATE(B4952, ""nl"", ""en"")"),"A lightning strike in slow motion")</f>
        <v>A lightning strike in slow motion</v>
      </c>
    </row>
    <row r="4953" ht="15.75" customHeight="1">
      <c r="A4953" s="3" t="s">
        <v>15</v>
      </c>
      <c r="B4953" s="3" t="s">
        <v>26</v>
      </c>
      <c r="D4953" s="3" t="str">
        <f>IFERROR(__xludf.DUMMYFUNCTION("GOOGLETRANSLATE(A4953, ""nl"", ""en"")"),"Animals and Organic Forms")</f>
        <v>Animals and Organic Forms</v>
      </c>
      <c r="E4953" s="3" t="str">
        <f>IFERROR(__xludf.DUMMYFUNCTION("GOOGLETRANSLATE(B4953, ""nl"", ""en"")"),"A frog preparing to jump")</f>
        <v>A frog preparing to jump</v>
      </c>
    </row>
    <row r="4954" ht="15.75" customHeight="1">
      <c r="A4954" s="3" t="s">
        <v>7</v>
      </c>
      <c r="B4954" s="3" t="s">
        <v>41</v>
      </c>
      <c r="D4954" s="3" t="str">
        <f>IFERROR(__xludf.DUMMYFUNCTION("GOOGLETRANSLATE(A4954, ""nl"", ""en"")"),"Human Figures and Physicality")</f>
        <v>Human Figures and Physicality</v>
      </c>
      <c r="E4954" s="3" t="str">
        <f>IFERROR(__xludf.DUMMYFUNCTION("GOOGLETRANSLATE(B4954, ""nl"", ""en"")"),"A face that fades into abstraction")</f>
        <v>A face that fades into abstraction</v>
      </c>
    </row>
    <row r="4955" ht="15.75" customHeight="1">
      <c r="A4955" s="3" t="s">
        <v>15</v>
      </c>
      <c r="B4955" s="3" t="s">
        <v>45</v>
      </c>
      <c r="D4955" s="3" t="str">
        <f>IFERROR(__xludf.DUMMYFUNCTION("GOOGLETRANSLATE(A4955, ""nl"", ""en"")"),"Animals and Organic Forms")</f>
        <v>Animals and Organic Forms</v>
      </c>
      <c r="E4955" s="3" t="str">
        <f>IFERROR(__xludf.DUMMYFUNCTION("GOOGLETRANSLATE(B4955, ""nl"", ""en"")"),"A snake biting its own tail")</f>
        <v>A snake biting its own tail</v>
      </c>
    </row>
    <row r="4956" ht="15.75" customHeight="1">
      <c r="A4956" s="3" t="s">
        <v>12</v>
      </c>
      <c r="B4956" s="3" t="s">
        <v>30</v>
      </c>
      <c r="D4956" s="3" t="str">
        <f>IFERROR(__xludf.DUMMYFUNCTION("GOOGLETRANSLATE(A4956, ""nl"", ""en"")"),"Nature and Elements")</f>
        <v>Nature and Elements</v>
      </c>
      <c r="E4956" s="3" t="str">
        <f>IFERROR(__xludf.DUMMYFUNCTION("GOOGLETRANSLATE(B4956, ""nl"", ""en"")"),"Waves breaking in fractal patterns")</f>
        <v>Waves breaking in fractal patterns</v>
      </c>
    </row>
    <row r="4957" ht="15.75" customHeight="1">
      <c r="A4957" s="3" t="s">
        <v>15</v>
      </c>
      <c r="B4957" s="3" t="s">
        <v>52</v>
      </c>
      <c r="D4957" s="3" t="str">
        <f>IFERROR(__xludf.DUMMYFUNCTION("GOOGLETRANSLATE(A4957, ""nl"", ""en"")"),"Animals and Organic Forms")</f>
        <v>Animals and Organic Forms</v>
      </c>
      <c r="E4957" s="3" t="str">
        <f>IFERROR(__xludf.DUMMYFUNCTION("GOOGLETRANSLATE(B4957, ""nl"", ""en"")"),"A mask made of leaves")</f>
        <v>A mask made of leaves</v>
      </c>
    </row>
    <row r="4958" ht="15.75" customHeight="1">
      <c r="A4958" s="3" t="s">
        <v>15</v>
      </c>
      <c r="B4958" s="3" t="s">
        <v>52</v>
      </c>
      <c r="D4958" s="3" t="str">
        <f>IFERROR(__xludf.DUMMYFUNCTION("GOOGLETRANSLATE(A4958, ""nl"", ""en"")"),"Animals and Organic Forms")</f>
        <v>Animals and Organic Forms</v>
      </c>
      <c r="E4958" s="3" t="str">
        <f>IFERROR(__xludf.DUMMYFUNCTION("GOOGLETRANSLATE(B4958, ""nl"", ""en"")"),"A mask made of leaves")</f>
        <v>A mask made of leaves</v>
      </c>
    </row>
    <row r="4959" ht="15.75" customHeight="1">
      <c r="A4959" s="3" t="s">
        <v>24</v>
      </c>
      <c r="B4959" s="3" t="s">
        <v>48</v>
      </c>
      <c r="D4959" s="3" t="str">
        <f>IFERROR(__xludf.DUMMYFUNCTION("GOOGLETRANSLATE(A4959, ""nl"", ""en"")"),"Cosmic and Abstract Patterns")</f>
        <v>Cosmic and Abstract Patterns</v>
      </c>
      <c r="E4959" s="3" t="str">
        <f>IFERROR(__xludf.DUMMYFUNCTION("GOOGLETRANSLATE(B4959, ""nl"", ""en"")"),"A fractal that repeats itself")</f>
        <v>A fractal that repeats itself</v>
      </c>
    </row>
    <row r="4960" ht="15.75" customHeight="1">
      <c r="A4960" s="3" t="s">
        <v>24</v>
      </c>
      <c r="B4960" s="3" t="s">
        <v>29</v>
      </c>
      <c r="D4960" s="3" t="str">
        <f>IFERROR(__xludf.DUMMYFUNCTION("GOOGLETRANSLATE(A4960, ""nl"", ""en"")"),"Cosmic and Abstract Patterns")</f>
        <v>Cosmic and Abstract Patterns</v>
      </c>
      <c r="E4960" s="3" t="str">
        <f>IFERROR(__xludf.DUMMYFUNCTION("GOOGLETRANSLATE(B4960, ""nl"", ""en"")"),"A galaxy unfolding")</f>
        <v>A galaxy unfolding</v>
      </c>
    </row>
    <row r="4961" ht="15.75" customHeight="1">
      <c r="A4961" s="3" t="s">
        <v>15</v>
      </c>
      <c r="B4961" s="3" t="s">
        <v>38</v>
      </c>
      <c r="D4961" s="3" t="str">
        <f>IFERROR(__xludf.DUMMYFUNCTION("GOOGLETRANSLATE(A4961, ""nl"", ""en"")"),"Animals and Organic Forms")</f>
        <v>Animals and Organic Forms</v>
      </c>
      <c r="E4961" s="3" t="str">
        <f>IFERROR(__xludf.DUMMYFUNCTION("GOOGLETRANSLATE(B4961, ""nl"", ""en"")"),"A lion with an open mouth")</f>
        <v>A lion with an open mouth</v>
      </c>
    </row>
    <row r="4962" ht="15.75" customHeight="1">
      <c r="A4962" s="3" t="s">
        <v>15</v>
      </c>
      <c r="B4962" s="3" t="s">
        <v>26</v>
      </c>
      <c r="D4962" s="3" t="str">
        <f>IFERROR(__xludf.DUMMYFUNCTION("GOOGLETRANSLATE(A4962, ""nl"", ""en"")"),"Animals and Organic Forms")</f>
        <v>Animals and Organic Forms</v>
      </c>
      <c r="E4962" s="3" t="str">
        <f>IFERROR(__xludf.DUMMYFUNCTION("GOOGLETRANSLATE(B4962, ""nl"", ""en"")"),"A frog preparing to jump")</f>
        <v>A frog preparing to jump</v>
      </c>
    </row>
    <row r="4963" ht="15.75" customHeight="1">
      <c r="A4963" s="3" t="s">
        <v>12</v>
      </c>
      <c r="B4963" s="3" t="s">
        <v>36</v>
      </c>
      <c r="D4963" s="3" t="str">
        <f>IFERROR(__xludf.DUMMYFUNCTION("GOOGLETRANSLATE(A4963, ""nl"", ""en"")"),"Nature and Elements")</f>
        <v>Nature and Elements</v>
      </c>
      <c r="E4963" s="3" t="str">
        <f>IFERROR(__xludf.DUMMYFUNCTION("GOOGLETRANSLATE(B4963, ""nl"", ""en"")"),"A river delta from a bird's-eye view")</f>
        <v>A river delta from a bird's-eye view</v>
      </c>
    </row>
    <row r="4964" ht="15.75" customHeight="1">
      <c r="A4964" s="3" t="s">
        <v>15</v>
      </c>
      <c r="B4964" s="3" t="s">
        <v>46</v>
      </c>
      <c r="D4964" s="3" t="str">
        <f>IFERROR(__xludf.DUMMYFUNCTION("GOOGLETRANSLATE(A4964, ""nl"", ""en"")"),"Animals and Organic Forms")</f>
        <v>Animals and Organic Forms</v>
      </c>
      <c r="E4964" s="3" t="str">
        <f>IFERROR(__xludf.DUMMYFUNCTION("GOOGLETRANSLATE(B4964, ""nl"", ""en"")"),"A flock of fish moving as one")</f>
        <v>A flock of fish moving as one</v>
      </c>
    </row>
    <row r="4965" ht="15.75" customHeight="1">
      <c r="A4965" s="3" t="s">
        <v>12</v>
      </c>
      <c r="B4965" s="3" t="s">
        <v>47</v>
      </c>
      <c r="D4965" s="3" t="str">
        <f>IFERROR(__xludf.DUMMYFUNCTION("GOOGLETRANSLATE(A4965, ""nl"", ""en"")"),"Nature and Elements")</f>
        <v>Nature and Elements</v>
      </c>
      <c r="E4965" s="3" t="str">
        <f>IFERROR(__xludf.DUMMYFUNCTION("GOOGLETRANSLATE(B4965, ""nl"", ""en"")"),"A desert landscape that slowly changes")</f>
        <v>A desert landscape that slowly changes</v>
      </c>
    </row>
    <row r="4966" ht="15.75" customHeight="1">
      <c r="A4966" s="3" t="s">
        <v>15</v>
      </c>
      <c r="B4966" s="3" t="s">
        <v>50</v>
      </c>
      <c r="D4966" s="3" t="str">
        <f>IFERROR(__xludf.DUMMYFUNCTION("GOOGLETRANSLATE(A4966, ""nl"", ""en"")"),"Animals and Organic Forms")</f>
        <v>Animals and Organic Forms</v>
      </c>
      <c r="E4966" s="3" t="str">
        <f>IFERROR(__xludf.DUMMYFUNCTION("GOOGLETRANSLATE(B4966, ""nl"", ""en"")"),"A squid with extended tentacles")</f>
        <v>A squid with extended tentacles</v>
      </c>
    </row>
    <row r="4967" ht="15.75" customHeight="1">
      <c r="A4967" s="3" t="s">
        <v>9</v>
      </c>
      <c r="B4967" s="3" t="s">
        <v>14</v>
      </c>
      <c r="D4967" s="3" t="str">
        <f>IFERROR(__xludf.DUMMYFUNCTION("GOOGLETRANSLATE(A4967, ""nl"", ""en"")"),"Psychological and Emotional Interpretations")</f>
        <v>Psychological and Emotional Interpretations</v>
      </c>
      <c r="E4967" s="3" t="str">
        <f>IFERROR(__xludf.DUMMYFUNCTION("GOOGLETRANSLATE(B4967, ""nl"", ""en"")"),"An unclear hug")</f>
        <v>An unclear hug</v>
      </c>
    </row>
    <row r="4968" ht="15.75" customHeight="1">
      <c r="A4968" s="3" t="s">
        <v>9</v>
      </c>
      <c r="B4968" s="3" t="s">
        <v>49</v>
      </c>
      <c r="D4968" s="3" t="str">
        <f>IFERROR(__xludf.DUMMYFUNCTION("GOOGLETRANSLATE(A4968, ""nl"", ""en"")"),"Psychological and Emotional Interpretations")</f>
        <v>Psychological and Emotional Interpretations</v>
      </c>
      <c r="E4968" s="3" t="str">
        <f>IFERROR(__xludf.DUMMYFUNCTION("GOOGLETRANSLATE(B4968, ""nl"", ""en"")"),"A spiral that turns inward")</f>
        <v>A spiral that turns inward</v>
      </c>
    </row>
    <row r="4969" ht="15.75" customHeight="1">
      <c r="A4969" s="3" t="s">
        <v>7</v>
      </c>
      <c r="B4969" s="3" t="s">
        <v>34</v>
      </c>
      <c r="D4969" s="3" t="str">
        <f>IFERROR(__xludf.DUMMYFUNCTION("GOOGLETRANSLATE(A4969, ""nl"", ""en"")"),"Human Figures and Physicality")</f>
        <v>Human Figures and Physicality</v>
      </c>
      <c r="E4969" s="3" t="str">
        <f>IFERROR(__xludf.DUMMYFUNCTION("GOOGLETRANSLATE(B4969, ""nl"", ""en"")"),"Hands almost touching")</f>
        <v>Hands almost touching</v>
      </c>
    </row>
    <row r="4970" ht="15.75" customHeight="1">
      <c r="A4970" s="3" t="s">
        <v>7</v>
      </c>
      <c r="B4970" s="3" t="s">
        <v>56</v>
      </c>
      <c r="D4970" s="3" t="str">
        <f>IFERROR(__xludf.DUMMYFUNCTION("GOOGLETRANSLATE(A4970, ""nl"", ""en"")"),"Human Figures and Physicality")</f>
        <v>Human Figures and Physicality</v>
      </c>
      <c r="E4970" s="3" t="str">
        <f>IFERROR(__xludf.DUMMYFUNCTION("GOOGLETRANSLATE(B4970, ""nl"", ""en"")"),"A shadow that seems to move")</f>
        <v>A shadow that seems to move</v>
      </c>
    </row>
    <row r="4971" ht="15.75" customHeight="1">
      <c r="A4971" s="3" t="s">
        <v>4</v>
      </c>
      <c r="B4971" s="3" t="s">
        <v>6</v>
      </c>
      <c r="D4971" s="3" t="str">
        <f>IFERROR(__xludf.DUMMYFUNCTION("GOOGLETRANSLATE(A4971, ""nl"", ""en"")"),"Architectural and Structural Associations")</f>
        <v>Architectural and Structural Associations</v>
      </c>
      <c r="E4971" s="3" t="str">
        <f>IFERROR(__xludf.DUMMYFUNCTION("GOOGLETRANSLATE(B4971, ""nl"", ""en"")"),"An endless labyrinth")</f>
        <v>An endless labyrinth</v>
      </c>
    </row>
    <row r="4972" ht="15.75" customHeight="1">
      <c r="A4972" s="3" t="s">
        <v>4</v>
      </c>
      <c r="B4972" s="3" t="s">
        <v>35</v>
      </c>
      <c r="D4972" s="3" t="str">
        <f>IFERROR(__xludf.DUMMYFUNCTION("GOOGLETRANSLATE(A4972, ""nl"", ""en"")"),"Architectural and Structural Associations")</f>
        <v>Architectural and Structural Associations</v>
      </c>
      <c r="E4972" s="3" t="str">
        <f>IFERROR(__xludf.DUMMYFUNCTION("GOOGLETRANSLATE(B4972, ""nl"", ""en"")"),"A floating building without a base")</f>
        <v>A floating building without a base</v>
      </c>
    </row>
    <row r="4973" ht="15.75" customHeight="1">
      <c r="A4973" s="3" t="s">
        <v>12</v>
      </c>
      <c r="B4973" s="3" t="s">
        <v>36</v>
      </c>
      <c r="D4973" s="3" t="str">
        <f>IFERROR(__xludf.DUMMYFUNCTION("GOOGLETRANSLATE(A4973, ""nl"", ""en"")"),"Nature and Elements")</f>
        <v>Nature and Elements</v>
      </c>
      <c r="E4973" s="3" t="str">
        <f>IFERROR(__xludf.DUMMYFUNCTION("GOOGLETRANSLATE(B4973, ""nl"", ""en"")"),"A river delta from a bird's-eye view")</f>
        <v>A river delta from a bird's-eye view</v>
      </c>
    </row>
    <row r="4974" ht="15.75" customHeight="1">
      <c r="A4974" s="3" t="s">
        <v>12</v>
      </c>
      <c r="B4974" s="3" t="s">
        <v>47</v>
      </c>
      <c r="D4974" s="3" t="str">
        <f>IFERROR(__xludf.DUMMYFUNCTION("GOOGLETRANSLATE(A4974, ""nl"", ""en"")"),"Nature and Elements")</f>
        <v>Nature and Elements</v>
      </c>
      <c r="E4974" s="3" t="str">
        <f>IFERROR(__xludf.DUMMYFUNCTION("GOOGLETRANSLATE(B4974, ""nl"", ""en"")"),"A desert landscape that slowly changes")</f>
        <v>A desert landscape that slowly changes</v>
      </c>
    </row>
    <row r="4975" ht="15.75" customHeight="1">
      <c r="A4975" s="3" t="s">
        <v>24</v>
      </c>
      <c r="B4975" s="3" t="s">
        <v>25</v>
      </c>
      <c r="D4975" s="3" t="str">
        <f>IFERROR(__xludf.DUMMYFUNCTION("GOOGLETRANSLATE(A4975, ""nl"", ""en"")"),"Cosmic and Abstract Patterns")</f>
        <v>Cosmic and Abstract Patterns</v>
      </c>
      <c r="E4975" s="3" t="str">
        <f>IFERROR(__xludf.DUMMYFUNCTION("GOOGLETRANSLATE(B4975, ""nl"", ""en"")"),"A meteor shower dissolving into each other")</f>
        <v>A meteor shower dissolving into each other</v>
      </c>
    </row>
    <row r="4976" ht="15.75" customHeight="1">
      <c r="A4976" s="3" t="s">
        <v>15</v>
      </c>
      <c r="B4976" s="3" t="s">
        <v>22</v>
      </c>
      <c r="D4976" s="3" t="str">
        <f>IFERROR(__xludf.DUMMYFUNCTION("GOOGLETRANSLATE(A4976, ""nl"", ""en"")"),"Animals and Organic Forms")</f>
        <v>Animals and Organic Forms</v>
      </c>
      <c r="E4976" s="3" t="str">
        <f>IFERROR(__xludf.DUMMYFUNCTION("GOOGLETRANSLATE(B4976, ""nl"", ""en"")"),"A bird taking off")</f>
        <v>A bird taking off</v>
      </c>
    </row>
    <row r="4977" ht="15.75" customHeight="1">
      <c r="A4977" s="3" t="s">
        <v>7</v>
      </c>
      <c r="B4977" s="3" t="s">
        <v>34</v>
      </c>
      <c r="D4977" s="3" t="str">
        <f>IFERROR(__xludf.DUMMYFUNCTION("GOOGLETRANSLATE(A4977, ""nl"", ""en"")"),"Human Figures and Physicality")</f>
        <v>Human Figures and Physicality</v>
      </c>
      <c r="E4977" s="3" t="str">
        <f>IFERROR(__xludf.DUMMYFUNCTION("GOOGLETRANSLATE(B4977, ""nl"", ""en"")"),"Hands almost touching")</f>
        <v>Hands almost touching</v>
      </c>
    </row>
    <row r="4978" ht="15.75" customHeight="1">
      <c r="A4978" s="3" t="s">
        <v>9</v>
      </c>
      <c r="B4978" s="3" t="s">
        <v>49</v>
      </c>
      <c r="D4978" s="3" t="str">
        <f>IFERROR(__xludf.DUMMYFUNCTION("GOOGLETRANSLATE(A4978, ""nl"", ""en"")"),"Psychological and Emotional Interpretations")</f>
        <v>Psychological and Emotional Interpretations</v>
      </c>
      <c r="E4978" s="3" t="str">
        <f>IFERROR(__xludf.DUMMYFUNCTION("GOOGLETRANSLATE(B4978, ""nl"", ""en"")"),"A spiral that turns inward")</f>
        <v>A spiral that turns inward</v>
      </c>
    </row>
    <row r="4979" ht="15.75" customHeight="1">
      <c r="A4979" s="3" t="s">
        <v>9</v>
      </c>
      <c r="B4979" s="3" t="s">
        <v>49</v>
      </c>
      <c r="D4979" s="3" t="str">
        <f>IFERROR(__xludf.DUMMYFUNCTION("GOOGLETRANSLATE(A4979, ""nl"", ""en"")"),"Psychological and Emotional Interpretations")</f>
        <v>Psychological and Emotional Interpretations</v>
      </c>
      <c r="E4979" s="3" t="str">
        <f>IFERROR(__xludf.DUMMYFUNCTION("GOOGLETRANSLATE(B4979, ""nl"", ""en"")"),"A spiral that turns inward")</f>
        <v>A spiral that turns inward</v>
      </c>
    </row>
    <row r="4980" ht="15.75" customHeight="1">
      <c r="A4980" s="3" t="s">
        <v>7</v>
      </c>
      <c r="B4980" s="3" t="s">
        <v>39</v>
      </c>
      <c r="D4980" s="3" t="str">
        <f>IFERROR(__xludf.DUMMYFUNCTION("GOOGLETRANSLATE(A4980, ""nl"", ""en"")"),"Human Figures and Physicality")</f>
        <v>Human Figures and Physicality</v>
      </c>
      <c r="E4980" s="3" t="str">
        <f>IFERROR(__xludf.DUMMYFUNCTION("GOOGLETRANSLATE(B4980, ""nl"", ""en"")"),"A torso without a head")</f>
        <v>A torso without a head</v>
      </c>
    </row>
    <row r="4981" ht="15.75" customHeight="1">
      <c r="A4981" s="3" t="s">
        <v>15</v>
      </c>
      <c r="B4981" s="3" t="s">
        <v>45</v>
      </c>
      <c r="D4981" s="3" t="str">
        <f>IFERROR(__xludf.DUMMYFUNCTION("GOOGLETRANSLATE(A4981, ""nl"", ""en"")"),"Animals and Organic Forms")</f>
        <v>Animals and Organic Forms</v>
      </c>
      <c r="E4981" s="3" t="str">
        <f>IFERROR(__xludf.DUMMYFUNCTION("GOOGLETRANSLATE(B4981, ""nl"", ""en"")"),"A snake biting its own tail")</f>
        <v>A snake biting its own tail</v>
      </c>
    </row>
    <row r="4982" ht="15.75" customHeight="1">
      <c r="A4982" s="3" t="s">
        <v>15</v>
      </c>
      <c r="B4982" s="3" t="s">
        <v>26</v>
      </c>
      <c r="D4982" s="3" t="str">
        <f>IFERROR(__xludf.DUMMYFUNCTION("GOOGLETRANSLATE(A4982, ""nl"", ""en"")"),"Animals and Organic Forms")</f>
        <v>Animals and Organic Forms</v>
      </c>
      <c r="E4982" s="3" t="str">
        <f>IFERROR(__xludf.DUMMYFUNCTION("GOOGLETRANSLATE(B4982, ""nl"", ""en"")"),"A frog preparing to jump")</f>
        <v>A frog preparing to jump</v>
      </c>
    </row>
    <row r="4983" ht="15.75" customHeight="1">
      <c r="A4983" s="3" t="s">
        <v>12</v>
      </c>
      <c r="B4983" s="3" t="s">
        <v>47</v>
      </c>
      <c r="D4983" s="3" t="str">
        <f>IFERROR(__xludf.DUMMYFUNCTION("GOOGLETRANSLATE(A4983, ""nl"", ""en"")"),"Nature and Elements")</f>
        <v>Nature and Elements</v>
      </c>
      <c r="E4983" s="3" t="str">
        <f>IFERROR(__xludf.DUMMYFUNCTION("GOOGLETRANSLATE(B4983, ""nl"", ""en"")"),"A desert landscape that slowly changes")</f>
        <v>A desert landscape that slowly changes</v>
      </c>
    </row>
    <row r="4984" ht="15.75" customHeight="1">
      <c r="A4984" s="3" t="s">
        <v>15</v>
      </c>
      <c r="B4984" s="3" t="s">
        <v>26</v>
      </c>
      <c r="D4984" s="3" t="str">
        <f>IFERROR(__xludf.DUMMYFUNCTION("GOOGLETRANSLATE(A4984, ""nl"", ""en"")"),"Animals and Organic Forms")</f>
        <v>Animals and Organic Forms</v>
      </c>
      <c r="E4984" s="3" t="str">
        <f>IFERROR(__xludf.DUMMYFUNCTION("GOOGLETRANSLATE(B4984, ""nl"", ""en"")"),"A frog preparing to jump")</f>
        <v>A frog preparing to jump</v>
      </c>
    </row>
    <row r="4985" ht="15.75" customHeight="1">
      <c r="A4985" s="3" t="s">
        <v>24</v>
      </c>
      <c r="B4985" s="3" t="s">
        <v>33</v>
      </c>
      <c r="D4985" s="3" t="str">
        <f>IFERROR(__xludf.DUMMYFUNCTION("GOOGLETRANSLATE(A4985, ""nl"", ""en"")"),"Cosmic and Abstract Patterns")</f>
        <v>Cosmic and Abstract Patterns</v>
      </c>
      <c r="E4985" s="3" t="str">
        <f>IFERROR(__xludf.DUMMYFUNCTION("GOOGLETRANSLATE(B4985, ""nl"", ""en"")"),"An eye that repeats itself in endless patterns")</f>
        <v>An eye that repeats itself in endless patterns</v>
      </c>
    </row>
    <row r="4986" ht="15.75" customHeight="1">
      <c r="A4986" s="3" t="s">
        <v>15</v>
      </c>
      <c r="B4986" s="3" t="s">
        <v>38</v>
      </c>
      <c r="D4986" s="3" t="str">
        <f>IFERROR(__xludf.DUMMYFUNCTION("GOOGLETRANSLATE(A4986, ""nl"", ""en"")"),"Animals and Organic Forms")</f>
        <v>Animals and Organic Forms</v>
      </c>
      <c r="E4986" s="3" t="str">
        <f>IFERROR(__xludf.DUMMYFUNCTION("GOOGLETRANSLATE(B4986, ""nl"", ""en"")"),"A lion with an open mouth")</f>
        <v>A lion with an open mouth</v>
      </c>
    </row>
    <row r="4987" ht="15.75" customHeight="1">
      <c r="A4987" s="3" t="s">
        <v>12</v>
      </c>
      <c r="B4987" s="3" t="s">
        <v>36</v>
      </c>
      <c r="D4987" s="3" t="str">
        <f>IFERROR(__xludf.DUMMYFUNCTION("GOOGLETRANSLATE(A4987, ""nl"", ""en"")"),"Nature and Elements")</f>
        <v>Nature and Elements</v>
      </c>
      <c r="E4987" s="3" t="str">
        <f>IFERROR(__xludf.DUMMYFUNCTION("GOOGLETRANSLATE(B4987, ""nl"", ""en"")"),"A river delta from a bird's-eye view")</f>
        <v>A river delta from a bird's-eye view</v>
      </c>
    </row>
    <row r="4988" ht="15.75" customHeight="1">
      <c r="A4988" s="3" t="s">
        <v>7</v>
      </c>
      <c r="B4988" s="3" t="s">
        <v>8</v>
      </c>
      <c r="D4988" s="3" t="str">
        <f>IFERROR(__xludf.DUMMYFUNCTION("GOOGLETRANSLATE(A4988, ""nl"", ""en"")"),"Human Figures and Physicality")</f>
        <v>Human Figures and Physicality</v>
      </c>
      <c r="E4988" s="3" t="str">
        <f>IFERROR(__xludf.DUMMYFUNCTION("GOOGLETRANSLATE(B4988, ""nl"", ""en"")"),"Two figures mirroring each other")</f>
        <v>Two figures mirroring each other</v>
      </c>
    </row>
    <row r="4989" ht="15.75" customHeight="1">
      <c r="A4989" s="3" t="s">
        <v>24</v>
      </c>
      <c r="B4989" s="3" t="s">
        <v>33</v>
      </c>
      <c r="D4989" s="3" t="str">
        <f>IFERROR(__xludf.DUMMYFUNCTION("GOOGLETRANSLATE(A4989, ""nl"", ""en"")"),"Cosmic and Abstract Patterns")</f>
        <v>Cosmic and Abstract Patterns</v>
      </c>
      <c r="E4989" s="3" t="str">
        <f>IFERROR(__xludf.DUMMYFUNCTION("GOOGLETRANSLATE(B4989, ""nl"", ""en"")"),"An eye that repeats itself in endless patterns")</f>
        <v>An eye that repeats itself in endless patterns</v>
      </c>
    </row>
    <row r="4990" ht="15.75" customHeight="1">
      <c r="A4990" s="3" t="s">
        <v>12</v>
      </c>
      <c r="B4990" s="3" t="s">
        <v>47</v>
      </c>
      <c r="D4990" s="3" t="str">
        <f>IFERROR(__xludf.DUMMYFUNCTION("GOOGLETRANSLATE(A4990, ""nl"", ""en"")"),"Nature and Elements")</f>
        <v>Nature and Elements</v>
      </c>
      <c r="E4990" s="3" t="str">
        <f>IFERROR(__xludf.DUMMYFUNCTION("GOOGLETRANSLATE(B4990, ""nl"", ""en"")"),"A desert landscape that slowly changes")</f>
        <v>A desert landscape that slowly changes</v>
      </c>
    </row>
    <row r="4991" ht="15.75" customHeight="1">
      <c r="A4991" s="3" t="s">
        <v>15</v>
      </c>
      <c r="B4991" s="3" t="s">
        <v>16</v>
      </c>
      <c r="D4991" s="3" t="str">
        <f>IFERROR(__xludf.DUMMYFUNCTION("GOOGLETRANSLATE(A4991, ""nl"", ""en"")"),"Animals and Organic Forms")</f>
        <v>Animals and Organic Forms</v>
      </c>
      <c r="E4991" s="3" t="str">
        <f>IFERROR(__xludf.DUMMYFUNCTION("GOOGLETRANSLATE(B4991, ""nl"", ""en"")"),"A butterfly in transformation")</f>
        <v>A butterfly in transformation</v>
      </c>
    </row>
    <row r="4992" ht="15.75" customHeight="1">
      <c r="A4992" s="3" t="s">
        <v>12</v>
      </c>
      <c r="B4992" s="3" t="s">
        <v>36</v>
      </c>
      <c r="D4992" s="3" t="str">
        <f>IFERROR(__xludf.DUMMYFUNCTION("GOOGLETRANSLATE(A4992, ""nl"", ""en"")"),"Nature and Elements")</f>
        <v>Nature and Elements</v>
      </c>
      <c r="E4992" s="3" t="str">
        <f>IFERROR(__xludf.DUMMYFUNCTION("GOOGLETRANSLATE(B4992, ""nl"", ""en"")"),"A river delta from a bird's-eye view")</f>
        <v>A river delta from a bird's-eye view</v>
      </c>
    </row>
    <row r="4993" ht="15.75" customHeight="1">
      <c r="A4993" s="3" t="s">
        <v>7</v>
      </c>
      <c r="B4993" s="3" t="s">
        <v>8</v>
      </c>
      <c r="D4993" s="3" t="str">
        <f>IFERROR(__xludf.DUMMYFUNCTION("GOOGLETRANSLATE(A4993, ""nl"", ""en"")"),"Human Figures and Physicality")</f>
        <v>Human Figures and Physicality</v>
      </c>
      <c r="E4993" s="3" t="str">
        <f>IFERROR(__xludf.DUMMYFUNCTION("GOOGLETRANSLATE(B4993, ""nl"", ""en"")"),"Two figures mirroring each other")</f>
        <v>Two figures mirroring each other</v>
      </c>
    </row>
    <row r="4994" ht="15.75" customHeight="1">
      <c r="A4994" s="3" t="s">
        <v>9</v>
      </c>
      <c r="B4994" s="3" t="s">
        <v>37</v>
      </c>
      <c r="D4994" s="3" t="str">
        <f>IFERROR(__xludf.DUMMYFUNCTION("GOOGLETRANSLATE(A4994, ""nl"", ""en"")"),"Psychological and Emotional Interpretations")</f>
        <v>Psychological and Emotional Interpretations</v>
      </c>
      <c r="E4994" s="3" t="str">
        <f>IFERROR(__xludf.DUMMYFUNCTION("GOOGLETRANSLATE(B4994, ""nl"", ""en"")"),"A figure looking through itself")</f>
        <v>A figure looking through itself</v>
      </c>
    </row>
    <row r="4995" ht="15.75" customHeight="1">
      <c r="A4995" s="3" t="s">
        <v>15</v>
      </c>
      <c r="B4995" s="3" t="s">
        <v>46</v>
      </c>
      <c r="D4995" s="3" t="str">
        <f>IFERROR(__xludf.DUMMYFUNCTION("GOOGLETRANSLATE(A4995, ""nl"", ""en"")"),"Animals and Organic Forms")</f>
        <v>Animals and Organic Forms</v>
      </c>
      <c r="E4995" s="3" t="str">
        <f>IFERROR(__xludf.DUMMYFUNCTION("GOOGLETRANSLATE(B4995, ""nl"", ""en"")"),"A flock of fish moving as one")</f>
        <v>A flock of fish moving as one</v>
      </c>
    </row>
    <row r="4996" ht="15.75" customHeight="1">
      <c r="A4996" s="3" t="s">
        <v>9</v>
      </c>
      <c r="B4996" s="3" t="s">
        <v>49</v>
      </c>
      <c r="D4996" s="3" t="str">
        <f>IFERROR(__xludf.DUMMYFUNCTION("GOOGLETRANSLATE(A4996, ""nl"", ""en"")"),"Psychological and Emotional Interpretations")</f>
        <v>Psychological and Emotional Interpretations</v>
      </c>
      <c r="E4996" s="3" t="str">
        <f>IFERROR(__xludf.DUMMYFUNCTION("GOOGLETRANSLATE(B4996, ""nl"", ""en"")"),"A spiral that turns inward")</f>
        <v>A spiral that turns inward</v>
      </c>
    </row>
    <row r="4997" ht="15.75" customHeight="1">
      <c r="A4997" s="3" t="s">
        <v>15</v>
      </c>
      <c r="B4997" s="3" t="s">
        <v>26</v>
      </c>
      <c r="D4997" s="3" t="str">
        <f>IFERROR(__xludf.DUMMYFUNCTION("GOOGLETRANSLATE(A4997, ""nl"", ""en"")"),"Animals and Organic Forms")</f>
        <v>Animals and Organic Forms</v>
      </c>
      <c r="E4997" s="3" t="str">
        <f>IFERROR(__xludf.DUMMYFUNCTION("GOOGLETRANSLATE(B4997, ""nl"", ""en"")"),"A frog preparing to jump")</f>
        <v>A frog preparing to jump</v>
      </c>
    </row>
    <row r="4998" ht="15.75" customHeight="1">
      <c r="A4998" s="3" t="s">
        <v>15</v>
      </c>
      <c r="B4998" s="3" t="s">
        <v>52</v>
      </c>
      <c r="D4998" s="3" t="str">
        <f>IFERROR(__xludf.DUMMYFUNCTION("GOOGLETRANSLATE(A4998, ""nl"", ""en"")"),"Animals and Organic Forms")</f>
        <v>Animals and Organic Forms</v>
      </c>
      <c r="E4998" s="3" t="str">
        <f>IFERROR(__xludf.DUMMYFUNCTION("GOOGLETRANSLATE(B4998, ""nl"", ""en"")"),"A mask made of leaves")</f>
        <v>A mask made of leaves</v>
      </c>
    </row>
    <row r="4999" ht="15.75" customHeight="1">
      <c r="A4999" s="3" t="s">
        <v>7</v>
      </c>
      <c r="B4999" s="3" t="s">
        <v>39</v>
      </c>
      <c r="D4999" s="3" t="str">
        <f>IFERROR(__xludf.DUMMYFUNCTION("GOOGLETRANSLATE(A4999, ""nl"", ""en"")"),"Human Figures and Physicality")</f>
        <v>Human Figures and Physicality</v>
      </c>
      <c r="E4999" s="3" t="str">
        <f>IFERROR(__xludf.DUMMYFUNCTION("GOOGLETRANSLATE(B4999, ""nl"", ""en"")"),"A torso without a head")</f>
        <v>A torso without a head</v>
      </c>
    </row>
    <row r="5000" ht="15.75" customHeight="1">
      <c r="A5000" s="3" t="s">
        <v>12</v>
      </c>
      <c r="B5000" s="3" t="s">
        <v>13</v>
      </c>
      <c r="D5000" s="3" t="str">
        <f>IFERROR(__xludf.DUMMYFUNCTION("GOOGLETRANSLATE(A5000, ""nl"", ""en"")"),"Nature and Elements")</f>
        <v>Nature and Elements</v>
      </c>
      <c r="E5000" s="3" t="str">
        <f>IFERROR(__xludf.DUMMYFUNCTION("GOOGLETRANSLATE(B5000, ""nl"", ""en"")"),"A lightning strike in slow motion")</f>
        <v>A lightning strike in slow motion</v>
      </c>
    </row>
    <row r="5001" ht="15.75" customHeight="1">
      <c r="A5001" s="3" t="s">
        <v>9</v>
      </c>
      <c r="B5001" s="3" t="s">
        <v>11</v>
      </c>
      <c r="D5001" s="3" t="str">
        <f>IFERROR(__xludf.DUMMYFUNCTION("GOOGLETRANSLATE(A5001, ""nl"", ""en"")"),"Psychological and Emotional Interpretations")</f>
        <v>Psychological and Emotional Interpretations</v>
      </c>
      <c r="E5001" s="3" t="str">
        <f>IFERROR(__xludf.DUMMYFUNCTION("GOOGLETRANSLATE(B5001, ""nl"", ""en"")"),"An emotion captured in abstraction")</f>
        <v>An emotion captured in abstraction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2025-11-05T09:33:13Z</dcterms:created>
</cp:coreProperties>
</file>